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iche Research" sheetId="1" state="visible" r:id="rId3"/>
    <sheet name="Niche Samenvatting" sheetId="2" state="visible" r:id="rId4"/>
    <sheet name="Niche Trend" sheetId="3" state="visible" r:id="rId5"/>
    <sheet name="Niche Trend Grafiek" sheetId="4" state="visible" r:id="rId6"/>
    <sheet name="Instellingen" sheetId="5" state="visible" r:id="rId7"/>
    <sheet name="Legenda" sheetId="6" state="visible" r:id="rId8"/>
  </sheets>
  <definedNames>
    <definedName function="false" hidden="true" localSheetId="0" name="_xlnm._FilterDatabase" vbProcedure="false">'Niche Research'!$A$1:$R$1000</definedName>
    <definedName function="false" hidden="true" localSheetId="1" name="_xlnm._FilterDatabase" vbProcedure="false">'Niche Samenvatting'!$A$1:$I$101</definedName>
    <definedName function="false" hidden="true" localSheetId="2" name="_xlnm._FilterDatabase" vbProcedure="false">'Niche Trend'!$A$1:$G$2000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<sst xmlns="http://schemas.openxmlformats.org/spreadsheetml/2006/main" count="195" uniqueCount="132">
  <si>
    <t xml:space="preserve">Datum meting</t>
  </si>
  <si>
    <t xml:space="preserve">Niche (thema)</t>
  </si>
  <si>
    <t xml:space="preserve">YT Account</t>
  </si>
  <si>
    <t xml:space="preserve">Handle / Link</t>
  </si>
  <si>
    <t xml:space="preserve">Dagen actief</t>
  </si>
  <si>
    <t xml:space="preserve">Abonnees</t>
  </si>
  <si>
    <t xml:space="preserve">Video lengte (min)</t>
  </si>
  <si>
    <t xml:space="preserve">Totaal views (lifetime)</t>
  </si>
  <si>
    <t xml:space="preserve">Views laatste 30d</t>
  </si>
  <si>
    <t xml:space="preserve">Vids laatste 30d</t>
  </si>
  <si>
    <t xml:space="preserve">Gem. views/video (30d)</t>
  </si>
  <si>
    <t xml:space="preserve">Views/dag sinds start</t>
  </si>
  <si>
    <t xml:space="preserve">Groeiversnelling</t>
  </si>
  <si>
    <t xml:space="preserve">RPM ($)</t>
  </si>
  <si>
    <t xml:space="preserve">Est. omzet/maand ($)</t>
  </si>
  <si>
    <t xml:space="preserve">Score (0-100)</t>
  </si>
  <si>
    <t xml:space="preserve">Verdict</t>
  </si>
  <si>
    <t xml:space="preserve">Notities</t>
  </si>
  <si>
    <t xml:space="preserve">Monetized</t>
  </si>
  <si>
    <t xml:space="preserve">Cash cow?</t>
  </si>
  <si>
    <t xml:space="preserve">Personal finance</t>
  </si>
  <si>
    <t xml:space="preserve">Jiang Exclusive</t>
  </si>
  <si>
    <t xml:space="preserve">@jiangexclusives</t>
  </si>
  <si>
    <t xml:space="preserve">Voorbeeldrij - AI faceless kanaal, sterke RPM, groeit snel voor zijn leeftijd</t>
  </si>
  <si>
    <t xml:space="preserve">history</t>
  </si>
  <si>
    <t xml:space="preserve">History's Important</t>
  </si>
  <si>
    <t xml:space="preserve">@HistorysImportant</t>
  </si>
  <si>
    <t xml:space="preserve">Zwakke cijfers</t>
  </si>
  <si>
    <t xml:space="preserve">?</t>
  </si>
  <si>
    <t xml:space="preserve">crime</t>
  </si>
  <si>
    <t xml:space="preserve">True Law&amp;Crime</t>
  </si>
  <si>
    <t xml:space="preserve">@TrueLawandcrime</t>
  </si>
  <si>
    <t xml:space="preserve">Hoge views + RPM</t>
  </si>
  <si>
    <t xml:space="preserve">wildlife</t>
  </si>
  <si>
    <t xml:space="preserve">Wildlife zone</t>
  </si>
  <si>
    <t xml:space="preserve">@Wildlifezone-h9u</t>
  </si>
  <si>
    <t xml:space="preserve">Groeit, RPM redelijk</t>
  </si>
  <si>
    <t xml:space="preserve">wildlife official</t>
  </si>
  <si>
    <t xml:space="preserve">@wildlife-official-TV</t>
  </si>
  <si>
    <t xml:space="preserve">Lage RPM</t>
  </si>
  <si>
    <t xml:space="preserve">travel documentary</t>
  </si>
  <si>
    <t xml:space="preserve">Vagarious Travel</t>
  </si>
  <si>
    <t xml:space="preserve">@VagariousTravel-868</t>
  </si>
  <si>
    <t xml:space="preserve">science</t>
  </si>
  <si>
    <t xml:space="preserve">SciMation</t>
  </si>
  <si>
    <t xml:space="preserve">@Scimation1</t>
  </si>
  <si>
    <t xml:space="preserve">Te weinig 30d-views</t>
  </si>
  <si>
    <t xml:space="preserve">life stories</t>
  </si>
  <si>
    <t xml:space="preserve">Lives of Great Americans</t>
  </si>
  <si>
    <t xml:space="preserve">@LivesofGreatAmericans</t>
  </si>
  <si>
    <t xml:space="preserve">FinancePhysio</t>
  </si>
  <si>
    <t xml:space="preserve">@FinancePhysio-e2m</t>
  </si>
  <si>
    <t xml:space="preserve">Baby Finance</t>
  </si>
  <si>
    <t xml:space="preserve">@BabyFinance</t>
  </si>
  <si>
    <t xml:space="preserve">Rick Finance</t>
  </si>
  <si>
    <t xml:space="preserve">@RickFinance1</t>
  </si>
  <si>
    <t xml:space="preserve">politics</t>
  </si>
  <si>
    <t xml:space="preserve">The Politics Report</t>
  </si>
  <si>
    <t xml:space="preserve">@ThePoliticsReport0</t>
  </si>
  <si>
    <t xml:space="preserve">tech gadgets</t>
  </si>
  <si>
    <t xml:space="preserve">Gadgetrum</t>
  </si>
  <si>
    <t xml:space="preserve">@Gadgetrum</t>
  </si>
  <si>
    <t xml:space="preserve">Matige views/RPM</t>
  </si>
  <si>
    <t xml:space="preserve">boating</t>
  </si>
  <si>
    <t xml:space="preserve">Bluewater Living</t>
  </si>
  <si>
    <t xml:space="preserve">@bluewaterlivingg</t>
  </si>
  <si>
    <t xml:space="preserve">folklore</t>
  </si>
  <si>
    <t xml:space="preserve">Hollow Hills</t>
  </si>
  <si>
    <t xml:space="preserve">@Hollow_Hills</t>
  </si>
  <si>
    <t xml:space="preserve">Aantal accounts</t>
  </si>
  <si>
    <t xml:space="preserve">Totaal views 30d</t>
  </si>
  <si>
    <t xml:space="preserve">Gem. RPM</t>
  </si>
  <si>
    <t xml:space="preserve">Totaal est. omzet/maand ($)</t>
  </si>
  <si>
    <t xml:space="preserve">Gem. dagen actief</t>
  </si>
  <si>
    <t xml:space="preserve">Gem. Score (0-100)</t>
  </si>
  <si>
    <t xml:space="preserve">Aantal 'Sterke niche' kanalen</t>
  </si>
  <si>
    <t xml:space="preserve">Ranking (obv score)</t>
  </si>
  <si>
    <t xml:space="preserve">Vul in kolom A de exacte niche-naam in zoals gebruikt in 'Niche Research'. Ranking 1 = hoogste gemiddelde score = beste niche.</t>
  </si>
  <si>
    <t xml:space="preserve">Datum</t>
  </si>
  <si>
    <t xml:space="preserve">Gem. RPM ($)</t>
  </si>
  <si>
    <t xml:space="preserve">Score-verloop per niche over tijd</t>
  </si>
  <si>
    <t xml:space="preserve">Deze grafiek wordt automatisch bijgewerkt door de tracker-run. Elke lijn is één niche; bron: het tabblad 'Niche Trend', gegroepeerd per niche.</t>
  </si>
  <si>
    <t xml:space="preserve">Scoring-instellingen</t>
  </si>
  <si>
    <t xml:space="preserve">Pas deze cijfers aan om te bepalen wat 'goed' betekent voor jouw type kanaal. Alles hieronder stuurt automatisch de Score en Verdict in 'Niche Research'.</t>
  </si>
  <si>
    <t xml:space="preserve">Target RPM (sterk)</t>
  </si>
  <si>
    <t xml:space="preserve">RPM waarbij een kanaal het volle punten (25) krijgt voor de RPM-component.</t>
  </si>
  <si>
    <t xml:space="preserve">Target views 30d (sterk)</t>
  </si>
  <si>
    <t xml:space="preserve">Views/30d waarbij een kanaal het volle punten (25) krijgt voor de volume-component.</t>
  </si>
  <si>
    <t xml:space="preserve">Target vids/30d (actief)</t>
  </si>
  <si>
    <t xml:space="preserve">Aantal uploads/30d waarbij een kanaal het volle punten (25) krijgt voor consistentie.</t>
  </si>
  <si>
    <t xml:space="preserve">Target groeiversnelling (sterk)</t>
  </si>
  <si>
    <t xml:space="preserve">Verhouding huidig dagtempo vs lifetime dagtempo waarbij een kanaal het volle punten (25) krijgt. &gt;1 = versnelt, &lt;1 = vertraagt.</t>
  </si>
  <si>
    <t xml:space="preserve">Score grens: Sterke niche</t>
  </si>
  <si>
    <t xml:space="preserve">Vanaf deze score (van 100) wordt het verdict 'Sterke niche'.</t>
  </si>
  <si>
    <t xml:space="preserve">Score grens: Belofte</t>
  </si>
  <si>
    <t xml:space="preserve">Vanaf deze score wordt het verdict 'Belofte - opvolgen'.</t>
  </si>
  <si>
    <t xml:space="preserve">Score grens: Zwak</t>
  </si>
  <si>
    <t xml:space="preserve">Vanaf deze score wordt het verdict 'Zwak - twijfel'; daaronder 'Vermijden'.</t>
  </si>
  <si>
    <t xml:space="preserve">Max dagen actief (filter)</t>
  </si>
  <si>
    <t xml:space="preserve">Kanalen ouder dan dit horen niet in de tracker (jonge kanalen = doel).</t>
  </si>
  <si>
    <t xml:space="preserve">Scoreformule: Score = RPM-component + Volume-component + Consistentie-component + Groei-component (elk max 25 punten, evenredig geschaald t.o.v. de targets hierboven, gemaximeerd op 25).</t>
  </si>
  <si>
    <t xml:space="preserve">Legenda &amp; uitleg</t>
  </si>
  <si>
    <t xml:space="preserve">Kleurcodering</t>
  </si>
  <si>
    <t xml:space="preserve">Blauwe tekst</t>
  </si>
  <si>
    <t xml:space="preserve">Cellen die jij (of Claude, in jouw opdracht) handmatig invult (input).</t>
  </si>
  <si>
    <t xml:space="preserve">Zwarte tekst</t>
  </si>
  <si>
    <t xml:space="preserve">Formulecellen - niet overschrijven, deze rekenen automatisch.</t>
  </si>
  <si>
    <t xml:space="preserve">Geel gemarkeerd (tabblad Instellingen)</t>
  </si>
  <si>
    <t xml:space="preserve">Drempelwaarden die de hele score-engine aansturen.</t>
  </si>
  <si>
    <t xml:space="preserve">Groen/geel/rood verdict</t>
  </si>
  <si>
    <t xml:space="preserve">Sterke niche = groen, Belofte/Zwak = geel, Vermijden = rood.</t>
  </si>
  <si>
    <t xml:space="preserve">Kolom uitleg ('Niche Research')</t>
  </si>
  <si>
    <t xml:space="preserve">Datum van deze meting - handig als je hetzelfde kanaal later opnieuw meet.</t>
  </si>
  <si>
    <t xml:space="preserve">De overkoepelende niche, bv. 'personal finance', 'travel', 'health'.</t>
  </si>
  <si>
    <t xml:space="preserve">YT Account / Handle</t>
  </si>
  <si>
    <t xml:space="preserve">Naam en @handle of link van het kanaal.</t>
  </si>
  <si>
    <t xml:space="preserve">Aantal dagen sinds het kanaal is aangemaakt.</t>
  </si>
  <si>
    <t xml:space="preserve">Totaal views (lifetime) / Views 30d / Vids 30d</t>
  </si>
  <si>
    <t xml:space="preserve">Ruwe data die je zelf ophaalt (bv. via Nexlev of Social Blade).</t>
  </si>
  <si>
    <t xml:space="preserve">Berekend als: Views 30d / Vids 30d.</t>
  </si>
  <si>
    <t xml:space="preserve">Berekend als: Totaal views / Dagen actief. Gemiddeld dagtempo over de hele levensduur.</t>
  </si>
  <si>
    <t xml:space="preserve">Berekend als: (Views30d/30) / (Views/dag sinds start). Groter dan 1 betekent dat het kanaal nu sneller groeit dan zijn eigen gemiddelde - een signaal dat de niche/aanpak momentum heeft.</t>
  </si>
  <si>
    <t xml:space="preserve">Revenue per mille - omzet per 1000 views. Zelf invullen.</t>
  </si>
  <si>
    <t xml:space="preserve">Berekend als: (Views 30d / 1000) x RPM.</t>
  </si>
  <si>
    <t xml:space="preserve">Optelsom van 4 componenten (RPM, volume, consistentie, groei), elk max 25 punten. Drempels stel je in op tabblad 'Instellingen'.</t>
  </si>
  <si>
    <t xml:space="preserve">Automatisch label: Sterke niche / Belofte - opvolgen / Zwak - twijfel / Vermijden, obv de Score en de drempels in 'Instellingen'.</t>
  </si>
  <si>
    <t xml:space="preserve">Tabblad 'Niche Samenvatting'</t>
  </si>
  <si>
    <t xml:space="preserve">Rolt alles op per niche: gemiddelde score, gemiddelde RPM, totale omzetpotentie en een ranking (1 = beste niche gemiddeld).</t>
  </si>
  <si>
    <t xml:space="preserve">Tabblad 'Instellingen'</t>
  </si>
  <si>
    <t xml:space="preserve">Hier stel je in wat 'goed' betekent (targets voor RPM, volume, consistentie en groei). Verander deze cijfers en de hele sheet herrekent.</t>
  </si>
  <si>
    <t xml:space="preserve">Gebruik met Claude + Nexlev</t>
  </si>
  <si>
    <t xml:space="preserve">Je kunt dit bestand aan een Claude-gesprek geven waarin Nexlev gekoppeld is en vragen: 'vul de blauwe kolommen in 'Niche Research' in voor niche X met Nexlev-data'. De Score en Verdict-kolommen rekenen daarna automatisch mee - je hoeft zelf niet te beoordelen of een niche goed is.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</si>
</sst>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"/>
    <numFmt numFmtId="167" formatCode="#,##0"/>
    <numFmt numFmtId="168" formatCode="0.00"/>
    <numFmt numFmtId="169" formatCode="\$#,##0"/>
    <numFmt numFmtId="170" formatCode="General"/>
    <numFmt numFmtId="171" formatCode="0.0"/>
    <numFmt numFmtId="172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C6E82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36C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870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EDB8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C6E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Gem. Score (0-100) per niche over tijd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33780729"/>
        <c:axId val="37909012"/>
      </c:barChart>
      <c:catAx>
        <c:axId val="33780729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7909012"/>
        <c:auto val="1"/>
        <c:lblAlgn val="ctr"/>
        <c:lblOffset val="100"/>
        <c:noMultiLvlLbl val="0"/>
      </c:catAx>
      <c:valAx>
        <c:axId val="37909012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3780729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0</xdr:col>
      <xdr:colOff>5398920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0" y="41904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31" activeCellId="0" sqref="C3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1" min="11" style="1" width="17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9"/>
    <col collapsed="false" customWidth="true" hidden="false" outlineLevel="0" max="15" min="15" style="1" width="17"/>
    <col collapsed="false" customWidth="true" hidden="false" outlineLevel="0" max="16" min="16" style="1" width="12"/>
    <col collapsed="false" customWidth="true" hidden="false" outlineLevel="0" max="17" min="17" style="1" width="20"/>
    <col collapsed="false" customWidth="true" hidden="false" outlineLevel="0" max="18" min="18" style="1" width="22"/>
    <col collapsed="false" customWidth="true" hidden="false" outlineLevel="0" max="19" min="19" style="1" width="11"/>
    <col collapsed="false" customWidth="true" hidden="false" outlineLevel="0" max="20" min="20" style="1" width="30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</row>
    <row r="2" customFormat="false" ht="14.25" hidden="false" customHeight="true" outlineLevel="0" collapsed="false">
      <c r="A2" s="4" t="n">
        <v>46267</v>
      </c>
      <c r="B2" s="5" t="s">
        <v>20</v>
      </c>
      <c r="C2" s="5" t="s">
        <v>21</v>
      </c>
      <c r="D2" s="5" t="s">
        <v>22</v>
      </c>
      <c r="E2" s="6" t="n">
        <v>25</v>
      </c>
      <c r="F2" s="7" t="n">
        <v>31700</v>
      </c>
      <c r="G2" s="8" t="n">
        <v>20.15</v>
      </c>
      <c r="H2" s="7" t="n">
        <v>1900000</v>
      </c>
      <c r="I2" s="7" t="n">
        <v>1900000</v>
      </c>
      <c r="J2" s="6" t="n">
        <v>9</v>
      </c>
      <c r="K2" s="9" t="n">
        <f aca="false">IF(OR($J2="",$J2=0),"",$I2/$J2)</f>
        <v>211111.111111111</v>
      </c>
      <c r="L2" s="9" t="n">
        <f aca="false">IF(OR($E2="",$E2=0),"",$H2/$E2)</f>
        <v>76000</v>
      </c>
      <c r="M2" s="10" t="n">
        <f aca="false">IF(OR($L2="",$L2=0),"",($I2/30)/$L2)</f>
        <v>0.833333333333333</v>
      </c>
      <c r="N2" s="8" t="n">
        <v>8.59</v>
      </c>
      <c r="O2" s="11" t="n">
        <f aca="false">IF(OR($I2="",$N2=""),"",($I2/1000)*$N2)</f>
        <v>16321</v>
      </c>
      <c r="P2" s="12" t="n">
        <f aca="false">IF($C2="","",IFERROR(ROUND(MIN(25,($N2/Instellingen!$B$3)*25)+MIN(25,($I2/Instellingen!$B$4)*25)+MIN(25,($J2/Instellingen!$B$5)*25)+MIN(25,(IF($M2="",0,$M2)/Instellingen!$B$6)*25),0),""))</f>
        <v>89</v>
      </c>
      <c r="Q2" s="13" t="str">
        <f aca="false">IF($P2="","",IF($P2&gt;=Instellingen!$B$7,"Sterke niche",IF($P2&gt;=Instellingen!$B$8,"Belofte - opvolgen",IF($P2&gt;=Instellingen!$B$9,"Zwak - twijfel","Vermijden"))))</f>
        <v>Sterke niche</v>
      </c>
      <c r="R2" s="5" t="s">
        <v>23</v>
      </c>
    </row>
    <row r="3" customFormat="false" ht="14.25" hidden="false" customHeight="true" outlineLevel="0" collapsed="false">
      <c r="A3" s="14" t="n">
        <v>46268</v>
      </c>
      <c r="B3" s="15" t="s">
        <v>24</v>
      </c>
      <c r="C3" s="15" t="s">
        <v>25</v>
      </c>
      <c r="D3" s="15" t="s">
        <v>26</v>
      </c>
      <c r="E3" s="16" t="n">
        <v>125</v>
      </c>
      <c r="F3" s="17" t="n">
        <v>7810</v>
      </c>
      <c r="G3" s="18" t="n">
        <v>3.88</v>
      </c>
      <c r="H3" s="17" t="n">
        <v>5641841</v>
      </c>
      <c r="I3" s="17" t="n">
        <v>15555</v>
      </c>
      <c r="J3" s="16" t="n">
        <v>2</v>
      </c>
      <c r="K3" s="19" t="n">
        <f aca="false">IF(OR($J3="",$J3=0),"",$I3/$J3)</f>
        <v>7777.5</v>
      </c>
      <c r="L3" s="19" t="n">
        <f aca="false">IF(OR($E3="",$E3=0),"",$H3/$E3)</f>
        <v>45134.728</v>
      </c>
      <c r="M3" s="20" t="n">
        <f aca="false">IF(OR($L3="",$L3=0),"",($I3/30)/$L3)</f>
        <v>0.0114878281752357</v>
      </c>
      <c r="N3" s="18" t="n">
        <v>4.1472</v>
      </c>
      <c r="O3" s="21" t="n">
        <f aca="false">IF(OR($I3="",$N3=""),"",($I3/1000)*$N3)</f>
        <v>64.509696</v>
      </c>
      <c r="P3" s="22" t="n">
        <f aca="false">IF($C3="","",IFERROR(ROUND(MIN(25,($N3/Instellingen!$B$3)*25)+MIN(25,($I3/Instellingen!$B$4)*25)+MIN(25,($J3/Instellingen!$B$5)*25)+MIN(25,(IF($M3="",0,$M3)/Instellingen!$B$6)*25),0),""))</f>
        <v>24</v>
      </c>
      <c r="Q3" s="23" t="str">
        <f aca="false">IF($P3="","",IF($P3&gt;=Instellingen!$B$7,"Sterke niche",IF($P3&gt;=Instellingen!$B$8,"Belofte - opvolgen",IF($P3&gt;=Instellingen!$B$9,"Zwak - twijfel","Vermijden"))))</f>
        <v>Vermijden</v>
      </c>
      <c r="R3" s="15" t="s">
        <v>27</v>
      </c>
      <c r="S3" s="24" t="s">
        <v>28</v>
      </c>
      <c r="T3" s="25" t="str">
        <f aca="false">IF($C3="","",IF($P3=_xlfn.MAXIFS($P$3:$P$1000,$B$3:$B$1000,$B3),"★ Cash cow – handmatig onderzoeken",""))</f>
        <v>★ Cash cow – handmatig onderzoeken</v>
      </c>
    </row>
    <row r="4" customFormat="false" ht="14.25" hidden="false" customHeight="true" outlineLevel="0" collapsed="false">
      <c r="A4" s="4" t="n">
        <v>46268</v>
      </c>
      <c r="B4" s="5" t="s">
        <v>29</v>
      </c>
      <c r="C4" s="5" t="s">
        <v>30</v>
      </c>
      <c r="D4" s="5" t="s">
        <v>31</v>
      </c>
      <c r="E4" s="6" t="n">
        <v>88</v>
      </c>
      <c r="F4" s="7" t="n">
        <v>1240</v>
      </c>
      <c r="G4" s="8" t="n">
        <v>20.27</v>
      </c>
      <c r="H4" s="7" t="n">
        <v>339490</v>
      </c>
      <c r="I4" s="7" t="n">
        <v>272311</v>
      </c>
      <c r="J4" s="6" t="n">
        <v>11</v>
      </c>
      <c r="K4" s="9" t="n">
        <f aca="false">IF(OR($J4="",$J4=0),"",$I4/$J4)</f>
        <v>24755.5454545455</v>
      </c>
      <c r="L4" s="9" t="n">
        <f aca="false">IF(OR($E4="",$E4=0),"",$H4/$E4)</f>
        <v>3857.84090909091</v>
      </c>
      <c r="M4" s="10" t="n">
        <f aca="false">IF(OR($L4="",$L4=0),"",($I4/30)/$L4)</f>
        <v>2.35287912260548</v>
      </c>
      <c r="N4" s="8" t="n">
        <v>4.2595</v>
      </c>
      <c r="O4" s="11" t="n">
        <f aca="false">IF(OR($I4="",$N4=""),"",($I4/1000)*$N4)</f>
        <v>1159.9087045</v>
      </c>
      <c r="P4" s="12" t="n">
        <f aca="false">IF($C4="","",IFERROR(ROUND(MIN(25,($N4/Instellingen!$B$3)*25)+MIN(25,($I4/Instellingen!$B$4)*25)+MIN(25,($J4/Instellingen!$B$5)*25)+MIN(25,(IF($M4="",0,$M4)/Instellingen!$B$6)*25),0),""))</f>
        <v>75</v>
      </c>
      <c r="Q4" s="13" t="str">
        <f aca="false">IF($P4="","",IF($P4&gt;=Instellingen!$B$7,"Sterke niche",IF($P4&gt;=Instellingen!$B$8,"Belofte - opvolgen",IF($P4&gt;=Instellingen!$B$9,"Zwak - twijfel","Vermijden"))))</f>
        <v>Sterke niche</v>
      </c>
      <c r="R4" s="5" t="s">
        <v>32</v>
      </c>
      <c r="S4" s="24" t="s">
        <v>28</v>
      </c>
      <c r="T4" s="25" t="str">
        <f aca="false">IF($C4="","",IF($P4=_xlfn.MAXIFS($P$3:$P$1000,$B$3:$B$1000,$B4),"★ Cash cow – handmatig onderzoeken",""))</f>
        <v>★ Cash cow – handmatig onderzoeken</v>
      </c>
    </row>
    <row r="5" customFormat="false" ht="14.25" hidden="false" customHeight="true" outlineLevel="0" collapsed="false">
      <c r="A5" s="14" t="n">
        <v>46268</v>
      </c>
      <c r="B5" s="15" t="s">
        <v>33</v>
      </c>
      <c r="C5" s="15" t="s">
        <v>34</v>
      </c>
      <c r="D5" s="15" t="s">
        <v>35</v>
      </c>
      <c r="E5" s="16" t="n">
        <v>99</v>
      </c>
      <c r="F5" s="17" t="n">
        <v>17400</v>
      </c>
      <c r="G5" s="18" t="n">
        <v>4.02</v>
      </c>
      <c r="H5" s="17" t="n">
        <v>16927302</v>
      </c>
      <c r="I5" s="17" t="n">
        <v>1786636</v>
      </c>
      <c r="J5" s="16" t="n">
        <v>24</v>
      </c>
      <c r="K5" s="19" t="n">
        <f aca="false">IF(OR($J5="",$J5=0),"",$I5/$J5)</f>
        <v>74443.1666666667</v>
      </c>
      <c r="L5" s="19" t="n">
        <f aca="false">IF(OR($E5="",$E5=0),"",$H5/$E5)</f>
        <v>170982.848484848</v>
      </c>
      <c r="M5" s="20" t="n">
        <f aca="false">IF(OR($L5="",$L5=0),"",($I5/30)/$L5)</f>
        <v>0.348307060392731</v>
      </c>
      <c r="N5" s="18" t="n">
        <v>1.548</v>
      </c>
      <c r="O5" s="21" t="n">
        <f aca="false">IF(OR($I5="",$N5=""),"",($I5/1000)*$N5)</f>
        <v>2765.712528</v>
      </c>
      <c r="P5" s="22" t="n">
        <f aca="false">IF($C5="","",IFERROR(ROUND(MIN(25,($N5/Instellingen!$B$3)*25)+MIN(25,($I5/Instellingen!$B$4)*25)+MIN(25,($J5/Instellingen!$B$5)*25)+MIN(25,(IF($M5="",0,$M5)/Instellingen!$B$6)*25),0),""))</f>
        <v>62</v>
      </c>
      <c r="Q5" s="23" t="str">
        <f aca="false">IF($P5="","",IF($P5&gt;=Instellingen!$B$7,"Sterke niche",IF($P5&gt;=Instellingen!$B$8,"Belofte - opvolgen",IF($P5&gt;=Instellingen!$B$9,"Zwak - twijfel","Vermijden"))))</f>
        <v>Belofte - opvolgen</v>
      </c>
      <c r="R5" s="15" t="s">
        <v>36</v>
      </c>
      <c r="S5" s="24" t="s">
        <v>28</v>
      </c>
      <c r="T5" s="25" t="str">
        <f aca="false">IF($C5="","",IF($P5=_xlfn.MAXIFS($P$3:$P$1000,$B$3:$B$1000,$B5),"★ Cash cow – handmatig onderzoeken",""))</f>
        <v>★ Cash cow – handmatig onderzoeken</v>
      </c>
    </row>
    <row r="6" customFormat="false" ht="14.25" hidden="false" customHeight="true" outlineLevel="0" collapsed="false">
      <c r="A6" s="4" t="n">
        <v>46268</v>
      </c>
      <c r="B6" s="5" t="s">
        <v>33</v>
      </c>
      <c r="C6" s="5" t="s">
        <v>37</v>
      </c>
      <c r="D6" s="5" t="s">
        <v>38</v>
      </c>
      <c r="E6" s="6" t="n">
        <v>137</v>
      </c>
      <c r="F6" s="7" t="n">
        <v>2710</v>
      </c>
      <c r="G6" s="8" t="n">
        <v>10.34</v>
      </c>
      <c r="H6" s="7" t="n">
        <v>883598</v>
      </c>
      <c r="I6" s="7" t="n">
        <v>91779</v>
      </c>
      <c r="J6" s="6" t="n">
        <v>0</v>
      </c>
      <c r="K6" s="9" t="str">
        <f aca="false">IF(OR($J6="",$J6=0),"",$I6/$J6)</f>
        <v/>
      </c>
      <c r="L6" s="9" t="n">
        <f aca="false">IF(OR($E6="",$E6=0),"",$H6/$E6)</f>
        <v>6449.6204379562</v>
      </c>
      <c r="M6" s="10" t="n">
        <f aca="false">IF(OR($L6="",$L6=0),"",($I6/30)/$L6)</f>
        <v>0.474337990805774</v>
      </c>
      <c r="N6" s="8" t="n">
        <v>1.782</v>
      </c>
      <c r="O6" s="11" t="n">
        <f aca="false">IF(OR($I6="",$N6=""),"",($I6/1000)*$N6)</f>
        <v>163.550178</v>
      </c>
      <c r="P6" s="12" t="n">
        <f aca="false">IF($C6="","",IFERROR(ROUND(MIN(25,($N6/Instellingen!$B$3)*25)+MIN(25,($I6/Instellingen!$B$4)*25)+MIN(25,($J6/Instellingen!$B$5)*25)+MIN(25,(IF($M6="",0,$M6)/Instellingen!$B$6)*25),0),""))</f>
        <v>18</v>
      </c>
      <c r="Q6" s="13" t="str">
        <f aca="false">IF($P6="","",IF($P6&gt;=Instellingen!$B$7,"Sterke niche",IF($P6&gt;=Instellingen!$B$8,"Belofte - opvolgen",IF($P6&gt;=Instellingen!$B$9,"Zwak - twijfel","Vermijden"))))</f>
        <v>Vermijden</v>
      </c>
      <c r="R6" s="5" t="s">
        <v>39</v>
      </c>
      <c r="S6" s="24" t="s">
        <v>28</v>
      </c>
      <c r="T6" s="25" t="str">
        <f aca="false">IF($C6="","",IF($P6=_xlfn.MAXIFS($P$3:$P$1000,$B$3:$B$1000,$B6),"★ Cash cow – handmatig onderzoeken",""))</f>
        <v/>
      </c>
    </row>
    <row r="7" customFormat="false" ht="14.25" hidden="false" customHeight="true" outlineLevel="0" collapsed="false">
      <c r="A7" s="14" t="n">
        <v>46268</v>
      </c>
      <c r="B7" s="15" t="s">
        <v>40</v>
      </c>
      <c r="C7" s="15" t="s">
        <v>41</v>
      </c>
      <c r="D7" s="15" t="s">
        <v>42</v>
      </c>
      <c r="E7" s="16" t="n">
        <v>137</v>
      </c>
      <c r="F7" s="17" t="n">
        <v>6780</v>
      </c>
      <c r="G7" s="18" t="n">
        <v>43.44</v>
      </c>
      <c r="H7" s="17" t="n">
        <v>3658579</v>
      </c>
      <c r="I7" s="17" t="n">
        <v>1981264</v>
      </c>
      <c r="J7" s="16" t="n">
        <v>18</v>
      </c>
      <c r="K7" s="19" t="n">
        <f aca="false">IF(OR($J7="",$J7=0),"",$I7/$J7)</f>
        <v>110070.222222222</v>
      </c>
      <c r="L7" s="19" t="n">
        <f aca="false">IF(OR($E7="",$E7=0),"",$H7/$E7)</f>
        <v>26704.9562043796</v>
      </c>
      <c r="M7" s="20" t="n">
        <f aca="false">IF(OR($L7="",$L7=0),"",($I7/30)/$L7)</f>
        <v>2.4730290822384</v>
      </c>
      <c r="N7" s="18" t="n">
        <v>4.8384</v>
      </c>
      <c r="O7" s="21" t="n">
        <f aca="false">IF(OR($I7="",$N7=""),"",($I7/1000)*$N7)</f>
        <v>9586.1477376</v>
      </c>
      <c r="P7" s="22" t="n">
        <f aca="false">IF($C7="","",IFERROR(ROUND(MIN(25,($N7/Instellingen!$B$3)*25)+MIN(25,($I7/Instellingen!$B$4)*25)+MIN(25,($J7/Instellingen!$B$5)*25)+MIN(25,(IF($M7="",0,$M7)/Instellingen!$B$6)*25),0),""))</f>
        <v>95</v>
      </c>
      <c r="Q7" s="23" t="str">
        <f aca="false">IF($P7="","",IF($P7&gt;=Instellingen!$B$7,"Sterke niche",IF($P7&gt;=Instellingen!$B$8,"Belofte - opvolgen",IF($P7&gt;=Instellingen!$B$9,"Zwak - twijfel","Vermijden"))))</f>
        <v>Sterke niche</v>
      </c>
      <c r="R7" s="15" t="s">
        <v>32</v>
      </c>
      <c r="S7" s="24" t="s">
        <v>28</v>
      </c>
      <c r="T7" s="25" t="str">
        <f aca="false">IF($C7="","",IF($P7=_xlfn.MAXIFS($P$3:$P$1000,$B$3:$B$1000,$B7),"★ Cash cow – handmatig onderzoeken",""))</f>
        <v>★ Cash cow – handmatig onderzoeken</v>
      </c>
    </row>
    <row r="8" customFormat="false" ht="14.25" hidden="false" customHeight="true" outlineLevel="0" collapsed="false">
      <c r="A8" s="4" t="n">
        <v>46268</v>
      </c>
      <c r="B8" s="5" t="s">
        <v>43</v>
      </c>
      <c r="C8" s="5" t="s">
        <v>44</v>
      </c>
      <c r="D8" s="5" t="s">
        <v>45</v>
      </c>
      <c r="E8" s="6" t="n">
        <v>124</v>
      </c>
      <c r="F8" s="7" t="n">
        <v>550</v>
      </c>
      <c r="G8" s="8" t="n">
        <v>5.32</v>
      </c>
      <c r="H8" s="7" t="n">
        <v>70629</v>
      </c>
      <c r="I8" s="7" t="n">
        <v>129</v>
      </c>
      <c r="J8" s="6" t="n">
        <v>0</v>
      </c>
      <c r="K8" s="9" t="str">
        <f aca="false">IF(OR($J8="",$J8=0),"",$I8/$J8)</f>
        <v/>
      </c>
      <c r="L8" s="9" t="n">
        <f aca="false">IF(OR($E8="",$E8=0),"",$H8/$E8)</f>
        <v>569.588709677419</v>
      </c>
      <c r="M8" s="10" t="n">
        <f aca="false">IF(OR($L8="",$L8=0),"",($I8/30)/$L8)</f>
        <v>0.00754930694190772</v>
      </c>
      <c r="N8" s="8" t="n">
        <v>3.0465</v>
      </c>
      <c r="O8" s="11" t="n">
        <f aca="false">IF(OR($I8="",$N8=""),"",($I8/1000)*$N8)</f>
        <v>0.3929985</v>
      </c>
      <c r="P8" s="12" t="n">
        <f aca="false">IF($C8="","",IFERROR(ROUND(MIN(25,($N8/Instellingen!$B$3)*25)+MIN(25,($I8/Instellingen!$B$4)*25)+MIN(25,($J8/Instellingen!$B$5)*25)+MIN(25,(IF($M8="",0,$M8)/Instellingen!$B$6)*25),0),""))</f>
        <v>13</v>
      </c>
      <c r="Q8" s="13" t="str">
        <f aca="false">IF($P8="","",IF($P8&gt;=Instellingen!$B$7,"Sterke niche",IF($P8&gt;=Instellingen!$B$8,"Belofte - opvolgen",IF($P8&gt;=Instellingen!$B$9,"Zwak - twijfel","Vermijden"))))</f>
        <v>Vermijden</v>
      </c>
      <c r="R8" s="5" t="s">
        <v>46</v>
      </c>
      <c r="S8" s="24" t="s">
        <v>28</v>
      </c>
      <c r="T8" s="25" t="str">
        <f aca="false">IF($C8="","",IF($P8=_xlfn.MAXIFS($P$3:$P$1000,$B$3:$B$1000,$B8),"★ Cash cow – handmatig onderzoeken",""))</f>
        <v>★ Cash cow – handmatig onderzoeken</v>
      </c>
    </row>
    <row r="9" customFormat="false" ht="14.25" hidden="false" customHeight="true" outlineLevel="0" collapsed="false">
      <c r="A9" s="14" t="n">
        <v>46268</v>
      </c>
      <c r="B9" s="15" t="s">
        <v>47</v>
      </c>
      <c r="C9" s="15" t="s">
        <v>48</v>
      </c>
      <c r="D9" s="15" t="s">
        <v>49</v>
      </c>
      <c r="E9" s="16" t="n">
        <v>119</v>
      </c>
      <c r="F9" s="17" t="n">
        <v>3390</v>
      </c>
      <c r="G9" s="18" t="n">
        <v>86.19</v>
      </c>
      <c r="H9" s="17" t="n">
        <v>399336</v>
      </c>
      <c r="I9" s="17" t="n">
        <v>247133</v>
      </c>
      <c r="J9" s="16" t="n">
        <v>9</v>
      </c>
      <c r="K9" s="19" t="n">
        <f aca="false">IF(OR($J9="",$J9=0),"",$I9/$J9)</f>
        <v>27459.2222222222</v>
      </c>
      <c r="L9" s="19" t="n">
        <f aca="false">IF(OR($E9="",$E9=0),"",$H9/$E9)</f>
        <v>3355.76470588235</v>
      </c>
      <c r="M9" s="20" t="n">
        <f aca="false">IF(OR($L9="",$L9=0),"",($I9/30)/$L9)</f>
        <v>2.45481056887767</v>
      </c>
      <c r="N9" s="18" t="n">
        <v>6.6096</v>
      </c>
      <c r="O9" s="21" t="n">
        <f aca="false">IF(OR($I9="",$N9=""),"",($I9/1000)*$N9)</f>
        <v>1633.4502768</v>
      </c>
      <c r="P9" s="22" t="n">
        <f aca="false">IF($C9="","",IFERROR(ROUND(MIN(25,($N9/Instellingen!$B$3)*25)+MIN(25,($I9/Instellingen!$B$4)*25)+MIN(25,($J9/Instellingen!$B$5)*25)+MIN(25,(IF($M9="",0,$M9)/Instellingen!$B$6)*25),0),""))</f>
        <v>81</v>
      </c>
      <c r="Q9" s="23" t="str">
        <f aca="false">IF($P9="","",IF($P9&gt;=Instellingen!$B$7,"Sterke niche",IF($P9&gt;=Instellingen!$B$8,"Belofte - opvolgen",IF($P9&gt;=Instellingen!$B$9,"Zwak - twijfel","Vermijden"))))</f>
        <v>Sterke niche</v>
      </c>
      <c r="R9" s="15" t="s">
        <v>32</v>
      </c>
      <c r="S9" s="24" t="s">
        <v>28</v>
      </c>
      <c r="T9" s="25" t="str">
        <f aca="false">IF($C9="","",IF($P9=_xlfn.MAXIFS($P$3:$P$1000,$B$3:$B$1000,$B9),"★ Cash cow – handmatig onderzoeken",""))</f>
        <v>★ Cash cow – handmatig onderzoeken</v>
      </c>
    </row>
    <row r="10" customFormat="false" ht="14.25" hidden="false" customHeight="true" outlineLevel="0" collapsed="false">
      <c r="A10" s="4" t="n">
        <v>46268</v>
      </c>
      <c r="B10" s="5" t="s">
        <v>20</v>
      </c>
      <c r="C10" s="5" t="s">
        <v>50</v>
      </c>
      <c r="D10" s="5" t="s">
        <v>51</v>
      </c>
      <c r="E10" s="6" t="n">
        <v>98</v>
      </c>
      <c r="F10" s="7" t="n">
        <v>25300</v>
      </c>
      <c r="G10" s="8" t="n">
        <v>4.7</v>
      </c>
      <c r="H10" s="7" t="n">
        <v>688541</v>
      </c>
      <c r="I10" s="7" t="n">
        <v>216</v>
      </c>
      <c r="J10" s="6" t="n">
        <v>8</v>
      </c>
      <c r="K10" s="9" t="n">
        <f aca="false">IF(OR($J10="",$J10=0),"",$I10/$J10)</f>
        <v>27</v>
      </c>
      <c r="L10" s="9" t="n">
        <f aca="false">IF(OR($E10="",$E10=0),"",$H10/$E10)</f>
        <v>7025.92857142857</v>
      </c>
      <c r="M10" s="10" t="n">
        <f aca="false">IF(OR($L10="",$L10=0),"",($I10/30)/$L10)</f>
        <v>0.0010247755761821</v>
      </c>
      <c r="N10" s="8" t="n">
        <v>5.9162</v>
      </c>
      <c r="O10" s="11" t="n">
        <f aca="false">IF(OR($I10="",$N10=""),"",($I10/1000)*$N10)</f>
        <v>1.2778992</v>
      </c>
      <c r="P10" s="12" t="n">
        <f aca="false">IF($C10="","",IFERROR(ROUND(MIN(25,($N10/Instellingen!$B$3)*25)+MIN(25,($I10/Instellingen!$B$4)*25)+MIN(25,($J10/Instellingen!$B$5)*25)+MIN(25,(IF($M10="",0,$M10)/Instellingen!$B$6)*25),0),""))</f>
        <v>50</v>
      </c>
      <c r="Q10" s="13" t="str">
        <f aca="false">IF($P10="","",IF($P10&gt;=Instellingen!$B$7,"Sterke niche",IF($P10&gt;=Instellingen!$B$8,"Belofte - opvolgen",IF($P10&gt;=Instellingen!$B$9,"Zwak - twijfel","Vermijden"))))</f>
        <v>Belofte - opvolgen</v>
      </c>
      <c r="R10" s="5" t="s">
        <v>36</v>
      </c>
      <c r="S10" s="24" t="s">
        <v>28</v>
      </c>
      <c r="T10" s="25" t="str">
        <f aca="false">IF($C10="","",IF($P10=_xlfn.MAXIFS($P$3:$P$1000,$B$3:$B$1000,$B10),"★ Cash cow – handmatig onderzoeken",""))</f>
        <v/>
      </c>
    </row>
    <row r="11" customFormat="false" ht="14.25" hidden="false" customHeight="true" outlineLevel="0" collapsed="false">
      <c r="A11" s="14" t="n">
        <v>46268</v>
      </c>
      <c r="B11" s="15" t="s">
        <v>20</v>
      </c>
      <c r="C11" s="15" t="s">
        <v>52</v>
      </c>
      <c r="D11" s="15" t="s">
        <v>53</v>
      </c>
      <c r="E11" s="16" t="n">
        <v>140</v>
      </c>
      <c r="F11" s="17" t="n">
        <v>3310</v>
      </c>
      <c r="G11" s="18" t="n">
        <v>10.45</v>
      </c>
      <c r="H11" s="17" t="n">
        <v>341433</v>
      </c>
      <c r="I11" s="17" t="n">
        <v>3592</v>
      </c>
      <c r="J11" s="16" t="n">
        <v>0</v>
      </c>
      <c r="K11" s="19" t="str">
        <f aca="false">IF(OR($J11="",$J11=0),"",$I11/$J11)</f>
        <v/>
      </c>
      <c r="L11" s="19" t="n">
        <f aca="false">IF(OR($E11="",$E11=0),"",$H11/$E11)</f>
        <v>2438.80714285714</v>
      </c>
      <c r="M11" s="20" t="n">
        <f aca="false">IF(OR($L11="",$L11=0),"",($I11/30)/$L11)</f>
        <v>0.0490950396319825</v>
      </c>
      <c r="N11" s="18" t="n">
        <v>6.0955</v>
      </c>
      <c r="O11" s="21" t="n">
        <f aca="false">IF(OR($I11="",$N11=""),"",($I11/1000)*$N11)</f>
        <v>21.895036</v>
      </c>
      <c r="P11" s="22" t="n">
        <f aca="false">IF($C11="","",IFERROR(ROUND(MIN(25,($N11/Instellingen!$B$3)*25)+MIN(25,($I11/Instellingen!$B$4)*25)+MIN(25,($J11/Instellingen!$B$5)*25)+MIN(25,(IF($M11="",0,$M11)/Instellingen!$B$6)*25),0),""))</f>
        <v>26</v>
      </c>
      <c r="Q11" s="23" t="str">
        <f aca="false">IF($P11="","",IF($P11&gt;=Instellingen!$B$7,"Sterke niche",IF($P11&gt;=Instellingen!$B$8,"Belofte - opvolgen",IF($P11&gt;=Instellingen!$B$9,"Zwak - twijfel","Vermijden"))))</f>
        <v>Vermijden</v>
      </c>
      <c r="R11" s="15" t="s">
        <v>46</v>
      </c>
      <c r="S11" s="24" t="s">
        <v>28</v>
      </c>
      <c r="T11" s="25" t="str">
        <f aca="false">IF($C11="","",IF($P11=_xlfn.MAXIFS($P$3:$P$1000,$B$3:$B$1000,$B11),"★ Cash cow – handmatig onderzoeken",""))</f>
        <v/>
      </c>
    </row>
    <row r="12" customFormat="false" ht="14.25" hidden="false" customHeight="true" outlineLevel="0" collapsed="false">
      <c r="A12" s="4" t="n">
        <v>46268</v>
      </c>
      <c r="B12" s="5" t="s">
        <v>20</v>
      </c>
      <c r="C12" s="5" t="s">
        <v>54</v>
      </c>
      <c r="D12" s="5" t="s">
        <v>55</v>
      </c>
      <c r="E12" s="6" t="n">
        <v>112</v>
      </c>
      <c r="F12" s="7" t="n">
        <v>4150</v>
      </c>
      <c r="G12" s="8" t="n">
        <v>16.57</v>
      </c>
      <c r="H12" s="7" t="n">
        <v>713843</v>
      </c>
      <c r="I12" s="7" t="n">
        <v>458599</v>
      </c>
      <c r="J12" s="6" t="n">
        <v>30</v>
      </c>
      <c r="K12" s="9" t="n">
        <f aca="false">IF(OR($J12="",$J12=0),"",$I12/$J12)</f>
        <v>15286.6333333333</v>
      </c>
      <c r="L12" s="9" t="n">
        <f aca="false">IF(OR($E12="",$E12=0),"",$H12/$E12)</f>
        <v>6373.59821428572</v>
      </c>
      <c r="M12" s="10" t="n">
        <f aca="false">IF(OR($L12="",$L12=0),"",($I12/30)/$L12)</f>
        <v>2.39843065398601</v>
      </c>
      <c r="N12" s="8" t="n">
        <v>9.2664</v>
      </c>
      <c r="O12" s="11" t="n">
        <f aca="false">IF(OR($I12="",$N12=""),"",($I12/1000)*$N12)</f>
        <v>4249.5617736</v>
      </c>
      <c r="P12" s="12" t="n">
        <f aca="false">IF($C12="","",IFERROR(ROUND(MIN(25,($N12/Instellingen!$B$3)*25)+MIN(25,($I12/Instellingen!$B$4)*25)+MIN(25,($J12/Instellingen!$B$5)*25)+MIN(25,(IF($M12="",0,$M12)/Instellingen!$B$6)*25),0),""))</f>
        <v>86</v>
      </c>
      <c r="Q12" s="13" t="str">
        <f aca="false">IF($P12="","",IF($P12&gt;=Instellingen!$B$7,"Sterke niche",IF($P12&gt;=Instellingen!$B$8,"Belofte - opvolgen",IF($P12&gt;=Instellingen!$B$9,"Zwak - twijfel","Vermijden"))))</f>
        <v>Sterke niche</v>
      </c>
      <c r="R12" s="5" t="s">
        <v>32</v>
      </c>
      <c r="S12" s="24" t="s">
        <v>28</v>
      </c>
      <c r="T12" s="25" t="str">
        <f aca="false">IF($C12="","",IF($P12=_xlfn.MAXIFS($P$3:$P$1000,$B$3:$B$1000,$B12),"★ Cash cow – handmatig onderzoeken",""))</f>
        <v>★ Cash cow – handmatig onderzoeken</v>
      </c>
    </row>
    <row r="13" customFormat="false" ht="14.25" hidden="false" customHeight="true" outlineLevel="0" collapsed="false">
      <c r="A13" s="14" t="n">
        <v>46268</v>
      </c>
      <c r="B13" s="15" t="s">
        <v>56</v>
      </c>
      <c r="C13" s="15" t="s">
        <v>57</v>
      </c>
      <c r="D13" s="15" t="s">
        <v>58</v>
      </c>
      <c r="E13" s="16" t="n">
        <v>50</v>
      </c>
      <c r="F13" s="17" t="n">
        <v>3660</v>
      </c>
      <c r="G13" s="18" t="n">
        <v>15.73</v>
      </c>
      <c r="H13" s="17" t="n">
        <v>1061545</v>
      </c>
      <c r="I13" s="17" t="n">
        <v>1022653</v>
      </c>
      <c r="J13" s="16" t="n">
        <v>22</v>
      </c>
      <c r="K13" s="19" t="n">
        <f aca="false">IF(OR($J13="",$J13=0),"",$I13/$J13)</f>
        <v>46484.2272727273</v>
      </c>
      <c r="L13" s="19" t="n">
        <f aca="false">IF(OR($E13="",$E13=0),"",$H13/$E13)</f>
        <v>21230.9</v>
      </c>
      <c r="M13" s="20" t="n">
        <f aca="false">IF(OR($L13="",$L13=0),"",($I13/30)/$L13)</f>
        <v>1.60560472393226</v>
      </c>
      <c r="N13" s="18" t="n">
        <v>4.5619</v>
      </c>
      <c r="O13" s="21" t="n">
        <f aca="false">IF(OR($I13="",$N13=""),"",($I13/1000)*$N13)</f>
        <v>4665.2407207</v>
      </c>
      <c r="P13" s="22" t="n">
        <f aca="false">IF($C13="","",IFERROR(ROUND(MIN(25,($N13/Instellingen!$B$3)*25)+MIN(25,($I13/Instellingen!$B$4)*25)+MIN(25,($J13/Instellingen!$B$5)*25)+MIN(25,(IF($M13="",0,$M13)/Instellingen!$B$6)*25),0),""))</f>
        <v>94</v>
      </c>
      <c r="Q13" s="23" t="str">
        <f aca="false">IF($P13="","",IF($P13&gt;=Instellingen!$B$7,"Sterke niche",IF($P13&gt;=Instellingen!$B$8,"Belofte - opvolgen",IF($P13&gt;=Instellingen!$B$9,"Zwak - twijfel","Vermijden"))))</f>
        <v>Sterke niche</v>
      </c>
      <c r="R13" s="15" t="s">
        <v>32</v>
      </c>
      <c r="S13" s="24" t="s">
        <v>28</v>
      </c>
      <c r="T13" s="25" t="str">
        <f aca="false">IF($C13="","",IF($P13=_xlfn.MAXIFS($P$3:$P$1000,$B$3:$B$1000,$B13),"★ Cash cow – handmatig onderzoeken",""))</f>
        <v>★ Cash cow – handmatig onderzoeken</v>
      </c>
    </row>
    <row r="14" customFormat="false" ht="14.25" hidden="false" customHeight="true" outlineLevel="0" collapsed="false">
      <c r="A14" s="4" t="n">
        <v>46268</v>
      </c>
      <c r="B14" s="5" t="s">
        <v>59</v>
      </c>
      <c r="C14" s="5" t="s">
        <v>60</v>
      </c>
      <c r="D14" s="5" t="s">
        <v>61</v>
      </c>
      <c r="E14" s="6" t="n">
        <v>132</v>
      </c>
      <c r="F14" s="7" t="n">
        <v>4670</v>
      </c>
      <c r="G14" s="8" t="n">
        <v>18.78</v>
      </c>
      <c r="H14" s="7" t="n">
        <v>566297</v>
      </c>
      <c r="I14" s="7" t="n">
        <v>61187</v>
      </c>
      <c r="J14" s="6" t="n">
        <v>0</v>
      </c>
      <c r="K14" s="9" t="str">
        <f aca="false">IF(OR($J14="",$J14=0),"",$I14/$J14)</f>
        <v/>
      </c>
      <c r="L14" s="9" t="n">
        <f aca="false">IF(OR($E14="",$E14=0),"",$H14/$E14)</f>
        <v>4290.12878787879</v>
      </c>
      <c r="M14" s="10" t="n">
        <f aca="false">IF(OR($L14="",$L14=0),"",($I14/30)/$L14)</f>
        <v>0.475409193409112</v>
      </c>
      <c r="N14" s="8" t="n">
        <v>6.629</v>
      </c>
      <c r="O14" s="11" t="n">
        <f aca="false">IF(OR($I14="",$N14=""),"",($I14/1000)*$N14)</f>
        <v>405.608623</v>
      </c>
      <c r="P14" s="12" t="n">
        <f aca="false">IF($C14="","",IFERROR(ROUND(MIN(25,($N14/Instellingen!$B$3)*25)+MIN(25,($I14/Instellingen!$B$4)*25)+MIN(25,($J14/Instellingen!$B$5)*25)+MIN(25,(IF($M14="",0,$M14)/Instellingen!$B$6)*25),0),""))</f>
        <v>34</v>
      </c>
      <c r="Q14" s="13" t="str">
        <f aca="false">IF($P14="","",IF($P14&gt;=Instellingen!$B$7,"Sterke niche",IF($P14&gt;=Instellingen!$B$8,"Belofte - opvolgen",IF($P14&gt;=Instellingen!$B$9,"Zwak - twijfel","Vermijden"))))</f>
        <v>Zwak - twijfel</v>
      </c>
      <c r="R14" s="5" t="s">
        <v>62</v>
      </c>
      <c r="S14" s="24" t="s">
        <v>28</v>
      </c>
      <c r="T14" s="25" t="str">
        <f aca="false">IF($C14="","",IF($P14=_xlfn.MAXIFS($P$3:$P$1000,$B$3:$B$1000,$B14),"★ Cash cow – handmatig onderzoeken",""))</f>
        <v>★ Cash cow – handmatig onderzoeken</v>
      </c>
    </row>
    <row r="15" customFormat="false" ht="14.25" hidden="false" customHeight="true" outlineLevel="0" collapsed="false">
      <c r="A15" s="14" t="n">
        <v>46268</v>
      </c>
      <c r="B15" s="15" t="s">
        <v>63</v>
      </c>
      <c r="C15" s="15" t="s">
        <v>64</v>
      </c>
      <c r="D15" s="15" t="s">
        <v>65</v>
      </c>
      <c r="E15" s="16" t="n">
        <v>178</v>
      </c>
      <c r="F15" s="17" t="n">
        <v>1520</v>
      </c>
      <c r="G15" s="18" t="n">
        <v>12.23</v>
      </c>
      <c r="H15" s="17" t="n">
        <v>198709</v>
      </c>
      <c r="I15" s="17" t="n">
        <v>3229</v>
      </c>
      <c r="J15" s="16" t="n">
        <v>1</v>
      </c>
      <c r="K15" s="19" t="n">
        <f aca="false">IF(OR($J15="",$J15=0),"",$I15/$J15)</f>
        <v>3229</v>
      </c>
      <c r="L15" s="19" t="n">
        <f aca="false">IF(OR($E15="",$E15=0),"",$H15/$E15)</f>
        <v>1116.34269662921</v>
      </c>
      <c r="M15" s="20" t="n">
        <f aca="false">IF(OR($L15="",$L15=0),"",($I15/30)/$L15)</f>
        <v>0.0964160321542222</v>
      </c>
      <c r="N15" s="18" t="n">
        <v>3.672</v>
      </c>
      <c r="O15" s="21" t="n">
        <f aca="false">IF(OR($I15="",$N15=""),"",($I15/1000)*$N15)</f>
        <v>11.856888</v>
      </c>
      <c r="P15" s="22" t="n">
        <f aca="false">IF($C15="","",IFERROR(ROUND(MIN(25,($N15/Instellingen!$B$3)*25)+MIN(25,($I15/Instellingen!$B$4)*25)+MIN(25,($J15/Instellingen!$B$5)*25)+MIN(25,(IF($M15="",0,$M15)/Instellingen!$B$6)*25),0),""))</f>
        <v>20</v>
      </c>
      <c r="Q15" s="23" t="str">
        <f aca="false">IF($P15="","",IF($P15&gt;=Instellingen!$B$7,"Sterke niche",IF($P15&gt;=Instellingen!$B$8,"Belofte - opvolgen",IF($P15&gt;=Instellingen!$B$9,"Zwak - twijfel","Vermijden"))))</f>
        <v>Vermijden</v>
      </c>
      <c r="R15" s="15" t="s">
        <v>46</v>
      </c>
      <c r="S15" s="24" t="s">
        <v>28</v>
      </c>
      <c r="T15" s="25" t="str">
        <f aca="false">IF($C15="","",IF($P15=_xlfn.MAXIFS($P$3:$P$1000,$B$3:$B$1000,$B15),"★ Cash cow – handmatig onderzoeken",""))</f>
        <v>★ Cash cow – handmatig onderzoeken</v>
      </c>
    </row>
    <row r="16" customFormat="false" ht="14.25" hidden="false" customHeight="true" outlineLevel="0" collapsed="false">
      <c r="A16" s="4" t="n">
        <v>46268</v>
      </c>
      <c r="B16" s="5" t="s">
        <v>66</v>
      </c>
      <c r="C16" s="5" t="s">
        <v>67</v>
      </c>
      <c r="D16" s="5" t="s">
        <v>68</v>
      </c>
      <c r="E16" s="6" t="n">
        <v>98</v>
      </c>
      <c r="F16" s="7" t="n">
        <v>4500</v>
      </c>
      <c r="G16" s="8" t="n">
        <v>36.04</v>
      </c>
      <c r="H16" s="7" t="n">
        <v>229326</v>
      </c>
      <c r="I16" s="7" t="n">
        <v>129310</v>
      </c>
      <c r="J16" s="6" t="n">
        <v>5</v>
      </c>
      <c r="K16" s="9" t="n">
        <f aca="false">IF(OR($J16="",$J16=0),"",$I16/$J16)</f>
        <v>25862</v>
      </c>
      <c r="L16" s="9" t="n">
        <f aca="false">IF(OR($E16="",$E16=0),"",$H16/$E16)</f>
        <v>2340.0612244898</v>
      </c>
      <c r="M16" s="10" t="n">
        <f aca="false">IF(OR($L16="",$L16=0),"",($I16/30)/$L16)</f>
        <v>1.84197459802494</v>
      </c>
      <c r="N16" s="8" t="n">
        <v>3.672</v>
      </c>
      <c r="O16" s="11" t="n">
        <f aca="false">IF(OR($I16="",$N16=""),"",($I16/1000)*$N16)</f>
        <v>474.82632</v>
      </c>
      <c r="P16" s="12" t="n">
        <f aca="false">IF($C16="","",IFERROR(ROUND(MIN(25,($N16/Instellingen!$B$3)*25)+MIN(25,($I16/Instellingen!$B$4)*25)+MIN(25,($J16/Instellingen!$B$5)*25)+MIN(25,(IF($M16="",0,$M16)/Instellingen!$B$6)*25),0),""))</f>
        <v>59</v>
      </c>
      <c r="Q16" s="13" t="str">
        <f aca="false">IF($P16="","",IF($P16&gt;=Instellingen!$B$7,"Sterke niche",IF($P16&gt;=Instellingen!$B$8,"Belofte - opvolgen",IF($P16&gt;=Instellingen!$B$9,"Zwak - twijfel","Vermijden"))))</f>
        <v>Belofte - opvolgen</v>
      </c>
      <c r="R16" s="5" t="s">
        <v>36</v>
      </c>
      <c r="S16" s="24" t="s">
        <v>28</v>
      </c>
      <c r="T16" s="25" t="str">
        <f aca="false">IF($C16="","",IF($P16=_xlfn.MAXIFS($P$3:$P$1000,$B$3:$B$1000,$B16),"★ Cash cow – handmatig onderzoeken",""))</f>
        <v>★ Cash cow – handmatig onderzoeken</v>
      </c>
    </row>
    <row r="17" customFormat="false" ht="14.25" hidden="false" customHeight="true" outlineLevel="0" collapsed="false">
      <c r="A17" s="14"/>
      <c r="B17" s="15"/>
      <c r="C17" s="15"/>
      <c r="D17" s="15"/>
      <c r="E17" s="16"/>
      <c r="F17" s="17"/>
      <c r="G17" s="18"/>
      <c r="H17" s="17"/>
      <c r="I17" s="17"/>
      <c r="J17" s="16"/>
      <c r="K17" s="19" t="str">
        <f aca="false">IF(OR($J17="",$J17=0),"",$I17/$J17)</f>
        <v/>
      </c>
      <c r="L17" s="19" t="str">
        <f aca="false">IF(OR($E17="",$E17=0),"",$H17/$E17)</f>
        <v/>
      </c>
      <c r="M17" s="20" t="str">
        <f aca="false">IF(OR($L17="",$L17=0),"",($I17/30)/$L17)</f>
        <v/>
      </c>
      <c r="N17" s="18"/>
      <c r="O17" s="21" t="str">
        <f aca="false">IF(OR($I17="",$N17=""),"",($I17/1000)*$N17)</f>
        <v/>
      </c>
      <c r="P17" s="22" t="str">
        <f aca="false">IF($C17="","",IFERROR(ROUND(MIN(25,($N17/Instellingen!$B$3)*25)+MIN(25,($I17/Instellingen!$B$4)*25)+MIN(25,($J17/Instellingen!$B$5)*25)+MIN(25,(IF($M17="",0,$M17)/Instellingen!$B$6)*25),0),""))</f>
        <v/>
      </c>
      <c r="Q17" s="23" t="str">
        <f aca="false">IF($P17="","",IF($P17&gt;=Instellingen!$B$7,"Sterke niche",IF($P17&gt;=Instellingen!$B$8,"Belofte - opvolgen",IF($P17&gt;=Instellingen!$B$9,"Zwak - twijfel","Vermijden"))))</f>
        <v/>
      </c>
      <c r="R17" s="15"/>
      <c r="T17" s="1" t="str">
        <f aca="false">IF($C17="","",IF($P17=_xlfn.MAXIFS($P$3:$P$1000,$B$3:$B$1000,$B17),"★ Cash cow – handmatig onderzoeken",""))</f>
        <v/>
      </c>
    </row>
    <row r="18" customFormat="false" ht="14.25" hidden="false" customHeight="true" outlineLevel="0" collapsed="false">
      <c r="A18" s="4"/>
      <c r="B18" s="5"/>
      <c r="C18" s="5"/>
      <c r="D18" s="5"/>
      <c r="E18" s="6"/>
      <c r="F18" s="7"/>
      <c r="G18" s="8"/>
      <c r="H18" s="7"/>
      <c r="I18" s="7"/>
      <c r="J18" s="6"/>
      <c r="K18" s="9" t="str">
        <f aca="false">IF(OR($J18="",$J18=0),"",$I18/$J18)</f>
        <v/>
      </c>
      <c r="L18" s="9" t="str">
        <f aca="false">IF(OR($E18="",$E18=0),"",$H18/$E18)</f>
        <v/>
      </c>
      <c r="M18" s="10" t="str">
        <f aca="false">IF(OR($L18="",$L18=0),"",($I18/30)/$L18)</f>
        <v/>
      </c>
      <c r="N18" s="8"/>
      <c r="O18" s="11" t="str">
        <f aca="false">IF(OR($I18="",$N18=""),"",($I18/1000)*$N18)</f>
        <v/>
      </c>
      <c r="P18" s="12" t="str">
        <f aca="false">IF($C18="","",IFERROR(ROUND(MIN(25,($N18/Instellingen!$B$3)*25)+MIN(25,($I18/Instellingen!$B$4)*25)+MIN(25,($J18/Instellingen!$B$5)*25)+MIN(25,(IF($M18="",0,$M18)/Instellingen!$B$6)*25),0),""))</f>
        <v/>
      </c>
      <c r="Q18" s="13" t="str">
        <f aca="false">IF($P18="","",IF($P18&gt;=Instellingen!$B$7,"Sterke niche",IF($P18&gt;=Instellingen!$B$8,"Belofte - opvolgen",IF($P18&gt;=Instellingen!$B$9,"Zwak - twijfel","Vermijden"))))</f>
        <v/>
      </c>
      <c r="R18" s="5"/>
      <c r="T18" s="1" t="str">
        <f aca="false">IF($C18="","",IF($P18=_xlfn.MAXIFS($P$3:$P$1000,$B$3:$B$1000,$B18),"★ Cash cow – handmatig onderzoeken",""))</f>
        <v/>
      </c>
    </row>
    <row r="19" customFormat="false" ht="14.25" hidden="false" customHeight="true" outlineLevel="0" collapsed="false">
      <c r="A19" s="14"/>
      <c r="B19" s="15"/>
      <c r="C19" s="15"/>
      <c r="D19" s="15"/>
      <c r="E19" s="16"/>
      <c r="F19" s="17"/>
      <c r="G19" s="18"/>
      <c r="H19" s="17"/>
      <c r="I19" s="17"/>
      <c r="J19" s="16"/>
      <c r="K19" s="19" t="str">
        <f aca="false">IF(OR($J19="",$J19=0),"",$I19/$J19)</f>
        <v/>
      </c>
      <c r="L19" s="19" t="str">
        <f aca="false">IF(OR($E19="",$E19=0),"",$H19/$E19)</f>
        <v/>
      </c>
      <c r="M19" s="20" t="str">
        <f aca="false">IF(OR($L19="",$L19=0),"",($I19/30)/$L19)</f>
        <v/>
      </c>
      <c r="N19" s="18"/>
      <c r="O19" s="21" t="str">
        <f aca="false">IF(OR($I19="",$N19=""),"",($I19/1000)*$N19)</f>
        <v/>
      </c>
      <c r="P19" s="22" t="str">
        <f aca="false">IF($C19="","",IFERROR(ROUND(MIN(25,($N19/Instellingen!$B$3)*25)+MIN(25,($I19/Instellingen!$B$4)*25)+MIN(25,($J19/Instellingen!$B$5)*25)+MIN(25,(IF($M19="",0,$M19)/Instellingen!$B$6)*25),0),""))</f>
        <v/>
      </c>
      <c r="Q19" s="23" t="str">
        <f aca="false">IF($P19="","",IF($P19&gt;=Instellingen!$B$7,"Sterke niche",IF($P19&gt;=Instellingen!$B$8,"Belofte - opvolgen",IF($P19&gt;=Instellingen!$B$9,"Zwak - twijfel","Vermijden"))))</f>
        <v/>
      </c>
      <c r="R19" s="15"/>
      <c r="T19" s="1" t="str">
        <f aca="false">IF($C19="","",IF($P19=_xlfn.MAXIFS($P$3:$P$1000,$B$3:$B$1000,$B19),"★ Cash cow – handmatig onderzoeken",""))</f>
        <v/>
      </c>
    </row>
    <row r="20" customFormat="false" ht="14.25" hidden="false" customHeight="true" outlineLevel="0" collapsed="false">
      <c r="A20" s="4"/>
      <c r="B20" s="5"/>
      <c r="C20" s="5"/>
      <c r="D20" s="5"/>
      <c r="E20" s="6"/>
      <c r="F20" s="7"/>
      <c r="G20" s="8"/>
      <c r="H20" s="7"/>
      <c r="I20" s="7"/>
      <c r="J20" s="6"/>
      <c r="K20" s="9" t="str">
        <f aca="false">IF(OR($J20="",$J20=0),"",$I20/$J20)</f>
        <v/>
      </c>
      <c r="L20" s="9" t="str">
        <f aca="false">IF(OR($E20="",$E20=0),"",$H20/$E20)</f>
        <v/>
      </c>
      <c r="M20" s="10" t="str">
        <f aca="false">IF(OR($L20="",$L20=0),"",($I20/30)/$L20)</f>
        <v/>
      </c>
      <c r="N20" s="8"/>
      <c r="O20" s="11" t="str">
        <f aca="false">IF(OR($I20="",$N20=""),"",($I20/1000)*$N20)</f>
        <v/>
      </c>
      <c r="P20" s="12" t="str">
        <f aca="false">IF($C20="","",IFERROR(ROUND(MIN(25,($N20/Instellingen!$B$3)*25)+MIN(25,($I20/Instellingen!$B$4)*25)+MIN(25,($J20/Instellingen!$B$5)*25)+MIN(25,(IF($M20="",0,$M20)/Instellingen!$B$6)*25),0),""))</f>
        <v/>
      </c>
      <c r="Q20" s="13" t="str">
        <f aca="false">IF($P20="","",IF($P20&gt;=Instellingen!$B$7,"Sterke niche",IF($P20&gt;=Instellingen!$B$8,"Belofte - opvolgen",IF($P20&gt;=Instellingen!$B$9,"Zwak - twijfel","Vermijden"))))</f>
        <v/>
      </c>
      <c r="R20" s="5"/>
      <c r="T20" s="1" t="str">
        <f aca="false">IF($C20="","",IF($P20=_xlfn.MAXIFS($P$3:$P$1000,$B$3:$B$1000,$B20),"★ Cash cow – handmatig onderzoeken",""))</f>
        <v/>
      </c>
    </row>
    <row r="21" customFormat="false" ht="14.25" hidden="false" customHeight="true" outlineLevel="0" collapsed="false">
      <c r="A21" s="14"/>
      <c r="B21" s="15"/>
      <c r="C21" s="15"/>
      <c r="D21" s="15"/>
      <c r="E21" s="16"/>
      <c r="F21" s="17"/>
      <c r="G21" s="18"/>
      <c r="H21" s="17"/>
      <c r="I21" s="17"/>
      <c r="J21" s="16"/>
      <c r="K21" s="19" t="str">
        <f aca="false">IF(OR($J21="",$J21=0),"",$I21/$J21)</f>
        <v/>
      </c>
      <c r="L21" s="19" t="str">
        <f aca="false">IF(OR($E21="",$E21=0),"",$H21/$E21)</f>
        <v/>
      </c>
      <c r="M21" s="20" t="str">
        <f aca="false">IF(OR($L21="",$L21=0),"",($I21/30)/$L21)</f>
        <v/>
      </c>
      <c r="N21" s="18"/>
      <c r="O21" s="21" t="str">
        <f aca="false">IF(OR($I21="",$N21=""),"",($I21/1000)*$N21)</f>
        <v/>
      </c>
      <c r="P21" s="22" t="str">
        <f aca="false">IF($C21="","",IFERROR(ROUND(MIN(25,($N21/Instellingen!$B$3)*25)+MIN(25,($I21/Instellingen!$B$4)*25)+MIN(25,($J21/Instellingen!$B$5)*25)+MIN(25,(IF($M21="",0,$M21)/Instellingen!$B$6)*25),0),""))</f>
        <v/>
      </c>
      <c r="Q21" s="23" t="str">
        <f aca="false">IF($P21="","",IF($P21&gt;=Instellingen!$B$7,"Sterke niche",IF($P21&gt;=Instellingen!$B$8,"Belofte - opvolgen",IF($P21&gt;=Instellingen!$B$9,"Zwak - twijfel","Vermijden"))))</f>
        <v/>
      </c>
      <c r="R21" s="15"/>
      <c r="T21" s="1" t="str">
        <f aca="false">IF($C21="","",IF($P21=_xlfn.MAXIFS($P$3:$P$1000,$B$3:$B$1000,$B21),"★ Cash cow – handmatig onderzoeken",""))</f>
        <v/>
      </c>
    </row>
    <row r="22" customFormat="false" ht="14.25" hidden="false" customHeight="true" outlineLevel="0" collapsed="false">
      <c r="A22" s="4"/>
      <c r="B22" s="5"/>
      <c r="C22" s="5"/>
      <c r="D22" s="5"/>
      <c r="E22" s="6"/>
      <c r="F22" s="7"/>
      <c r="G22" s="8"/>
      <c r="H22" s="7"/>
      <c r="I22" s="7"/>
      <c r="J22" s="6"/>
      <c r="K22" s="9" t="str">
        <f aca="false">IF(OR($J22="",$J22=0),"",$I22/$J22)</f>
        <v/>
      </c>
      <c r="L22" s="9" t="str">
        <f aca="false">IF(OR($E22="",$E22=0),"",$H22/$E22)</f>
        <v/>
      </c>
      <c r="M22" s="10" t="str">
        <f aca="false">IF(OR($L22="",$L22=0),"",($I22/30)/$L22)</f>
        <v/>
      </c>
      <c r="N22" s="8"/>
      <c r="O22" s="11" t="str">
        <f aca="false">IF(OR($I22="",$N22=""),"",($I22/1000)*$N22)</f>
        <v/>
      </c>
      <c r="P22" s="12" t="str">
        <f aca="false">IF($C22="","",IFERROR(ROUND(MIN(25,($N22/Instellingen!$B$3)*25)+MIN(25,($I22/Instellingen!$B$4)*25)+MIN(25,($J22/Instellingen!$B$5)*25)+MIN(25,(IF($M22="",0,$M22)/Instellingen!$B$6)*25),0),""))</f>
        <v/>
      </c>
      <c r="Q22" s="13" t="str">
        <f aca="false">IF($P22="","",IF($P22&gt;=Instellingen!$B$7,"Sterke niche",IF($P22&gt;=Instellingen!$B$8,"Belofte - opvolgen",IF($P22&gt;=Instellingen!$B$9,"Zwak - twijfel","Vermijden"))))</f>
        <v/>
      </c>
      <c r="R22" s="5"/>
      <c r="T22" s="1" t="str">
        <f aca="false">IF($C22="","",IF($P22=_xlfn.MAXIFS($P$3:$P$1000,$B$3:$B$1000,$B22),"★ Cash cow – handmatig onderzoeken",""))</f>
        <v/>
      </c>
    </row>
    <row r="23" customFormat="false" ht="14.25" hidden="false" customHeight="true" outlineLevel="0" collapsed="false">
      <c r="A23" s="14"/>
      <c r="B23" s="15"/>
      <c r="C23" s="15"/>
      <c r="D23" s="15"/>
      <c r="E23" s="16"/>
      <c r="F23" s="17"/>
      <c r="G23" s="18"/>
      <c r="H23" s="17"/>
      <c r="I23" s="17"/>
      <c r="J23" s="16"/>
      <c r="K23" s="19" t="str">
        <f aca="false">IF(OR($J23="",$J23=0),"",$I23/$J23)</f>
        <v/>
      </c>
      <c r="L23" s="19" t="str">
        <f aca="false">IF(OR($E23="",$E23=0),"",$H23/$E23)</f>
        <v/>
      </c>
      <c r="M23" s="20" t="str">
        <f aca="false">IF(OR($L23="",$L23=0),"",($I23/30)/$L23)</f>
        <v/>
      </c>
      <c r="N23" s="18"/>
      <c r="O23" s="21" t="str">
        <f aca="false">IF(OR($I23="",$N23=""),"",($I23/1000)*$N23)</f>
        <v/>
      </c>
      <c r="P23" s="22" t="str">
        <f aca="false">IF($C23="","",IFERROR(ROUND(MIN(25,($N23/Instellingen!$B$3)*25)+MIN(25,($I23/Instellingen!$B$4)*25)+MIN(25,($J23/Instellingen!$B$5)*25)+MIN(25,(IF($M23="",0,$M23)/Instellingen!$B$6)*25),0),""))</f>
        <v/>
      </c>
      <c r="Q23" s="23" t="str">
        <f aca="false">IF($P23="","",IF($P23&gt;=Instellingen!$B$7,"Sterke niche",IF($P23&gt;=Instellingen!$B$8,"Belofte - opvolgen",IF($P23&gt;=Instellingen!$B$9,"Zwak - twijfel","Vermijden"))))</f>
        <v/>
      </c>
      <c r="R23" s="15"/>
      <c r="T23" s="1" t="str">
        <f aca="false">IF($C23="","",IF($P23=_xlfn.MAXIFS($P$3:$P$1000,$B$3:$B$1000,$B23),"★ Cash cow – handmatig onderzoeken",""))</f>
        <v/>
      </c>
    </row>
    <row r="24" customFormat="false" ht="14.25" hidden="false" customHeight="true" outlineLevel="0" collapsed="false">
      <c r="A24" s="4"/>
      <c r="B24" s="5"/>
      <c r="C24" s="5"/>
      <c r="D24" s="5"/>
      <c r="E24" s="6"/>
      <c r="F24" s="7"/>
      <c r="G24" s="8"/>
      <c r="H24" s="7"/>
      <c r="I24" s="7"/>
      <c r="J24" s="6"/>
      <c r="K24" s="9" t="str">
        <f aca="false">IF(OR($J24="",$J24=0),"",$I24/$J24)</f>
        <v/>
      </c>
      <c r="L24" s="9" t="str">
        <f aca="false">IF(OR($E24="",$E24=0),"",$H24/$E24)</f>
        <v/>
      </c>
      <c r="M24" s="10" t="str">
        <f aca="false">IF(OR($L24="",$L24=0),"",($I24/30)/$L24)</f>
        <v/>
      </c>
      <c r="N24" s="8"/>
      <c r="O24" s="11" t="str">
        <f aca="false">IF(OR($I24="",$N24=""),"",($I24/1000)*$N24)</f>
        <v/>
      </c>
      <c r="P24" s="12" t="str">
        <f aca="false">IF($C24="","",IFERROR(ROUND(MIN(25,($N24/Instellingen!$B$3)*25)+MIN(25,($I24/Instellingen!$B$4)*25)+MIN(25,($J24/Instellingen!$B$5)*25)+MIN(25,(IF($M24="",0,$M24)/Instellingen!$B$6)*25),0),""))</f>
        <v/>
      </c>
      <c r="Q24" s="13" t="str">
        <f aca="false">IF($P24="","",IF($P24&gt;=Instellingen!$B$7,"Sterke niche",IF($P24&gt;=Instellingen!$B$8,"Belofte - opvolgen",IF($P24&gt;=Instellingen!$B$9,"Zwak - twijfel","Vermijden"))))</f>
        <v/>
      </c>
      <c r="R24" s="5"/>
      <c r="T24" s="1" t="str">
        <f aca="false">IF($C24="","",IF($P24=_xlfn.MAXIFS($P$3:$P$1000,$B$3:$B$1000,$B24),"★ Cash cow – handmatig onderzoeken",""))</f>
        <v/>
      </c>
    </row>
    <row r="25" customFormat="false" ht="14.25" hidden="false" customHeight="true" outlineLevel="0" collapsed="false">
      <c r="A25" s="14"/>
      <c r="B25" s="15"/>
      <c r="C25" s="15"/>
      <c r="D25" s="15"/>
      <c r="E25" s="16"/>
      <c r="F25" s="17"/>
      <c r="G25" s="18"/>
      <c r="H25" s="17"/>
      <c r="I25" s="17"/>
      <c r="J25" s="16"/>
      <c r="K25" s="19" t="str">
        <f aca="false">IF(OR($J25="",$J25=0),"",$I25/$J25)</f>
        <v/>
      </c>
      <c r="L25" s="19" t="str">
        <f aca="false">IF(OR($E25="",$E25=0),"",$H25/$E25)</f>
        <v/>
      </c>
      <c r="M25" s="20" t="str">
        <f aca="false">IF(OR($L25="",$L25=0),"",($I25/30)/$L25)</f>
        <v/>
      </c>
      <c r="N25" s="18"/>
      <c r="O25" s="21" t="str">
        <f aca="false">IF(OR($I25="",$N25=""),"",($I25/1000)*$N25)</f>
        <v/>
      </c>
      <c r="P25" s="22" t="str">
        <f aca="false">IF($C25="","",IFERROR(ROUND(MIN(25,($N25/Instellingen!$B$3)*25)+MIN(25,($I25/Instellingen!$B$4)*25)+MIN(25,($J25/Instellingen!$B$5)*25)+MIN(25,(IF($M25="",0,$M25)/Instellingen!$B$6)*25),0),""))</f>
        <v/>
      </c>
      <c r="Q25" s="23" t="str">
        <f aca="false">IF($P25="","",IF($P25&gt;=Instellingen!$B$7,"Sterke niche",IF($P25&gt;=Instellingen!$B$8,"Belofte - opvolgen",IF($P25&gt;=Instellingen!$B$9,"Zwak - twijfel","Vermijden"))))</f>
        <v/>
      </c>
      <c r="R25" s="15"/>
      <c r="T25" s="1" t="str">
        <f aca="false">IF($C25="","",IF($P25=_xlfn.MAXIFS($P$3:$P$1000,$B$3:$B$1000,$B25),"★ Cash cow – handmatig onderzoeken",""))</f>
        <v/>
      </c>
    </row>
    <row r="26" customFormat="false" ht="14.25" hidden="false" customHeight="true" outlineLevel="0" collapsed="false">
      <c r="A26" s="4"/>
      <c r="B26" s="5"/>
      <c r="C26" s="5"/>
      <c r="D26" s="5"/>
      <c r="E26" s="6"/>
      <c r="F26" s="7"/>
      <c r="G26" s="8"/>
      <c r="H26" s="7"/>
      <c r="I26" s="7"/>
      <c r="J26" s="6"/>
      <c r="K26" s="9" t="str">
        <f aca="false">IF(OR($J26="",$J26=0),"",$I26/$J26)</f>
        <v/>
      </c>
      <c r="L26" s="9" t="str">
        <f aca="false">IF(OR($E26="",$E26=0),"",$H26/$E26)</f>
        <v/>
      </c>
      <c r="M26" s="10" t="str">
        <f aca="false">IF(OR($L26="",$L26=0),"",($I26/30)/$L26)</f>
        <v/>
      </c>
      <c r="N26" s="8"/>
      <c r="O26" s="11" t="str">
        <f aca="false">IF(OR($I26="",$N26=""),"",($I26/1000)*$N26)</f>
        <v/>
      </c>
      <c r="P26" s="12" t="str">
        <f aca="false">IF($C26="","",IFERROR(ROUND(MIN(25,($N26/Instellingen!$B$3)*25)+MIN(25,($I26/Instellingen!$B$4)*25)+MIN(25,($J26/Instellingen!$B$5)*25)+MIN(25,(IF($M26="",0,$M26)/Instellingen!$B$6)*25),0),""))</f>
        <v/>
      </c>
      <c r="Q26" s="13" t="str">
        <f aca="false">IF($P26="","",IF($P26&gt;=Instellingen!$B$7,"Sterke niche",IF($P26&gt;=Instellingen!$B$8,"Belofte - opvolgen",IF($P26&gt;=Instellingen!$B$9,"Zwak - twijfel","Vermijden"))))</f>
        <v/>
      </c>
      <c r="R26" s="5"/>
      <c r="T26" s="1" t="str">
        <f aca="false">IF($C26="","",IF($P26=_xlfn.MAXIFS($P$3:$P$1000,$B$3:$B$1000,$B26),"★ Cash cow – handmatig onderzoeken",""))</f>
        <v/>
      </c>
    </row>
    <row r="27" customFormat="false" ht="14.25" hidden="false" customHeight="true" outlineLevel="0" collapsed="false">
      <c r="A27" s="14"/>
      <c r="B27" s="15"/>
      <c r="C27" s="15"/>
      <c r="D27" s="15"/>
      <c r="E27" s="16"/>
      <c r="F27" s="17"/>
      <c r="G27" s="18"/>
      <c r="H27" s="17"/>
      <c r="I27" s="17"/>
      <c r="J27" s="16"/>
      <c r="K27" s="19" t="str">
        <f aca="false">IF(OR($J27="",$J27=0),"",$I27/$J27)</f>
        <v/>
      </c>
      <c r="L27" s="19" t="str">
        <f aca="false">IF(OR($E27="",$E27=0),"",$H27/$E27)</f>
        <v/>
      </c>
      <c r="M27" s="20" t="str">
        <f aca="false">IF(OR($L27="",$L27=0),"",($I27/30)/$L27)</f>
        <v/>
      </c>
      <c r="N27" s="18"/>
      <c r="O27" s="21" t="str">
        <f aca="false">IF(OR($I27="",$N27=""),"",($I27/1000)*$N27)</f>
        <v/>
      </c>
      <c r="P27" s="22" t="str">
        <f aca="false">IF($C27="","",IFERROR(ROUND(MIN(25,($N27/Instellingen!$B$3)*25)+MIN(25,($I27/Instellingen!$B$4)*25)+MIN(25,($J27/Instellingen!$B$5)*25)+MIN(25,(IF($M27="",0,$M27)/Instellingen!$B$6)*25),0),""))</f>
        <v/>
      </c>
      <c r="Q27" s="23" t="str">
        <f aca="false">IF($P27="","",IF($P27&gt;=Instellingen!$B$7,"Sterke niche",IF($P27&gt;=Instellingen!$B$8,"Belofte - opvolgen",IF($P27&gt;=Instellingen!$B$9,"Zwak - twijfel","Vermijden"))))</f>
        <v/>
      </c>
      <c r="R27" s="15"/>
      <c r="T27" s="1" t="str">
        <f aca="false">IF($C27="","",IF($P27=_xlfn.MAXIFS($P$3:$P$1000,$B$3:$B$1000,$B27),"★ Cash cow – handmatig onderzoeken",""))</f>
        <v/>
      </c>
    </row>
    <row r="28" customFormat="false" ht="14.25" hidden="false" customHeight="true" outlineLevel="0" collapsed="false">
      <c r="A28" s="4"/>
      <c r="B28" s="5"/>
      <c r="C28" s="5"/>
      <c r="D28" s="5"/>
      <c r="E28" s="6"/>
      <c r="F28" s="7"/>
      <c r="G28" s="8"/>
      <c r="H28" s="7"/>
      <c r="I28" s="7"/>
      <c r="J28" s="6"/>
      <c r="K28" s="9" t="str">
        <f aca="false">IF(OR($J28="",$J28=0),"",$I28/$J28)</f>
        <v/>
      </c>
      <c r="L28" s="9" t="str">
        <f aca="false">IF(OR($E28="",$E28=0),"",$H28/$E28)</f>
        <v/>
      </c>
      <c r="M28" s="10" t="str">
        <f aca="false">IF(OR($L28="",$L28=0),"",($I28/30)/$L28)</f>
        <v/>
      </c>
      <c r="N28" s="8"/>
      <c r="O28" s="11" t="str">
        <f aca="false">IF(OR($I28="",$N28=""),"",($I28/1000)*$N28)</f>
        <v/>
      </c>
      <c r="P28" s="12" t="str">
        <f aca="false">IF($C28="","",IFERROR(ROUND(MIN(25,($N28/Instellingen!$B$3)*25)+MIN(25,($I28/Instellingen!$B$4)*25)+MIN(25,($J28/Instellingen!$B$5)*25)+MIN(25,(IF($M28="",0,$M28)/Instellingen!$B$6)*25),0),""))</f>
        <v/>
      </c>
      <c r="Q28" s="13" t="str">
        <f aca="false">IF($P28="","",IF($P28&gt;=Instellingen!$B$7,"Sterke niche",IF($P28&gt;=Instellingen!$B$8,"Belofte - opvolgen",IF($P28&gt;=Instellingen!$B$9,"Zwak - twijfel","Vermijden"))))</f>
        <v/>
      </c>
      <c r="R28" s="5"/>
      <c r="T28" s="1" t="str">
        <f aca="false">IF($C28="","",IF($P28=_xlfn.MAXIFS($P$3:$P$1000,$B$3:$B$1000,$B28),"★ Cash cow – handmatig onderzoeken",""))</f>
        <v/>
      </c>
    </row>
    <row r="29" customFormat="false" ht="14.25" hidden="false" customHeight="true" outlineLevel="0" collapsed="false">
      <c r="A29" s="14"/>
      <c r="B29" s="15"/>
      <c r="C29" s="15"/>
      <c r="D29" s="15"/>
      <c r="E29" s="16"/>
      <c r="F29" s="17"/>
      <c r="G29" s="18"/>
      <c r="H29" s="17"/>
      <c r="I29" s="17"/>
      <c r="J29" s="16"/>
      <c r="K29" s="19" t="str">
        <f aca="false">IF(OR($J29="",$J29=0),"",$I29/$J29)</f>
        <v/>
      </c>
      <c r="L29" s="19" t="str">
        <f aca="false">IF(OR($E29="",$E29=0),"",$H29/$E29)</f>
        <v/>
      </c>
      <c r="M29" s="20" t="str">
        <f aca="false">IF(OR($L29="",$L29=0),"",($I29/30)/$L29)</f>
        <v/>
      </c>
      <c r="N29" s="18"/>
      <c r="O29" s="21" t="str">
        <f aca="false">IF(OR($I29="",$N29=""),"",($I29/1000)*$N29)</f>
        <v/>
      </c>
      <c r="P29" s="22" t="str">
        <f aca="false">IF($C29="","",IFERROR(ROUND(MIN(25,($N29/Instellingen!$B$3)*25)+MIN(25,($I29/Instellingen!$B$4)*25)+MIN(25,($J29/Instellingen!$B$5)*25)+MIN(25,(IF($M29="",0,$M29)/Instellingen!$B$6)*25),0),""))</f>
        <v/>
      </c>
      <c r="Q29" s="23" t="str">
        <f aca="false">IF($P29="","",IF($P29&gt;=Instellingen!$B$7,"Sterke niche",IF($P29&gt;=Instellingen!$B$8,"Belofte - opvolgen",IF($P29&gt;=Instellingen!$B$9,"Zwak - twijfel","Vermijden"))))</f>
        <v/>
      </c>
      <c r="R29" s="15"/>
      <c r="T29" s="1" t="str">
        <f aca="false">IF($C29="","",IF($P29=_xlfn.MAXIFS($P$3:$P$1000,$B$3:$B$1000,$B29),"★ Cash cow – handmatig onderzoeken",""))</f>
        <v/>
      </c>
    </row>
    <row r="30" customFormat="false" ht="14.25" hidden="false" customHeight="true" outlineLevel="0" collapsed="false">
      <c r="A30" s="4"/>
      <c r="B30" s="5"/>
      <c r="C30" s="5"/>
      <c r="D30" s="5"/>
      <c r="E30" s="6"/>
      <c r="F30" s="7"/>
      <c r="G30" s="8"/>
      <c r="H30" s="7"/>
      <c r="I30" s="7"/>
      <c r="J30" s="6"/>
      <c r="K30" s="9" t="str">
        <f aca="false">IF(OR($J30="",$J30=0),"",$I30/$J30)</f>
        <v/>
      </c>
      <c r="L30" s="9" t="str">
        <f aca="false">IF(OR($E30="",$E30=0),"",$H30/$E30)</f>
        <v/>
      </c>
      <c r="M30" s="10" t="str">
        <f aca="false">IF(OR($L30="",$L30=0),"",($I30/30)/$L30)</f>
        <v/>
      </c>
      <c r="N30" s="8"/>
      <c r="O30" s="11" t="str">
        <f aca="false">IF(OR($I30="",$N30=""),"",($I30/1000)*$N30)</f>
        <v/>
      </c>
      <c r="P30" s="12" t="str">
        <f aca="false">IF($C30="","",IFERROR(ROUND(MIN(25,($N30/Instellingen!$B$3)*25)+MIN(25,($I30/Instellingen!$B$4)*25)+MIN(25,($J30/Instellingen!$B$5)*25)+MIN(25,(IF($M30="",0,$M30)/Instellingen!$B$6)*25),0),""))</f>
        <v/>
      </c>
      <c r="Q30" s="13" t="str">
        <f aca="false">IF($P30="","",IF($P30&gt;=Instellingen!$B$7,"Sterke niche",IF($P30&gt;=Instellingen!$B$8,"Belofte - opvolgen",IF($P30&gt;=Instellingen!$B$9,"Zwak - twijfel","Vermijden"))))</f>
        <v/>
      </c>
      <c r="R30" s="5"/>
      <c r="T30" s="1" t="str">
        <f aca="false">IF($C30="","",IF($P30=_xlfn.MAXIFS($P$3:$P$1000,$B$3:$B$1000,$B30),"★ Cash cow – handmatig onderzoeken",""))</f>
        <v/>
      </c>
    </row>
    <row r="31" customFormat="false" ht="14.25" hidden="false" customHeight="true" outlineLevel="0" collapsed="false">
      <c r="A31" s="14"/>
      <c r="B31" s="15"/>
      <c r="C31" s="15"/>
      <c r="D31" s="15"/>
      <c r="E31" s="16"/>
      <c r="F31" s="17"/>
      <c r="G31" s="18"/>
      <c r="H31" s="17"/>
      <c r="I31" s="17"/>
      <c r="J31" s="16"/>
      <c r="K31" s="19" t="str">
        <f aca="false">IF(OR($J31="",$J31=0),"",$I31/$J31)</f>
        <v/>
      </c>
      <c r="L31" s="19" t="str">
        <f aca="false">IF(OR($E31="",$E31=0),"",$H31/$E31)</f>
        <v/>
      </c>
      <c r="M31" s="20" t="str">
        <f aca="false">IF(OR($L31="",$L31=0),"",($I31/30)/$L31)</f>
        <v/>
      </c>
      <c r="N31" s="18"/>
      <c r="O31" s="21" t="str">
        <f aca="false">IF(OR($I31="",$N31=""),"",($I31/1000)*$N31)</f>
        <v/>
      </c>
      <c r="P31" s="22" t="str">
        <f aca="false">IF($C31="","",IFERROR(ROUND(MIN(25,($N31/Instellingen!$B$3)*25)+MIN(25,($I31/Instellingen!$B$4)*25)+MIN(25,($J31/Instellingen!$B$5)*25)+MIN(25,(IF($M31="",0,$M31)/Instellingen!$B$6)*25),0),""))</f>
        <v/>
      </c>
      <c r="Q31" s="23" t="str">
        <f aca="false">IF($P31="","",IF($P31&gt;=Instellingen!$B$7,"Sterke niche",IF($P31&gt;=Instellingen!$B$8,"Belofte - opvolgen",IF($P31&gt;=Instellingen!$B$9,"Zwak - twijfel","Vermijden"))))</f>
        <v/>
      </c>
      <c r="R31" s="15"/>
      <c r="T31" s="1" t="str">
        <f aca="false">IF($C31="","",IF($P31=_xlfn.MAXIFS($P$3:$P$1000,$B$3:$B$1000,$B31),"★ Cash cow – handmatig onderzoeken",""))</f>
        <v/>
      </c>
    </row>
    <row r="32" customFormat="false" ht="14.25" hidden="false" customHeight="true" outlineLevel="0" collapsed="false">
      <c r="A32" s="4"/>
      <c r="B32" s="5"/>
      <c r="C32" s="5"/>
      <c r="D32" s="5"/>
      <c r="E32" s="6"/>
      <c r="F32" s="7"/>
      <c r="G32" s="8"/>
      <c r="H32" s="7"/>
      <c r="I32" s="7"/>
      <c r="J32" s="6"/>
      <c r="K32" s="9" t="str">
        <f aca="false">IF(OR($J32="",$J32=0),"",$I32/$J32)</f>
        <v/>
      </c>
      <c r="L32" s="9" t="str">
        <f aca="false">IF(OR($E32="",$E32=0),"",$H32/$E32)</f>
        <v/>
      </c>
      <c r="M32" s="10" t="str">
        <f aca="false">IF(OR($L32="",$L32=0),"",($I32/30)/$L32)</f>
        <v/>
      </c>
      <c r="N32" s="8"/>
      <c r="O32" s="11" t="str">
        <f aca="false">IF(OR($I32="",$N32=""),"",($I32/1000)*$N32)</f>
        <v/>
      </c>
      <c r="P32" s="12" t="str">
        <f aca="false">IF($C32="","",IFERROR(ROUND(MIN(25,($N32/Instellingen!$B$3)*25)+MIN(25,($I32/Instellingen!$B$4)*25)+MIN(25,($J32/Instellingen!$B$5)*25)+MIN(25,(IF($M32="",0,$M32)/Instellingen!$B$6)*25),0),""))</f>
        <v/>
      </c>
      <c r="Q32" s="13" t="str">
        <f aca="false">IF($P32="","",IF($P32&gt;=Instellingen!$B$7,"Sterke niche",IF($P32&gt;=Instellingen!$B$8,"Belofte - opvolgen",IF($P32&gt;=Instellingen!$B$9,"Zwak - twijfel","Vermijden"))))</f>
        <v/>
      </c>
      <c r="R32" s="5"/>
      <c r="T32" s="1" t="str">
        <f aca="false">IF($C32="","",IF($P32=_xlfn.MAXIFS($P$3:$P$1000,$B$3:$B$1000,$B32),"★ Cash cow – handmatig onderzoeken",""))</f>
        <v/>
      </c>
    </row>
    <row r="33" customFormat="false" ht="14.25" hidden="false" customHeight="true" outlineLevel="0" collapsed="false">
      <c r="A33" s="14"/>
      <c r="B33" s="15"/>
      <c r="C33" s="15"/>
      <c r="D33" s="15"/>
      <c r="E33" s="16"/>
      <c r="F33" s="17"/>
      <c r="G33" s="18"/>
      <c r="H33" s="17"/>
      <c r="I33" s="17"/>
      <c r="J33" s="16"/>
      <c r="K33" s="19" t="str">
        <f aca="false">IF(OR($J33="",$J33=0),"",$I33/$J33)</f>
        <v/>
      </c>
      <c r="L33" s="19" t="str">
        <f aca="false">IF(OR($E33="",$E33=0),"",$H33/$E33)</f>
        <v/>
      </c>
      <c r="M33" s="20" t="str">
        <f aca="false">IF(OR($L33="",$L33=0),"",($I33/30)/$L33)</f>
        <v/>
      </c>
      <c r="N33" s="18"/>
      <c r="O33" s="21" t="str">
        <f aca="false">IF(OR($I33="",$N33=""),"",($I33/1000)*$N33)</f>
        <v/>
      </c>
      <c r="P33" s="22" t="str">
        <f aca="false">IF($C33="","",IFERROR(ROUND(MIN(25,($N33/Instellingen!$B$3)*25)+MIN(25,($I33/Instellingen!$B$4)*25)+MIN(25,($J33/Instellingen!$B$5)*25)+MIN(25,(IF($M33="",0,$M33)/Instellingen!$B$6)*25),0),""))</f>
        <v/>
      </c>
      <c r="Q33" s="23" t="str">
        <f aca="false">IF($P33="","",IF($P33&gt;=Instellingen!$B$7,"Sterke niche",IF($P33&gt;=Instellingen!$B$8,"Belofte - opvolgen",IF($P33&gt;=Instellingen!$B$9,"Zwak - twijfel","Vermijden"))))</f>
        <v/>
      </c>
      <c r="R33" s="15"/>
      <c r="T33" s="1" t="str">
        <f aca="false">IF($C33="","",IF($P33=_xlfn.MAXIFS($P$3:$P$1000,$B$3:$B$1000,$B33),"★ Cash cow – handmatig onderzoeken",""))</f>
        <v/>
      </c>
    </row>
    <row r="34" customFormat="false" ht="14.25" hidden="false" customHeight="true" outlineLevel="0" collapsed="false">
      <c r="A34" s="4"/>
      <c r="B34" s="5"/>
      <c r="C34" s="5"/>
      <c r="D34" s="5"/>
      <c r="E34" s="6"/>
      <c r="F34" s="7"/>
      <c r="G34" s="8"/>
      <c r="H34" s="7"/>
      <c r="I34" s="7"/>
      <c r="J34" s="6"/>
      <c r="K34" s="9" t="str">
        <f aca="false">IF(OR($J34="",$J34=0),"",$I34/$J34)</f>
        <v/>
      </c>
      <c r="L34" s="9" t="str">
        <f aca="false">IF(OR($E34="",$E34=0),"",$H34/$E34)</f>
        <v/>
      </c>
      <c r="M34" s="10" t="str">
        <f aca="false">IF(OR($L34="",$L34=0),"",($I34/30)/$L34)</f>
        <v/>
      </c>
      <c r="N34" s="8"/>
      <c r="O34" s="11" t="str">
        <f aca="false">IF(OR($I34="",$N34=""),"",($I34/1000)*$N34)</f>
        <v/>
      </c>
      <c r="P34" s="12" t="str">
        <f aca="false">IF($C34="","",IFERROR(ROUND(MIN(25,($N34/Instellingen!$B$3)*25)+MIN(25,($I34/Instellingen!$B$4)*25)+MIN(25,($J34/Instellingen!$B$5)*25)+MIN(25,(IF($M34="",0,$M34)/Instellingen!$B$6)*25),0),""))</f>
        <v/>
      </c>
      <c r="Q34" s="13" t="str">
        <f aca="false">IF($P34="","",IF($P34&gt;=Instellingen!$B$7,"Sterke niche",IF($P34&gt;=Instellingen!$B$8,"Belofte - opvolgen",IF($P34&gt;=Instellingen!$B$9,"Zwak - twijfel","Vermijden"))))</f>
        <v/>
      </c>
      <c r="R34" s="5"/>
      <c r="T34" s="1" t="str">
        <f aca="false">IF($C34="","",IF($P34=_xlfn.MAXIFS($P$3:$P$1000,$B$3:$B$1000,$B34),"★ Cash cow – handmatig onderzoeken",""))</f>
        <v/>
      </c>
    </row>
    <row r="35" customFormat="false" ht="14.25" hidden="false" customHeight="true" outlineLevel="0" collapsed="false">
      <c r="A35" s="14"/>
      <c r="B35" s="15"/>
      <c r="C35" s="15"/>
      <c r="D35" s="15"/>
      <c r="E35" s="16"/>
      <c r="F35" s="17"/>
      <c r="G35" s="18"/>
      <c r="H35" s="17"/>
      <c r="I35" s="17"/>
      <c r="J35" s="16"/>
      <c r="K35" s="19" t="str">
        <f aca="false">IF(OR($J35="",$J35=0),"",$I35/$J35)</f>
        <v/>
      </c>
      <c r="L35" s="19" t="str">
        <f aca="false">IF(OR($E35="",$E35=0),"",$H35/$E35)</f>
        <v/>
      </c>
      <c r="M35" s="20" t="str">
        <f aca="false">IF(OR($L35="",$L35=0),"",($I35/30)/$L35)</f>
        <v/>
      </c>
      <c r="N35" s="18"/>
      <c r="O35" s="21" t="str">
        <f aca="false">IF(OR($I35="",$N35=""),"",($I35/1000)*$N35)</f>
        <v/>
      </c>
      <c r="P35" s="22" t="str">
        <f aca="false">IF($C35="","",IFERROR(ROUND(MIN(25,($N35/Instellingen!$B$3)*25)+MIN(25,($I35/Instellingen!$B$4)*25)+MIN(25,($J35/Instellingen!$B$5)*25)+MIN(25,(IF($M35="",0,$M35)/Instellingen!$B$6)*25),0),""))</f>
        <v/>
      </c>
      <c r="Q35" s="23" t="str">
        <f aca="false">IF($P35="","",IF($P35&gt;=Instellingen!$B$7,"Sterke niche",IF($P35&gt;=Instellingen!$B$8,"Belofte - opvolgen",IF($P35&gt;=Instellingen!$B$9,"Zwak - twijfel","Vermijden"))))</f>
        <v/>
      </c>
      <c r="R35" s="15"/>
      <c r="T35" s="1" t="str">
        <f aca="false">IF($C35="","",IF($P35=_xlfn.MAXIFS($P$3:$P$1000,$B$3:$B$1000,$B35),"★ Cash cow – handmatig onderzoeken",""))</f>
        <v/>
      </c>
    </row>
    <row r="36" customFormat="false" ht="14.25" hidden="false" customHeight="true" outlineLevel="0" collapsed="false">
      <c r="A36" s="4"/>
      <c r="B36" s="5"/>
      <c r="C36" s="5"/>
      <c r="D36" s="5"/>
      <c r="E36" s="6"/>
      <c r="F36" s="7"/>
      <c r="G36" s="8"/>
      <c r="H36" s="7"/>
      <c r="I36" s="7"/>
      <c r="J36" s="6"/>
      <c r="K36" s="9" t="str">
        <f aca="false">IF(OR($J36="",$J36=0),"",$I36/$J36)</f>
        <v/>
      </c>
      <c r="L36" s="9" t="str">
        <f aca="false">IF(OR($E36="",$E36=0),"",$H36/$E36)</f>
        <v/>
      </c>
      <c r="M36" s="10" t="str">
        <f aca="false">IF(OR($L36="",$L36=0),"",($I36/30)/$L36)</f>
        <v/>
      </c>
      <c r="N36" s="8"/>
      <c r="O36" s="11" t="str">
        <f aca="false">IF(OR($I36="",$N36=""),"",($I36/1000)*$N36)</f>
        <v/>
      </c>
      <c r="P36" s="12" t="str">
        <f aca="false">IF($C36="","",IFERROR(ROUND(MIN(25,($N36/Instellingen!$B$3)*25)+MIN(25,($I36/Instellingen!$B$4)*25)+MIN(25,($J36/Instellingen!$B$5)*25)+MIN(25,(IF($M36="",0,$M36)/Instellingen!$B$6)*25),0),""))</f>
        <v/>
      </c>
      <c r="Q36" s="13" t="str">
        <f aca="false">IF($P36="","",IF($P36&gt;=Instellingen!$B$7,"Sterke niche",IF($P36&gt;=Instellingen!$B$8,"Belofte - opvolgen",IF($P36&gt;=Instellingen!$B$9,"Zwak - twijfel","Vermijden"))))</f>
        <v/>
      </c>
      <c r="R36" s="5"/>
      <c r="T36" s="1" t="str">
        <f aca="false">IF($C36="","",IF($P36=_xlfn.MAXIFS($P$3:$P$1000,$B$3:$B$1000,$B36),"★ Cash cow – handmatig onderzoeken",""))</f>
        <v/>
      </c>
    </row>
    <row r="37" customFormat="false" ht="14.25" hidden="false" customHeight="true" outlineLevel="0" collapsed="false">
      <c r="A37" s="14"/>
      <c r="B37" s="15"/>
      <c r="C37" s="15"/>
      <c r="D37" s="15"/>
      <c r="E37" s="16"/>
      <c r="F37" s="17"/>
      <c r="G37" s="18"/>
      <c r="H37" s="17"/>
      <c r="I37" s="17"/>
      <c r="J37" s="16"/>
      <c r="K37" s="19" t="str">
        <f aca="false">IF(OR($J37="",$J37=0),"",$I37/$J37)</f>
        <v/>
      </c>
      <c r="L37" s="19" t="str">
        <f aca="false">IF(OR($E37="",$E37=0),"",$H37/$E37)</f>
        <v/>
      </c>
      <c r="M37" s="20" t="str">
        <f aca="false">IF(OR($L37="",$L37=0),"",($I37/30)/$L37)</f>
        <v/>
      </c>
      <c r="N37" s="18"/>
      <c r="O37" s="21" t="str">
        <f aca="false">IF(OR($I37="",$N37=""),"",($I37/1000)*$N37)</f>
        <v/>
      </c>
      <c r="P37" s="22" t="str">
        <f aca="false">IF($C37="","",IFERROR(ROUND(MIN(25,($N37/Instellingen!$B$3)*25)+MIN(25,($I37/Instellingen!$B$4)*25)+MIN(25,($J37/Instellingen!$B$5)*25)+MIN(25,(IF($M37="",0,$M37)/Instellingen!$B$6)*25),0),""))</f>
        <v/>
      </c>
      <c r="Q37" s="23" t="str">
        <f aca="false">IF($P37="","",IF($P37&gt;=Instellingen!$B$7,"Sterke niche",IF($P37&gt;=Instellingen!$B$8,"Belofte - opvolgen",IF($P37&gt;=Instellingen!$B$9,"Zwak - twijfel","Vermijden"))))</f>
        <v/>
      </c>
      <c r="R37" s="15"/>
      <c r="T37" s="1" t="str">
        <f aca="false">IF($C37="","",IF($P37=_xlfn.MAXIFS($P$3:$P$1000,$B$3:$B$1000,$B37),"★ Cash cow – handmatig onderzoeken",""))</f>
        <v/>
      </c>
    </row>
    <row r="38" customFormat="false" ht="14.25" hidden="false" customHeight="true" outlineLevel="0" collapsed="false">
      <c r="A38" s="4"/>
      <c r="B38" s="5"/>
      <c r="C38" s="5"/>
      <c r="D38" s="5"/>
      <c r="E38" s="6"/>
      <c r="F38" s="7"/>
      <c r="G38" s="8"/>
      <c r="H38" s="7"/>
      <c r="I38" s="7"/>
      <c r="J38" s="6"/>
      <c r="K38" s="9" t="str">
        <f aca="false">IF(OR($J38="",$J38=0),"",$I38/$J38)</f>
        <v/>
      </c>
      <c r="L38" s="9" t="str">
        <f aca="false">IF(OR($E38="",$E38=0),"",$H38/$E38)</f>
        <v/>
      </c>
      <c r="M38" s="10" t="str">
        <f aca="false">IF(OR($L38="",$L38=0),"",($I38/30)/$L38)</f>
        <v/>
      </c>
      <c r="N38" s="8"/>
      <c r="O38" s="11" t="str">
        <f aca="false">IF(OR($I38="",$N38=""),"",($I38/1000)*$N38)</f>
        <v/>
      </c>
      <c r="P38" s="12" t="str">
        <f aca="false">IF($C38="","",IFERROR(ROUND(MIN(25,($N38/Instellingen!$B$3)*25)+MIN(25,($I38/Instellingen!$B$4)*25)+MIN(25,($J38/Instellingen!$B$5)*25)+MIN(25,(IF($M38="",0,$M38)/Instellingen!$B$6)*25),0),""))</f>
        <v/>
      </c>
      <c r="Q38" s="13" t="str">
        <f aca="false">IF($P38="","",IF($P38&gt;=Instellingen!$B$7,"Sterke niche",IF($P38&gt;=Instellingen!$B$8,"Belofte - opvolgen",IF($P38&gt;=Instellingen!$B$9,"Zwak - twijfel","Vermijden"))))</f>
        <v/>
      </c>
      <c r="R38" s="5"/>
      <c r="T38" s="1" t="str">
        <f aca="false">IF($C38="","",IF($P38=_xlfn.MAXIFS($P$3:$P$1000,$B$3:$B$1000,$B38),"★ Cash cow – handmatig onderzoeken",""))</f>
        <v/>
      </c>
    </row>
    <row r="39" customFormat="false" ht="14.25" hidden="false" customHeight="true" outlineLevel="0" collapsed="false">
      <c r="A39" s="14"/>
      <c r="B39" s="15"/>
      <c r="C39" s="15"/>
      <c r="D39" s="15"/>
      <c r="E39" s="16"/>
      <c r="F39" s="17"/>
      <c r="G39" s="18"/>
      <c r="H39" s="17"/>
      <c r="I39" s="17"/>
      <c r="J39" s="16"/>
      <c r="K39" s="19" t="str">
        <f aca="false">IF(OR($J39="",$J39=0),"",$I39/$J39)</f>
        <v/>
      </c>
      <c r="L39" s="19" t="str">
        <f aca="false">IF(OR($E39="",$E39=0),"",$H39/$E39)</f>
        <v/>
      </c>
      <c r="M39" s="20" t="str">
        <f aca="false">IF(OR($L39="",$L39=0),"",($I39/30)/$L39)</f>
        <v/>
      </c>
      <c r="N39" s="18"/>
      <c r="O39" s="21" t="str">
        <f aca="false">IF(OR($I39="",$N39=""),"",($I39/1000)*$N39)</f>
        <v/>
      </c>
      <c r="P39" s="22" t="str">
        <f aca="false">IF($C39="","",IFERROR(ROUND(MIN(25,($N39/Instellingen!$B$3)*25)+MIN(25,($I39/Instellingen!$B$4)*25)+MIN(25,($J39/Instellingen!$B$5)*25)+MIN(25,(IF($M39="",0,$M39)/Instellingen!$B$6)*25),0),""))</f>
        <v/>
      </c>
      <c r="Q39" s="23" t="str">
        <f aca="false">IF($P39="","",IF($P39&gt;=Instellingen!$B$7,"Sterke niche",IF($P39&gt;=Instellingen!$B$8,"Belofte - opvolgen",IF($P39&gt;=Instellingen!$B$9,"Zwak - twijfel","Vermijden"))))</f>
        <v/>
      </c>
      <c r="R39" s="15"/>
      <c r="T39" s="1" t="str">
        <f aca="false">IF($C39="","",IF($P39=_xlfn.MAXIFS($P$3:$P$1000,$B$3:$B$1000,$B39),"★ Cash cow – handmatig onderzoeken",""))</f>
        <v/>
      </c>
    </row>
    <row r="40" customFormat="false" ht="14.25" hidden="false" customHeight="true" outlineLevel="0" collapsed="false">
      <c r="A40" s="4"/>
      <c r="B40" s="5"/>
      <c r="C40" s="5"/>
      <c r="D40" s="5"/>
      <c r="E40" s="6"/>
      <c r="F40" s="7"/>
      <c r="G40" s="8"/>
      <c r="H40" s="7"/>
      <c r="I40" s="7"/>
      <c r="J40" s="6"/>
      <c r="K40" s="9" t="str">
        <f aca="false">IF(OR($J40="",$J40=0),"",$I40/$J40)</f>
        <v/>
      </c>
      <c r="L40" s="9" t="str">
        <f aca="false">IF(OR($E40="",$E40=0),"",$H40/$E40)</f>
        <v/>
      </c>
      <c r="M40" s="10" t="str">
        <f aca="false">IF(OR($L40="",$L40=0),"",($I40/30)/$L40)</f>
        <v/>
      </c>
      <c r="N40" s="8"/>
      <c r="O40" s="11" t="str">
        <f aca="false">IF(OR($I40="",$N40=""),"",($I40/1000)*$N40)</f>
        <v/>
      </c>
      <c r="P40" s="12" t="str">
        <f aca="false">IF($C40="","",IFERROR(ROUND(MIN(25,($N40/Instellingen!$B$3)*25)+MIN(25,($I40/Instellingen!$B$4)*25)+MIN(25,($J40/Instellingen!$B$5)*25)+MIN(25,(IF($M40="",0,$M40)/Instellingen!$B$6)*25),0),""))</f>
        <v/>
      </c>
      <c r="Q40" s="13" t="str">
        <f aca="false">IF($P40="","",IF($P40&gt;=Instellingen!$B$7,"Sterke niche",IF($P40&gt;=Instellingen!$B$8,"Belofte - opvolgen",IF($P40&gt;=Instellingen!$B$9,"Zwak - twijfel","Vermijden"))))</f>
        <v/>
      </c>
      <c r="R40" s="5"/>
      <c r="T40" s="1" t="str">
        <f aca="false">IF($C40="","",IF($P40=_xlfn.MAXIFS($P$3:$P$1000,$B$3:$B$1000,$B40),"★ Cash cow – handmatig onderzoeken",""))</f>
        <v/>
      </c>
    </row>
    <row r="41" customFormat="false" ht="14.25" hidden="false" customHeight="true" outlineLevel="0" collapsed="false">
      <c r="A41" s="14"/>
      <c r="B41" s="15"/>
      <c r="C41" s="15"/>
      <c r="D41" s="15"/>
      <c r="E41" s="16"/>
      <c r="F41" s="17"/>
      <c r="G41" s="18"/>
      <c r="H41" s="17"/>
      <c r="I41" s="17"/>
      <c r="J41" s="16"/>
      <c r="K41" s="19" t="str">
        <f aca="false">IF(OR($J41="",$J41=0),"",$I41/$J41)</f>
        <v/>
      </c>
      <c r="L41" s="19" t="str">
        <f aca="false">IF(OR($E41="",$E41=0),"",$H41/$E41)</f>
        <v/>
      </c>
      <c r="M41" s="20" t="str">
        <f aca="false">IF(OR($L41="",$L41=0),"",($I41/30)/$L41)</f>
        <v/>
      </c>
      <c r="N41" s="18"/>
      <c r="O41" s="21" t="str">
        <f aca="false">IF(OR($I41="",$N41=""),"",($I41/1000)*$N41)</f>
        <v/>
      </c>
      <c r="P41" s="22" t="str">
        <f aca="false">IF($C41="","",IFERROR(ROUND(MIN(25,($N41/Instellingen!$B$3)*25)+MIN(25,($I41/Instellingen!$B$4)*25)+MIN(25,($J41/Instellingen!$B$5)*25)+MIN(25,(IF($M41="",0,$M41)/Instellingen!$B$6)*25),0),""))</f>
        <v/>
      </c>
      <c r="Q41" s="23" t="str">
        <f aca="false">IF($P41="","",IF($P41&gt;=Instellingen!$B$7,"Sterke niche",IF($P41&gt;=Instellingen!$B$8,"Belofte - opvolgen",IF($P41&gt;=Instellingen!$B$9,"Zwak - twijfel","Vermijden"))))</f>
        <v/>
      </c>
      <c r="R41" s="15"/>
      <c r="T41" s="1" t="str">
        <f aca="false">IF($C41="","",IF($P41=_xlfn.MAXIFS($P$3:$P$1000,$B$3:$B$1000,$B41),"★ Cash cow – handmatig onderzoeken",""))</f>
        <v/>
      </c>
    </row>
    <row r="42" customFormat="false" ht="14.25" hidden="false" customHeight="true" outlineLevel="0" collapsed="false">
      <c r="A42" s="4"/>
      <c r="B42" s="5"/>
      <c r="C42" s="5"/>
      <c r="D42" s="5"/>
      <c r="E42" s="6"/>
      <c r="F42" s="7"/>
      <c r="G42" s="8"/>
      <c r="H42" s="7"/>
      <c r="I42" s="7"/>
      <c r="J42" s="6"/>
      <c r="K42" s="9" t="str">
        <f aca="false">IF(OR($J42="",$J42=0),"",$I42/$J42)</f>
        <v/>
      </c>
      <c r="L42" s="9" t="str">
        <f aca="false">IF(OR($E42="",$E42=0),"",$H42/$E42)</f>
        <v/>
      </c>
      <c r="M42" s="10" t="str">
        <f aca="false">IF(OR($L42="",$L42=0),"",($I42/30)/$L42)</f>
        <v/>
      </c>
      <c r="N42" s="8"/>
      <c r="O42" s="11" t="str">
        <f aca="false">IF(OR($I42="",$N42=""),"",($I42/1000)*$N42)</f>
        <v/>
      </c>
      <c r="P42" s="12" t="str">
        <f aca="false">IF($C42="","",IFERROR(ROUND(MIN(25,($N42/Instellingen!$B$3)*25)+MIN(25,($I42/Instellingen!$B$4)*25)+MIN(25,($J42/Instellingen!$B$5)*25)+MIN(25,(IF($M42="",0,$M42)/Instellingen!$B$6)*25),0),""))</f>
        <v/>
      </c>
      <c r="Q42" s="13" t="str">
        <f aca="false">IF($P42="","",IF($P42&gt;=Instellingen!$B$7,"Sterke niche",IF($P42&gt;=Instellingen!$B$8,"Belofte - opvolgen",IF($P42&gt;=Instellingen!$B$9,"Zwak - twijfel","Vermijden"))))</f>
        <v/>
      </c>
      <c r="R42" s="5"/>
      <c r="T42" s="1" t="str">
        <f aca="false">IF($C42="","",IF($P42=_xlfn.MAXIFS($P$3:$P$1000,$B$3:$B$1000,$B42),"★ Cash cow – handmatig onderzoeken",""))</f>
        <v/>
      </c>
    </row>
    <row r="43" customFormat="false" ht="14.25" hidden="false" customHeight="true" outlineLevel="0" collapsed="false">
      <c r="A43" s="14"/>
      <c r="B43" s="15"/>
      <c r="C43" s="15"/>
      <c r="D43" s="15"/>
      <c r="E43" s="16"/>
      <c r="F43" s="17"/>
      <c r="G43" s="18"/>
      <c r="H43" s="17"/>
      <c r="I43" s="17"/>
      <c r="J43" s="16"/>
      <c r="K43" s="19" t="str">
        <f aca="false">IF(OR($J43="",$J43=0),"",$I43/$J43)</f>
        <v/>
      </c>
      <c r="L43" s="19" t="str">
        <f aca="false">IF(OR($E43="",$E43=0),"",$H43/$E43)</f>
        <v/>
      </c>
      <c r="M43" s="20" t="str">
        <f aca="false">IF(OR($L43="",$L43=0),"",($I43/30)/$L43)</f>
        <v/>
      </c>
      <c r="N43" s="18"/>
      <c r="O43" s="21" t="str">
        <f aca="false">IF(OR($I43="",$N43=""),"",($I43/1000)*$N43)</f>
        <v/>
      </c>
      <c r="P43" s="22" t="str">
        <f aca="false">IF($C43="","",IFERROR(ROUND(MIN(25,($N43/Instellingen!$B$3)*25)+MIN(25,($I43/Instellingen!$B$4)*25)+MIN(25,($J43/Instellingen!$B$5)*25)+MIN(25,(IF($M43="",0,$M43)/Instellingen!$B$6)*25),0),""))</f>
        <v/>
      </c>
      <c r="Q43" s="23" t="str">
        <f aca="false">IF($P43="","",IF($P43&gt;=Instellingen!$B$7,"Sterke niche",IF($P43&gt;=Instellingen!$B$8,"Belofte - opvolgen",IF($P43&gt;=Instellingen!$B$9,"Zwak - twijfel","Vermijden"))))</f>
        <v/>
      </c>
      <c r="R43" s="15"/>
      <c r="T43" s="1" t="str">
        <f aca="false">IF($C43="","",IF($P43=_xlfn.MAXIFS($P$3:$P$1000,$B$3:$B$1000,$B43),"★ Cash cow – handmatig onderzoeken",""))</f>
        <v/>
      </c>
    </row>
    <row r="44" customFormat="false" ht="14.25" hidden="false" customHeight="true" outlineLevel="0" collapsed="false">
      <c r="A44" s="4"/>
      <c r="B44" s="5"/>
      <c r="C44" s="5"/>
      <c r="D44" s="5"/>
      <c r="E44" s="6"/>
      <c r="F44" s="7"/>
      <c r="G44" s="8"/>
      <c r="H44" s="7"/>
      <c r="I44" s="7"/>
      <c r="J44" s="6"/>
      <c r="K44" s="9" t="str">
        <f aca="false">IF(OR($J44="",$J44=0),"",$I44/$J44)</f>
        <v/>
      </c>
      <c r="L44" s="9" t="str">
        <f aca="false">IF(OR($E44="",$E44=0),"",$H44/$E44)</f>
        <v/>
      </c>
      <c r="M44" s="10" t="str">
        <f aca="false">IF(OR($L44="",$L44=0),"",($I44/30)/$L44)</f>
        <v/>
      </c>
      <c r="N44" s="8"/>
      <c r="O44" s="11" t="str">
        <f aca="false">IF(OR($I44="",$N44=""),"",($I44/1000)*$N44)</f>
        <v/>
      </c>
      <c r="P44" s="12" t="str">
        <f aca="false">IF($C44="","",IFERROR(ROUND(MIN(25,($N44/Instellingen!$B$3)*25)+MIN(25,($I44/Instellingen!$B$4)*25)+MIN(25,($J44/Instellingen!$B$5)*25)+MIN(25,(IF($M44="",0,$M44)/Instellingen!$B$6)*25),0),""))</f>
        <v/>
      </c>
      <c r="Q44" s="13" t="str">
        <f aca="false">IF($P44="","",IF($P44&gt;=Instellingen!$B$7,"Sterke niche",IF($P44&gt;=Instellingen!$B$8,"Belofte - opvolgen",IF($P44&gt;=Instellingen!$B$9,"Zwak - twijfel","Vermijden"))))</f>
        <v/>
      </c>
      <c r="R44" s="5"/>
      <c r="T44" s="1" t="str">
        <f aca="false">IF($C44="","",IF($P44=_xlfn.MAXIFS($P$3:$P$1000,$B$3:$B$1000,$B44),"★ Cash cow – handmatig onderzoeken",""))</f>
        <v/>
      </c>
    </row>
    <row r="45" customFormat="false" ht="14.25" hidden="false" customHeight="true" outlineLevel="0" collapsed="false">
      <c r="A45" s="14"/>
      <c r="B45" s="15"/>
      <c r="C45" s="15"/>
      <c r="D45" s="15"/>
      <c r="E45" s="16"/>
      <c r="F45" s="17"/>
      <c r="G45" s="18"/>
      <c r="H45" s="17"/>
      <c r="I45" s="17"/>
      <c r="J45" s="16"/>
      <c r="K45" s="19" t="str">
        <f aca="false">IF(OR($J45="",$J45=0),"",$I45/$J45)</f>
        <v/>
      </c>
      <c r="L45" s="19" t="str">
        <f aca="false">IF(OR($E45="",$E45=0),"",$H45/$E45)</f>
        <v/>
      </c>
      <c r="M45" s="20" t="str">
        <f aca="false">IF(OR($L45="",$L45=0),"",($I45/30)/$L45)</f>
        <v/>
      </c>
      <c r="N45" s="18"/>
      <c r="O45" s="21" t="str">
        <f aca="false">IF(OR($I45="",$N45=""),"",($I45/1000)*$N45)</f>
        <v/>
      </c>
      <c r="P45" s="22" t="str">
        <f aca="false">IF($C45="","",IFERROR(ROUND(MIN(25,($N45/Instellingen!$B$3)*25)+MIN(25,($I45/Instellingen!$B$4)*25)+MIN(25,($J45/Instellingen!$B$5)*25)+MIN(25,(IF($M45="",0,$M45)/Instellingen!$B$6)*25),0),""))</f>
        <v/>
      </c>
      <c r="Q45" s="23" t="str">
        <f aca="false">IF($P45="","",IF($P45&gt;=Instellingen!$B$7,"Sterke niche",IF($P45&gt;=Instellingen!$B$8,"Belofte - opvolgen",IF($P45&gt;=Instellingen!$B$9,"Zwak - twijfel","Vermijden"))))</f>
        <v/>
      </c>
      <c r="R45" s="15"/>
      <c r="T45" s="1" t="str">
        <f aca="false">IF($C45="","",IF($P45=_xlfn.MAXIFS($P$3:$P$1000,$B$3:$B$1000,$B45),"★ Cash cow – handmatig onderzoeken",""))</f>
        <v/>
      </c>
    </row>
    <row r="46" customFormat="false" ht="14.25" hidden="false" customHeight="true" outlineLevel="0" collapsed="false">
      <c r="A46" s="4"/>
      <c r="B46" s="5"/>
      <c r="C46" s="5"/>
      <c r="D46" s="5"/>
      <c r="E46" s="6"/>
      <c r="F46" s="7"/>
      <c r="G46" s="8"/>
      <c r="H46" s="7"/>
      <c r="I46" s="7"/>
      <c r="J46" s="6"/>
      <c r="K46" s="9" t="str">
        <f aca="false">IF(OR($J46="",$J46=0),"",$I46/$J46)</f>
        <v/>
      </c>
      <c r="L46" s="9" t="str">
        <f aca="false">IF(OR($E46="",$E46=0),"",$H46/$E46)</f>
        <v/>
      </c>
      <c r="M46" s="10" t="str">
        <f aca="false">IF(OR($L46="",$L46=0),"",($I46/30)/$L46)</f>
        <v/>
      </c>
      <c r="N46" s="8"/>
      <c r="O46" s="11" t="str">
        <f aca="false">IF(OR($I46="",$N46=""),"",($I46/1000)*$N46)</f>
        <v/>
      </c>
      <c r="P46" s="12" t="str">
        <f aca="false">IF($C46="","",IFERROR(ROUND(MIN(25,($N46/Instellingen!$B$3)*25)+MIN(25,($I46/Instellingen!$B$4)*25)+MIN(25,($J46/Instellingen!$B$5)*25)+MIN(25,(IF($M46="",0,$M46)/Instellingen!$B$6)*25),0),""))</f>
        <v/>
      </c>
      <c r="Q46" s="13" t="str">
        <f aca="false">IF($P46="","",IF($P46&gt;=Instellingen!$B$7,"Sterke niche",IF($P46&gt;=Instellingen!$B$8,"Belofte - opvolgen",IF($P46&gt;=Instellingen!$B$9,"Zwak - twijfel","Vermijden"))))</f>
        <v/>
      </c>
      <c r="R46" s="5"/>
      <c r="T46" s="1" t="str">
        <f aca="false">IF($C46="","",IF($P46=_xlfn.MAXIFS($P$3:$P$1000,$B$3:$B$1000,$B46),"★ Cash cow – handmatig onderzoeken",""))</f>
        <v/>
      </c>
    </row>
    <row r="47" customFormat="false" ht="14.25" hidden="false" customHeight="true" outlineLevel="0" collapsed="false">
      <c r="A47" s="14"/>
      <c r="B47" s="15"/>
      <c r="C47" s="15"/>
      <c r="D47" s="15"/>
      <c r="E47" s="16"/>
      <c r="F47" s="17"/>
      <c r="G47" s="18"/>
      <c r="H47" s="17"/>
      <c r="I47" s="17"/>
      <c r="J47" s="16"/>
      <c r="K47" s="19" t="str">
        <f aca="false">IF(OR($J47="",$J47=0),"",$I47/$J47)</f>
        <v/>
      </c>
      <c r="L47" s="19" t="str">
        <f aca="false">IF(OR($E47="",$E47=0),"",$H47/$E47)</f>
        <v/>
      </c>
      <c r="M47" s="20" t="str">
        <f aca="false">IF(OR($L47="",$L47=0),"",($I47/30)/$L47)</f>
        <v/>
      </c>
      <c r="N47" s="18"/>
      <c r="O47" s="21" t="str">
        <f aca="false">IF(OR($I47="",$N47=""),"",($I47/1000)*$N47)</f>
        <v/>
      </c>
      <c r="P47" s="22" t="str">
        <f aca="false">IF($C47="","",IFERROR(ROUND(MIN(25,($N47/Instellingen!$B$3)*25)+MIN(25,($I47/Instellingen!$B$4)*25)+MIN(25,($J47/Instellingen!$B$5)*25)+MIN(25,(IF($M47="",0,$M47)/Instellingen!$B$6)*25),0),""))</f>
        <v/>
      </c>
      <c r="Q47" s="23" t="str">
        <f aca="false">IF($P47="","",IF($P47&gt;=Instellingen!$B$7,"Sterke niche",IF($P47&gt;=Instellingen!$B$8,"Belofte - opvolgen",IF($P47&gt;=Instellingen!$B$9,"Zwak - twijfel","Vermijden"))))</f>
        <v/>
      </c>
      <c r="R47" s="15"/>
      <c r="T47" s="1" t="str">
        <f aca="false">IF($C47="","",IF($P47=_xlfn.MAXIFS($P$3:$P$1000,$B$3:$B$1000,$B47),"★ Cash cow – handmatig onderzoeken",""))</f>
        <v/>
      </c>
    </row>
    <row r="48" customFormat="false" ht="14.25" hidden="false" customHeight="true" outlineLevel="0" collapsed="false">
      <c r="A48" s="4"/>
      <c r="B48" s="5"/>
      <c r="C48" s="5"/>
      <c r="D48" s="5"/>
      <c r="E48" s="6"/>
      <c r="F48" s="7"/>
      <c r="G48" s="8"/>
      <c r="H48" s="7"/>
      <c r="I48" s="7"/>
      <c r="J48" s="6"/>
      <c r="K48" s="9" t="str">
        <f aca="false">IF(OR($J48="",$J48=0),"",$I48/$J48)</f>
        <v/>
      </c>
      <c r="L48" s="9" t="str">
        <f aca="false">IF(OR($E48="",$E48=0),"",$H48/$E48)</f>
        <v/>
      </c>
      <c r="M48" s="10" t="str">
        <f aca="false">IF(OR($L48="",$L48=0),"",($I48/30)/$L48)</f>
        <v/>
      </c>
      <c r="N48" s="8"/>
      <c r="O48" s="11" t="str">
        <f aca="false">IF(OR($I48="",$N48=""),"",($I48/1000)*$N48)</f>
        <v/>
      </c>
      <c r="P48" s="12" t="str">
        <f aca="false">IF($C48="","",IFERROR(ROUND(MIN(25,($N48/Instellingen!$B$3)*25)+MIN(25,($I48/Instellingen!$B$4)*25)+MIN(25,($J48/Instellingen!$B$5)*25)+MIN(25,(IF($M48="",0,$M48)/Instellingen!$B$6)*25),0),""))</f>
        <v/>
      </c>
      <c r="Q48" s="13" t="str">
        <f aca="false">IF($P48="","",IF($P48&gt;=Instellingen!$B$7,"Sterke niche",IF($P48&gt;=Instellingen!$B$8,"Belofte - opvolgen",IF($P48&gt;=Instellingen!$B$9,"Zwak - twijfel","Vermijden"))))</f>
        <v/>
      </c>
      <c r="R48" s="5"/>
      <c r="T48" s="1" t="str">
        <f aca="false">IF($C48="","",IF($P48=_xlfn.MAXIFS($P$3:$P$1000,$B$3:$B$1000,$B48),"★ Cash cow – handmatig onderzoeken",""))</f>
        <v/>
      </c>
    </row>
    <row r="49" customFormat="false" ht="14.25" hidden="false" customHeight="true" outlineLevel="0" collapsed="false">
      <c r="A49" s="14"/>
      <c r="B49" s="15"/>
      <c r="C49" s="15"/>
      <c r="D49" s="15"/>
      <c r="E49" s="16"/>
      <c r="F49" s="17"/>
      <c r="G49" s="18"/>
      <c r="H49" s="17"/>
      <c r="I49" s="17"/>
      <c r="J49" s="16"/>
      <c r="K49" s="19" t="str">
        <f aca="false">IF(OR($J49="",$J49=0),"",$I49/$J49)</f>
        <v/>
      </c>
      <c r="L49" s="19" t="str">
        <f aca="false">IF(OR($E49="",$E49=0),"",$H49/$E49)</f>
        <v/>
      </c>
      <c r="M49" s="20" t="str">
        <f aca="false">IF(OR($L49="",$L49=0),"",($I49/30)/$L49)</f>
        <v/>
      </c>
      <c r="N49" s="18"/>
      <c r="O49" s="21" t="str">
        <f aca="false">IF(OR($I49="",$N49=""),"",($I49/1000)*$N49)</f>
        <v/>
      </c>
      <c r="P49" s="22" t="str">
        <f aca="false">IF($C49="","",IFERROR(ROUND(MIN(25,($N49/Instellingen!$B$3)*25)+MIN(25,($I49/Instellingen!$B$4)*25)+MIN(25,($J49/Instellingen!$B$5)*25)+MIN(25,(IF($M49="",0,$M49)/Instellingen!$B$6)*25),0),""))</f>
        <v/>
      </c>
      <c r="Q49" s="23" t="str">
        <f aca="false">IF($P49="","",IF($P49&gt;=Instellingen!$B$7,"Sterke niche",IF($P49&gt;=Instellingen!$B$8,"Belofte - opvolgen",IF($P49&gt;=Instellingen!$B$9,"Zwak - twijfel","Vermijden"))))</f>
        <v/>
      </c>
      <c r="R49" s="15"/>
      <c r="T49" s="1" t="str">
        <f aca="false">IF($C49="","",IF($P49=_xlfn.MAXIFS($P$3:$P$1000,$B$3:$B$1000,$B49),"★ Cash cow – handmatig onderzoeken",""))</f>
        <v/>
      </c>
    </row>
    <row r="50" customFormat="false" ht="14.25" hidden="false" customHeight="true" outlineLevel="0" collapsed="false">
      <c r="A50" s="4"/>
      <c r="B50" s="5"/>
      <c r="C50" s="5"/>
      <c r="D50" s="5"/>
      <c r="E50" s="6"/>
      <c r="F50" s="7"/>
      <c r="G50" s="8"/>
      <c r="H50" s="7"/>
      <c r="I50" s="7"/>
      <c r="J50" s="6"/>
      <c r="K50" s="9" t="str">
        <f aca="false">IF(OR($J50="",$J50=0),"",$I50/$J50)</f>
        <v/>
      </c>
      <c r="L50" s="9" t="str">
        <f aca="false">IF(OR($E50="",$E50=0),"",$H50/$E50)</f>
        <v/>
      </c>
      <c r="M50" s="10" t="str">
        <f aca="false">IF(OR($L50="",$L50=0),"",($I50/30)/$L50)</f>
        <v/>
      </c>
      <c r="N50" s="8"/>
      <c r="O50" s="11" t="str">
        <f aca="false">IF(OR($I50="",$N50=""),"",($I50/1000)*$N50)</f>
        <v/>
      </c>
      <c r="P50" s="12" t="str">
        <f aca="false">IF($C50="","",IFERROR(ROUND(MIN(25,($N50/Instellingen!$B$3)*25)+MIN(25,($I50/Instellingen!$B$4)*25)+MIN(25,($J50/Instellingen!$B$5)*25)+MIN(25,(IF($M50="",0,$M50)/Instellingen!$B$6)*25),0),""))</f>
        <v/>
      </c>
      <c r="Q50" s="13" t="str">
        <f aca="false">IF($P50="","",IF($P50&gt;=Instellingen!$B$7,"Sterke niche",IF($P50&gt;=Instellingen!$B$8,"Belofte - opvolgen",IF($P50&gt;=Instellingen!$B$9,"Zwak - twijfel","Vermijden"))))</f>
        <v/>
      </c>
      <c r="R50" s="5"/>
      <c r="T50" s="1" t="str">
        <f aca="false">IF($C50="","",IF($P50=_xlfn.MAXIFS($P$3:$P$1000,$B$3:$B$1000,$B50),"★ Cash cow – handmatig onderzoeken",""))</f>
        <v/>
      </c>
    </row>
    <row r="51" customFormat="false" ht="14.25" hidden="false" customHeight="true" outlineLevel="0" collapsed="false">
      <c r="A51" s="14"/>
      <c r="B51" s="15"/>
      <c r="C51" s="15"/>
      <c r="D51" s="15"/>
      <c r="E51" s="16"/>
      <c r="F51" s="17"/>
      <c r="G51" s="18"/>
      <c r="H51" s="17"/>
      <c r="I51" s="17"/>
      <c r="J51" s="16"/>
      <c r="K51" s="19" t="str">
        <f aca="false">IF(OR($J51="",$J51=0),"",$I51/$J51)</f>
        <v/>
      </c>
      <c r="L51" s="19" t="str">
        <f aca="false">IF(OR($E51="",$E51=0),"",$H51/$E51)</f>
        <v/>
      </c>
      <c r="M51" s="20" t="str">
        <f aca="false">IF(OR($L51="",$L51=0),"",($I51/30)/$L51)</f>
        <v/>
      </c>
      <c r="N51" s="18"/>
      <c r="O51" s="21" t="str">
        <f aca="false">IF(OR($I51="",$N51=""),"",($I51/1000)*$N51)</f>
        <v/>
      </c>
      <c r="P51" s="22" t="str">
        <f aca="false">IF($C51="","",IFERROR(ROUND(MIN(25,($N51/Instellingen!$B$3)*25)+MIN(25,($I51/Instellingen!$B$4)*25)+MIN(25,($J51/Instellingen!$B$5)*25)+MIN(25,(IF($M51="",0,$M51)/Instellingen!$B$6)*25),0),""))</f>
        <v/>
      </c>
      <c r="Q51" s="23" t="str">
        <f aca="false">IF($P51="","",IF($P51&gt;=Instellingen!$B$7,"Sterke niche",IF($P51&gt;=Instellingen!$B$8,"Belofte - opvolgen",IF($P51&gt;=Instellingen!$B$9,"Zwak - twijfel","Vermijden"))))</f>
        <v/>
      </c>
      <c r="R51" s="15"/>
      <c r="T51" s="1" t="str">
        <f aca="false">IF($C51="","",IF($P51=_xlfn.MAXIFS($P$3:$P$1000,$B$3:$B$1000,$B51),"★ Cash cow – handmatig onderzoeken",""))</f>
        <v/>
      </c>
    </row>
    <row r="52" customFormat="false" ht="14.25" hidden="false" customHeight="true" outlineLevel="0" collapsed="false">
      <c r="A52" s="4"/>
      <c r="B52" s="5"/>
      <c r="C52" s="5"/>
      <c r="D52" s="5"/>
      <c r="E52" s="6"/>
      <c r="F52" s="7"/>
      <c r="G52" s="8"/>
      <c r="H52" s="7"/>
      <c r="I52" s="7"/>
      <c r="J52" s="6"/>
      <c r="K52" s="9" t="str">
        <f aca="false">IF(OR($J52="",$J52=0),"",$I52/$J52)</f>
        <v/>
      </c>
      <c r="L52" s="9" t="str">
        <f aca="false">IF(OR($E52="",$E52=0),"",$H52/$E52)</f>
        <v/>
      </c>
      <c r="M52" s="10" t="str">
        <f aca="false">IF(OR($L52="",$L52=0),"",($I52/30)/$L52)</f>
        <v/>
      </c>
      <c r="N52" s="8"/>
      <c r="O52" s="11" t="str">
        <f aca="false">IF(OR($I52="",$N52=""),"",($I52/1000)*$N52)</f>
        <v/>
      </c>
      <c r="P52" s="12" t="str">
        <f aca="false">IF($C52="","",IFERROR(ROUND(MIN(25,($N52/Instellingen!$B$3)*25)+MIN(25,($I52/Instellingen!$B$4)*25)+MIN(25,($J52/Instellingen!$B$5)*25)+MIN(25,(IF($M52="",0,$M52)/Instellingen!$B$6)*25),0),""))</f>
        <v/>
      </c>
      <c r="Q52" s="13" t="str">
        <f aca="false">IF($P52="","",IF($P52&gt;=Instellingen!$B$7,"Sterke niche",IF($P52&gt;=Instellingen!$B$8,"Belofte - opvolgen",IF($P52&gt;=Instellingen!$B$9,"Zwak - twijfel","Vermijden"))))</f>
        <v/>
      </c>
      <c r="R52" s="5"/>
      <c r="T52" s="1" t="str">
        <f aca="false">IF($C52="","",IF($P52=_xlfn.MAXIFS($P$3:$P$1000,$B$3:$B$1000,$B52),"★ Cash cow – handmatig onderzoeken",""))</f>
        <v/>
      </c>
    </row>
    <row r="53" customFormat="false" ht="14.25" hidden="false" customHeight="true" outlineLevel="0" collapsed="false">
      <c r="A53" s="14"/>
      <c r="B53" s="15"/>
      <c r="C53" s="15"/>
      <c r="D53" s="15"/>
      <c r="E53" s="16"/>
      <c r="F53" s="17"/>
      <c r="G53" s="18"/>
      <c r="H53" s="17"/>
      <c r="I53" s="17"/>
      <c r="J53" s="16"/>
      <c r="K53" s="19" t="str">
        <f aca="false">IF(OR($J53="",$J53=0),"",$I53/$J53)</f>
        <v/>
      </c>
      <c r="L53" s="19" t="str">
        <f aca="false">IF(OR($E53="",$E53=0),"",$H53/$E53)</f>
        <v/>
      </c>
      <c r="M53" s="20" t="str">
        <f aca="false">IF(OR($L53="",$L53=0),"",($I53/30)/$L53)</f>
        <v/>
      </c>
      <c r="N53" s="18"/>
      <c r="O53" s="21" t="str">
        <f aca="false">IF(OR($I53="",$N53=""),"",($I53/1000)*$N53)</f>
        <v/>
      </c>
      <c r="P53" s="22" t="str">
        <f aca="false">IF($C53="","",IFERROR(ROUND(MIN(25,($N53/Instellingen!$B$3)*25)+MIN(25,($I53/Instellingen!$B$4)*25)+MIN(25,($J53/Instellingen!$B$5)*25)+MIN(25,(IF($M53="",0,$M53)/Instellingen!$B$6)*25),0),""))</f>
        <v/>
      </c>
      <c r="Q53" s="23" t="str">
        <f aca="false">IF($P53="","",IF($P53&gt;=Instellingen!$B$7,"Sterke niche",IF($P53&gt;=Instellingen!$B$8,"Belofte - opvolgen",IF($P53&gt;=Instellingen!$B$9,"Zwak - twijfel","Vermijden"))))</f>
        <v/>
      </c>
      <c r="R53" s="15"/>
      <c r="T53" s="1" t="str">
        <f aca="false">IF($C53="","",IF($P53=_xlfn.MAXIFS($P$3:$P$1000,$B$3:$B$1000,$B53),"★ Cash cow – handmatig onderzoeken",""))</f>
        <v/>
      </c>
    </row>
    <row r="54" customFormat="false" ht="14.25" hidden="false" customHeight="true" outlineLevel="0" collapsed="false">
      <c r="A54" s="4"/>
      <c r="B54" s="5"/>
      <c r="C54" s="5"/>
      <c r="D54" s="5"/>
      <c r="E54" s="6"/>
      <c r="F54" s="7"/>
      <c r="G54" s="8"/>
      <c r="H54" s="7"/>
      <c r="I54" s="7"/>
      <c r="J54" s="6"/>
      <c r="K54" s="9" t="str">
        <f aca="false">IF(OR($J54="",$J54=0),"",$I54/$J54)</f>
        <v/>
      </c>
      <c r="L54" s="9" t="str">
        <f aca="false">IF(OR($E54="",$E54=0),"",$H54/$E54)</f>
        <v/>
      </c>
      <c r="M54" s="10" t="str">
        <f aca="false">IF(OR($L54="",$L54=0),"",($I54/30)/$L54)</f>
        <v/>
      </c>
      <c r="N54" s="8"/>
      <c r="O54" s="11" t="str">
        <f aca="false">IF(OR($I54="",$N54=""),"",($I54/1000)*$N54)</f>
        <v/>
      </c>
      <c r="P54" s="12" t="str">
        <f aca="false">IF($C54="","",IFERROR(ROUND(MIN(25,($N54/Instellingen!$B$3)*25)+MIN(25,($I54/Instellingen!$B$4)*25)+MIN(25,($J54/Instellingen!$B$5)*25)+MIN(25,(IF($M54="",0,$M54)/Instellingen!$B$6)*25),0),""))</f>
        <v/>
      </c>
      <c r="Q54" s="13" t="str">
        <f aca="false">IF($P54="","",IF($P54&gt;=Instellingen!$B$7,"Sterke niche",IF($P54&gt;=Instellingen!$B$8,"Belofte - opvolgen",IF($P54&gt;=Instellingen!$B$9,"Zwak - twijfel","Vermijden"))))</f>
        <v/>
      </c>
      <c r="R54" s="5"/>
      <c r="T54" s="1" t="str">
        <f aca="false">IF($C54="","",IF($P54=_xlfn.MAXIFS($P$3:$P$1000,$B$3:$B$1000,$B54),"★ Cash cow – handmatig onderzoeken",""))</f>
        <v/>
      </c>
    </row>
    <row r="55" customFormat="false" ht="14.25" hidden="false" customHeight="true" outlineLevel="0" collapsed="false">
      <c r="A55" s="14"/>
      <c r="B55" s="15"/>
      <c r="C55" s="15"/>
      <c r="D55" s="15"/>
      <c r="E55" s="16"/>
      <c r="F55" s="17"/>
      <c r="G55" s="18"/>
      <c r="H55" s="17"/>
      <c r="I55" s="17"/>
      <c r="J55" s="16"/>
      <c r="K55" s="19" t="str">
        <f aca="false">IF(OR($J55="",$J55=0),"",$I55/$J55)</f>
        <v/>
      </c>
      <c r="L55" s="19" t="str">
        <f aca="false">IF(OR($E55="",$E55=0),"",$H55/$E55)</f>
        <v/>
      </c>
      <c r="M55" s="20" t="str">
        <f aca="false">IF(OR($L55="",$L55=0),"",($I55/30)/$L55)</f>
        <v/>
      </c>
      <c r="N55" s="18"/>
      <c r="O55" s="21" t="str">
        <f aca="false">IF(OR($I55="",$N55=""),"",($I55/1000)*$N55)</f>
        <v/>
      </c>
      <c r="P55" s="22" t="str">
        <f aca="false">IF($C55="","",IFERROR(ROUND(MIN(25,($N55/Instellingen!$B$3)*25)+MIN(25,($I55/Instellingen!$B$4)*25)+MIN(25,($J55/Instellingen!$B$5)*25)+MIN(25,(IF($M55="",0,$M55)/Instellingen!$B$6)*25),0),""))</f>
        <v/>
      </c>
      <c r="Q55" s="23" t="str">
        <f aca="false">IF($P55="","",IF($P55&gt;=Instellingen!$B$7,"Sterke niche",IF($P55&gt;=Instellingen!$B$8,"Belofte - opvolgen",IF($P55&gt;=Instellingen!$B$9,"Zwak - twijfel","Vermijden"))))</f>
        <v/>
      </c>
      <c r="R55" s="15"/>
      <c r="T55" s="1" t="str">
        <f aca="false">IF($C55="","",IF($P55=_xlfn.MAXIFS($P$3:$P$1000,$B$3:$B$1000,$B55),"★ Cash cow – handmatig onderzoeken",""))</f>
        <v/>
      </c>
    </row>
    <row r="56" customFormat="false" ht="14.25" hidden="false" customHeight="true" outlineLevel="0" collapsed="false">
      <c r="A56" s="4"/>
      <c r="B56" s="5"/>
      <c r="C56" s="5"/>
      <c r="D56" s="5"/>
      <c r="E56" s="6"/>
      <c r="F56" s="7"/>
      <c r="G56" s="8"/>
      <c r="H56" s="7"/>
      <c r="I56" s="7"/>
      <c r="J56" s="6"/>
      <c r="K56" s="9" t="str">
        <f aca="false">IF(OR($J56="",$J56=0),"",$I56/$J56)</f>
        <v/>
      </c>
      <c r="L56" s="9" t="str">
        <f aca="false">IF(OR($E56="",$E56=0),"",$H56/$E56)</f>
        <v/>
      </c>
      <c r="M56" s="10" t="str">
        <f aca="false">IF(OR($L56="",$L56=0),"",($I56/30)/$L56)</f>
        <v/>
      </c>
      <c r="N56" s="8"/>
      <c r="O56" s="11" t="str">
        <f aca="false">IF(OR($I56="",$N56=""),"",($I56/1000)*$N56)</f>
        <v/>
      </c>
      <c r="P56" s="12" t="str">
        <f aca="false">IF($C56="","",IFERROR(ROUND(MIN(25,($N56/Instellingen!$B$3)*25)+MIN(25,($I56/Instellingen!$B$4)*25)+MIN(25,($J56/Instellingen!$B$5)*25)+MIN(25,(IF($M56="",0,$M56)/Instellingen!$B$6)*25),0),""))</f>
        <v/>
      </c>
      <c r="Q56" s="13" t="str">
        <f aca="false">IF($P56="","",IF($P56&gt;=Instellingen!$B$7,"Sterke niche",IF($P56&gt;=Instellingen!$B$8,"Belofte - opvolgen",IF($P56&gt;=Instellingen!$B$9,"Zwak - twijfel","Vermijden"))))</f>
        <v/>
      </c>
      <c r="R56" s="5"/>
      <c r="T56" s="1" t="str">
        <f aca="false">IF($C56="","",IF($P56=_xlfn.MAXIFS($P$3:$P$1000,$B$3:$B$1000,$B56),"★ Cash cow – handmatig onderzoeken",""))</f>
        <v/>
      </c>
    </row>
    <row r="57" customFormat="false" ht="14.25" hidden="false" customHeight="true" outlineLevel="0" collapsed="false">
      <c r="A57" s="14"/>
      <c r="B57" s="15"/>
      <c r="C57" s="15"/>
      <c r="D57" s="15"/>
      <c r="E57" s="16"/>
      <c r="F57" s="17"/>
      <c r="G57" s="18"/>
      <c r="H57" s="17"/>
      <c r="I57" s="17"/>
      <c r="J57" s="16"/>
      <c r="K57" s="19" t="str">
        <f aca="false">IF(OR($J57="",$J57=0),"",$I57/$J57)</f>
        <v/>
      </c>
      <c r="L57" s="19" t="str">
        <f aca="false">IF(OR($E57="",$E57=0),"",$H57/$E57)</f>
        <v/>
      </c>
      <c r="M57" s="20" t="str">
        <f aca="false">IF(OR($L57="",$L57=0),"",($I57/30)/$L57)</f>
        <v/>
      </c>
      <c r="N57" s="18"/>
      <c r="O57" s="21" t="str">
        <f aca="false">IF(OR($I57="",$N57=""),"",($I57/1000)*$N57)</f>
        <v/>
      </c>
      <c r="P57" s="22" t="str">
        <f aca="false">IF($C57="","",IFERROR(ROUND(MIN(25,($N57/Instellingen!$B$3)*25)+MIN(25,($I57/Instellingen!$B$4)*25)+MIN(25,($J57/Instellingen!$B$5)*25)+MIN(25,(IF($M57="",0,$M57)/Instellingen!$B$6)*25),0),""))</f>
        <v/>
      </c>
      <c r="Q57" s="23" t="str">
        <f aca="false">IF($P57="","",IF($P57&gt;=Instellingen!$B$7,"Sterke niche",IF($P57&gt;=Instellingen!$B$8,"Belofte - opvolgen",IF($P57&gt;=Instellingen!$B$9,"Zwak - twijfel","Vermijden"))))</f>
        <v/>
      </c>
      <c r="R57" s="15"/>
      <c r="T57" s="1" t="str">
        <f aca="false">IF($C57="","",IF($P57=_xlfn.MAXIFS($P$3:$P$1000,$B$3:$B$1000,$B57),"★ Cash cow – handmatig onderzoeken",""))</f>
        <v/>
      </c>
    </row>
    <row r="58" customFormat="false" ht="14.25" hidden="false" customHeight="true" outlineLevel="0" collapsed="false">
      <c r="A58" s="4"/>
      <c r="B58" s="5"/>
      <c r="C58" s="5"/>
      <c r="D58" s="5"/>
      <c r="E58" s="6"/>
      <c r="F58" s="7"/>
      <c r="G58" s="8"/>
      <c r="H58" s="7"/>
      <c r="I58" s="7"/>
      <c r="J58" s="6"/>
      <c r="K58" s="9" t="str">
        <f aca="false">IF(OR($J58="",$J58=0),"",$I58/$J58)</f>
        <v/>
      </c>
      <c r="L58" s="9" t="str">
        <f aca="false">IF(OR($E58="",$E58=0),"",$H58/$E58)</f>
        <v/>
      </c>
      <c r="M58" s="10" t="str">
        <f aca="false">IF(OR($L58="",$L58=0),"",($I58/30)/$L58)</f>
        <v/>
      </c>
      <c r="N58" s="8"/>
      <c r="O58" s="11" t="str">
        <f aca="false">IF(OR($I58="",$N58=""),"",($I58/1000)*$N58)</f>
        <v/>
      </c>
      <c r="P58" s="12" t="str">
        <f aca="false">IF($C58="","",IFERROR(ROUND(MIN(25,($N58/Instellingen!$B$3)*25)+MIN(25,($I58/Instellingen!$B$4)*25)+MIN(25,($J58/Instellingen!$B$5)*25)+MIN(25,(IF($M58="",0,$M58)/Instellingen!$B$6)*25),0),""))</f>
        <v/>
      </c>
      <c r="Q58" s="13" t="str">
        <f aca="false">IF($P58="","",IF($P58&gt;=Instellingen!$B$7,"Sterke niche",IF($P58&gt;=Instellingen!$B$8,"Belofte - opvolgen",IF($P58&gt;=Instellingen!$B$9,"Zwak - twijfel","Vermijden"))))</f>
        <v/>
      </c>
      <c r="R58" s="5"/>
      <c r="T58" s="1" t="str">
        <f aca="false">IF($C58="","",IF($P58=_xlfn.MAXIFS($P$3:$P$1000,$B$3:$B$1000,$B58),"★ Cash cow – handmatig onderzoeken",""))</f>
        <v/>
      </c>
    </row>
    <row r="59" customFormat="false" ht="14.25" hidden="false" customHeight="true" outlineLevel="0" collapsed="false">
      <c r="A59" s="14"/>
      <c r="B59" s="15"/>
      <c r="C59" s="15"/>
      <c r="D59" s="15"/>
      <c r="E59" s="16"/>
      <c r="F59" s="17"/>
      <c r="G59" s="18"/>
      <c r="H59" s="17"/>
      <c r="I59" s="17"/>
      <c r="J59" s="16"/>
      <c r="K59" s="19" t="str">
        <f aca="false">IF(OR($J59="",$J59=0),"",$I59/$J59)</f>
        <v/>
      </c>
      <c r="L59" s="19" t="str">
        <f aca="false">IF(OR($E59="",$E59=0),"",$H59/$E59)</f>
        <v/>
      </c>
      <c r="M59" s="20" t="str">
        <f aca="false">IF(OR($L59="",$L59=0),"",($I59/30)/$L59)</f>
        <v/>
      </c>
      <c r="N59" s="18"/>
      <c r="O59" s="21" t="str">
        <f aca="false">IF(OR($I59="",$N59=""),"",($I59/1000)*$N59)</f>
        <v/>
      </c>
      <c r="P59" s="22" t="str">
        <f aca="false">IF($C59="","",IFERROR(ROUND(MIN(25,($N59/Instellingen!$B$3)*25)+MIN(25,($I59/Instellingen!$B$4)*25)+MIN(25,($J59/Instellingen!$B$5)*25)+MIN(25,(IF($M59="",0,$M59)/Instellingen!$B$6)*25),0),""))</f>
        <v/>
      </c>
      <c r="Q59" s="23" t="str">
        <f aca="false">IF($P59="","",IF($P59&gt;=Instellingen!$B$7,"Sterke niche",IF($P59&gt;=Instellingen!$B$8,"Belofte - opvolgen",IF($P59&gt;=Instellingen!$B$9,"Zwak - twijfel","Vermijden"))))</f>
        <v/>
      </c>
      <c r="R59" s="15"/>
      <c r="T59" s="1" t="str">
        <f aca="false">IF($C59="","",IF($P59=_xlfn.MAXIFS($P$3:$P$1000,$B$3:$B$1000,$B59),"★ Cash cow – handmatig onderzoeken",""))</f>
        <v/>
      </c>
    </row>
    <row r="60" customFormat="false" ht="14.25" hidden="false" customHeight="true" outlineLevel="0" collapsed="false">
      <c r="A60" s="4"/>
      <c r="B60" s="5"/>
      <c r="C60" s="5"/>
      <c r="D60" s="5"/>
      <c r="E60" s="6"/>
      <c r="F60" s="7"/>
      <c r="G60" s="8"/>
      <c r="H60" s="7"/>
      <c r="I60" s="7"/>
      <c r="J60" s="6"/>
      <c r="K60" s="9" t="str">
        <f aca="false">IF(OR($J60="",$J60=0),"",$I60/$J60)</f>
        <v/>
      </c>
      <c r="L60" s="9" t="str">
        <f aca="false">IF(OR($E60="",$E60=0),"",$H60/$E60)</f>
        <v/>
      </c>
      <c r="M60" s="10" t="str">
        <f aca="false">IF(OR($L60="",$L60=0),"",($I60/30)/$L60)</f>
        <v/>
      </c>
      <c r="N60" s="8"/>
      <c r="O60" s="11" t="str">
        <f aca="false">IF(OR($I60="",$N60=""),"",($I60/1000)*$N60)</f>
        <v/>
      </c>
      <c r="P60" s="12" t="str">
        <f aca="false">IF($C60="","",IFERROR(ROUND(MIN(25,($N60/Instellingen!$B$3)*25)+MIN(25,($I60/Instellingen!$B$4)*25)+MIN(25,($J60/Instellingen!$B$5)*25)+MIN(25,(IF($M60="",0,$M60)/Instellingen!$B$6)*25),0),""))</f>
        <v/>
      </c>
      <c r="Q60" s="13" t="str">
        <f aca="false">IF($P60="","",IF($P60&gt;=Instellingen!$B$7,"Sterke niche",IF($P60&gt;=Instellingen!$B$8,"Belofte - opvolgen",IF($P60&gt;=Instellingen!$B$9,"Zwak - twijfel","Vermijden"))))</f>
        <v/>
      </c>
      <c r="R60" s="5"/>
      <c r="T60" s="1" t="str">
        <f aca="false">IF($C60="","",IF($P60=_xlfn.MAXIFS($P$3:$P$1000,$B$3:$B$1000,$B60),"★ Cash cow – handmatig onderzoeken",""))</f>
        <v/>
      </c>
    </row>
    <row r="61" customFormat="false" ht="14.25" hidden="false" customHeight="true" outlineLevel="0" collapsed="false">
      <c r="A61" s="14"/>
      <c r="B61" s="15"/>
      <c r="C61" s="15"/>
      <c r="D61" s="15"/>
      <c r="E61" s="16"/>
      <c r="F61" s="17"/>
      <c r="G61" s="18"/>
      <c r="H61" s="17"/>
      <c r="I61" s="17"/>
      <c r="J61" s="16"/>
      <c r="K61" s="19" t="str">
        <f aca="false">IF(OR($J61="",$J61=0),"",$I61/$J61)</f>
        <v/>
      </c>
      <c r="L61" s="19" t="str">
        <f aca="false">IF(OR($E61="",$E61=0),"",$H61/$E61)</f>
        <v/>
      </c>
      <c r="M61" s="20" t="str">
        <f aca="false">IF(OR($L61="",$L61=0),"",($I61/30)/$L61)</f>
        <v/>
      </c>
      <c r="N61" s="18"/>
      <c r="O61" s="21" t="str">
        <f aca="false">IF(OR($I61="",$N61=""),"",($I61/1000)*$N61)</f>
        <v/>
      </c>
      <c r="P61" s="22" t="str">
        <f aca="false">IF($C61="","",IFERROR(ROUND(MIN(25,($N61/Instellingen!$B$3)*25)+MIN(25,($I61/Instellingen!$B$4)*25)+MIN(25,($J61/Instellingen!$B$5)*25)+MIN(25,(IF($M61="",0,$M61)/Instellingen!$B$6)*25),0),""))</f>
        <v/>
      </c>
      <c r="Q61" s="23" t="str">
        <f aca="false">IF($P61="","",IF($P61&gt;=Instellingen!$B$7,"Sterke niche",IF($P61&gt;=Instellingen!$B$8,"Belofte - opvolgen",IF($P61&gt;=Instellingen!$B$9,"Zwak - twijfel","Vermijden"))))</f>
        <v/>
      </c>
      <c r="R61" s="15"/>
      <c r="T61" s="1" t="str">
        <f aca="false">IF($C61="","",IF($P61=_xlfn.MAXIFS($P$3:$P$1000,$B$3:$B$1000,$B61),"★ Cash cow – handmatig onderzoeken",""))</f>
        <v/>
      </c>
    </row>
    <row r="62" customFormat="false" ht="14.25" hidden="false" customHeight="true" outlineLevel="0" collapsed="false">
      <c r="A62" s="4"/>
      <c r="B62" s="5"/>
      <c r="C62" s="5"/>
      <c r="D62" s="5"/>
      <c r="E62" s="6"/>
      <c r="F62" s="7"/>
      <c r="G62" s="8"/>
      <c r="H62" s="7"/>
      <c r="I62" s="7"/>
      <c r="J62" s="6"/>
      <c r="K62" s="9" t="str">
        <f aca="false">IF(OR($J62="",$J62=0),"",$I62/$J62)</f>
        <v/>
      </c>
      <c r="L62" s="9" t="str">
        <f aca="false">IF(OR($E62="",$E62=0),"",$H62/$E62)</f>
        <v/>
      </c>
      <c r="M62" s="10" t="str">
        <f aca="false">IF(OR($L62="",$L62=0),"",($I62/30)/$L62)</f>
        <v/>
      </c>
      <c r="N62" s="8"/>
      <c r="O62" s="11" t="str">
        <f aca="false">IF(OR($I62="",$N62=""),"",($I62/1000)*$N62)</f>
        <v/>
      </c>
      <c r="P62" s="12" t="str">
        <f aca="false">IF($C62="","",IFERROR(ROUND(MIN(25,($N62/Instellingen!$B$3)*25)+MIN(25,($I62/Instellingen!$B$4)*25)+MIN(25,($J62/Instellingen!$B$5)*25)+MIN(25,(IF($M62="",0,$M62)/Instellingen!$B$6)*25),0),""))</f>
        <v/>
      </c>
      <c r="Q62" s="13" t="str">
        <f aca="false">IF($P62="","",IF($P62&gt;=Instellingen!$B$7,"Sterke niche",IF($P62&gt;=Instellingen!$B$8,"Belofte - opvolgen",IF($P62&gt;=Instellingen!$B$9,"Zwak - twijfel","Vermijden"))))</f>
        <v/>
      </c>
      <c r="R62" s="5"/>
      <c r="T62" s="1" t="str">
        <f aca="false">IF($C62="","",IF($P62=_xlfn.MAXIFS($P$3:$P$1000,$B$3:$B$1000,$B62),"★ Cash cow – handmatig onderzoeken",""))</f>
        <v/>
      </c>
    </row>
    <row r="63" customFormat="false" ht="14.25" hidden="false" customHeight="true" outlineLevel="0" collapsed="false">
      <c r="A63" s="14"/>
      <c r="B63" s="15"/>
      <c r="C63" s="15"/>
      <c r="D63" s="15"/>
      <c r="E63" s="16"/>
      <c r="F63" s="17"/>
      <c r="G63" s="18"/>
      <c r="H63" s="17"/>
      <c r="I63" s="17"/>
      <c r="J63" s="16"/>
      <c r="K63" s="19" t="str">
        <f aca="false">IF(OR($J63="",$J63=0),"",$I63/$J63)</f>
        <v/>
      </c>
      <c r="L63" s="19" t="str">
        <f aca="false">IF(OR($E63="",$E63=0),"",$H63/$E63)</f>
        <v/>
      </c>
      <c r="M63" s="20" t="str">
        <f aca="false">IF(OR($L63="",$L63=0),"",($I63/30)/$L63)</f>
        <v/>
      </c>
      <c r="N63" s="18"/>
      <c r="O63" s="21" t="str">
        <f aca="false">IF(OR($I63="",$N63=""),"",($I63/1000)*$N63)</f>
        <v/>
      </c>
      <c r="P63" s="22" t="str">
        <f aca="false">IF($C63="","",IFERROR(ROUND(MIN(25,($N63/Instellingen!$B$3)*25)+MIN(25,($I63/Instellingen!$B$4)*25)+MIN(25,($J63/Instellingen!$B$5)*25)+MIN(25,(IF($M63="",0,$M63)/Instellingen!$B$6)*25),0),""))</f>
        <v/>
      </c>
      <c r="Q63" s="23" t="str">
        <f aca="false">IF($P63="","",IF($P63&gt;=Instellingen!$B$7,"Sterke niche",IF($P63&gt;=Instellingen!$B$8,"Belofte - opvolgen",IF($P63&gt;=Instellingen!$B$9,"Zwak - twijfel","Vermijden"))))</f>
        <v/>
      </c>
      <c r="R63" s="15"/>
      <c r="T63" s="1" t="str">
        <f aca="false">IF($C63="","",IF($P63=_xlfn.MAXIFS($P$3:$P$1000,$B$3:$B$1000,$B63),"★ Cash cow – handmatig onderzoeken",""))</f>
        <v/>
      </c>
    </row>
    <row r="64" customFormat="false" ht="14.25" hidden="false" customHeight="true" outlineLevel="0" collapsed="false">
      <c r="A64" s="4"/>
      <c r="B64" s="5"/>
      <c r="C64" s="5"/>
      <c r="D64" s="5"/>
      <c r="E64" s="6"/>
      <c r="F64" s="7"/>
      <c r="G64" s="8"/>
      <c r="H64" s="7"/>
      <c r="I64" s="7"/>
      <c r="J64" s="6"/>
      <c r="K64" s="9" t="str">
        <f aca="false">IF(OR($J64="",$J64=0),"",$I64/$J64)</f>
        <v/>
      </c>
      <c r="L64" s="9" t="str">
        <f aca="false">IF(OR($E64="",$E64=0),"",$H64/$E64)</f>
        <v/>
      </c>
      <c r="M64" s="10" t="str">
        <f aca="false">IF(OR($L64="",$L64=0),"",($I64/30)/$L64)</f>
        <v/>
      </c>
      <c r="N64" s="8"/>
      <c r="O64" s="11" t="str">
        <f aca="false">IF(OR($I64="",$N64=""),"",($I64/1000)*$N64)</f>
        <v/>
      </c>
      <c r="P64" s="12" t="str">
        <f aca="false">IF($C64="","",IFERROR(ROUND(MIN(25,($N64/Instellingen!$B$3)*25)+MIN(25,($I64/Instellingen!$B$4)*25)+MIN(25,($J64/Instellingen!$B$5)*25)+MIN(25,(IF($M64="",0,$M64)/Instellingen!$B$6)*25),0),""))</f>
        <v/>
      </c>
      <c r="Q64" s="13" t="str">
        <f aca="false">IF($P64="","",IF($P64&gt;=Instellingen!$B$7,"Sterke niche",IF($P64&gt;=Instellingen!$B$8,"Belofte - opvolgen",IF($P64&gt;=Instellingen!$B$9,"Zwak - twijfel","Vermijden"))))</f>
        <v/>
      </c>
      <c r="R64" s="5"/>
      <c r="T64" s="1" t="str">
        <f aca="false">IF($C64="","",IF($P64=_xlfn.MAXIFS($P$3:$P$1000,$B$3:$B$1000,$B64),"★ Cash cow – handmatig onderzoeken",""))</f>
        <v/>
      </c>
    </row>
    <row r="65" customFormat="false" ht="14.25" hidden="false" customHeight="true" outlineLevel="0" collapsed="false">
      <c r="A65" s="14"/>
      <c r="B65" s="15"/>
      <c r="C65" s="15"/>
      <c r="D65" s="15"/>
      <c r="E65" s="16"/>
      <c r="F65" s="17"/>
      <c r="G65" s="18"/>
      <c r="H65" s="17"/>
      <c r="I65" s="17"/>
      <c r="J65" s="16"/>
      <c r="K65" s="19" t="str">
        <f aca="false">IF(OR($J65="",$J65=0),"",$I65/$J65)</f>
        <v/>
      </c>
      <c r="L65" s="19" t="str">
        <f aca="false">IF(OR($E65="",$E65=0),"",$H65/$E65)</f>
        <v/>
      </c>
      <c r="M65" s="20" t="str">
        <f aca="false">IF(OR($L65="",$L65=0),"",($I65/30)/$L65)</f>
        <v/>
      </c>
      <c r="N65" s="18"/>
      <c r="O65" s="21" t="str">
        <f aca="false">IF(OR($I65="",$N65=""),"",($I65/1000)*$N65)</f>
        <v/>
      </c>
      <c r="P65" s="22" t="str">
        <f aca="false">IF($C65="","",IFERROR(ROUND(MIN(25,($N65/Instellingen!$B$3)*25)+MIN(25,($I65/Instellingen!$B$4)*25)+MIN(25,($J65/Instellingen!$B$5)*25)+MIN(25,(IF($M65="",0,$M65)/Instellingen!$B$6)*25),0),""))</f>
        <v/>
      </c>
      <c r="Q65" s="23" t="str">
        <f aca="false">IF($P65="","",IF($P65&gt;=Instellingen!$B$7,"Sterke niche",IF($P65&gt;=Instellingen!$B$8,"Belofte - opvolgen",IF($P65&gt;=Instellingen!$B$9,"Zwak - twijfel","Vermijden"))))</f>
        <v/>
      </c>
      <c r="R65" s="15"/>
      <c r="T65" s="1" t="str">
        <f aca="false">IF($C65="","",IF($P65=_xlfn.MAXIFS($P$3:$P$1000,$B$3:$B$1000,$B65),"★ Cash cow – handmatig onderzoeken",""))</f>
        <v/>
      </c>
    </row>
    <row r="66" customFormat="false" ht="14.25" hidden="false" customHeight="true" outlineLevel="0" collapsed="false">
      <c r="A66" s="4"/>
      <c r="B66" s="5"/>
      <c r="C66" s="5"/>
      <c r="D66" s="5"/>
      <c r="E66" s="6"/>
      <c r="F66" s="7"/>
      <c r="G66" s="8"/>
      <c r="H66" s="7"/>
      <c r="I66" s="7"/>
      <c r="J66" s="6"/>
      <c r="K66" s="9" t="str">
        <f aca="false">IF(OR($J66="",$J66=0),"",$I66/$J66)</f>
        <v/>
      </c>
      <c r="L66" s="9" t="str">
        <f aca="false">IF(OR($E66="",$E66=0),"",$H66/$E66)</f>
        <v/>
      </c>
      <c r="M66" s="10" t="str">
        <f aca="false">IF(OR($L66="",$L66=0),"",($I66/30)/$L66)</f>
        <v/>
      </c>
      <c r="N66" s="8"/>
      <c r="O66" s="11" t="str">
        <f aca="false">IF(OR($I66="",$N66=""),"",($I66/1000)*$N66)</f>
        <v/>
      </c>
      <c r="P66" s="12" t="str">
        <f aca="false">IF($C66="","",IFERROR(ROUND(MIN(25,($N66/Instellingen!$B$3)*25)+MIN(25,($I66/Instellingen!$B$4)*25)+MIN(25,($J66/Instellingen!$B$5)*25)+MIN(25,(IF($M66="",0,$M66)/Instellingen!$B$6)*25),0),""))</f>
        <v/>
      </c>
      <c r="Q66" s="13" t="str">
        <f aca="false">IF($P66="","",IF($P66&gt;=Instellingen!$B$7,"Sterke niche",IF($P66&gt;=Instellingen!$B$8,"Belofte - opvolgen",IF($P66&gt;=Instellingen!$B$9,"Zwak - twijfel","Vermijden"))))</f>
        <v/>
      </c>
      <c r="R66" s="5"/>
      <c r="T66" s="1" t="str">
        <f aca="false">IF($C66="","",IF($P66=_xlfn.MAXIFS($P$3:$P$1000,$B$3:$B$1000,$B66),"★ Cash cow – handmatig onderzoeken",""))</f>
        <v/>
      </c>
    </row>
    <row r="67" customFormat="false" ht="14.25" hidden="false" customHeight="true" outlineLevel="0" collapsed="false">
      <c r="A67" s="14"/>
      <c r="B67" s="15"/>
      <c r="C67" s="15"/>
      <c r="D67" s="15"/>
      <c r="E67" s="16"/>
      <c r="F67" s="17"/>
      <c r="G67" s="18"/>
      <c r="H67" s="17"/>
      <c r="I67" s="17"/>
      <c r="J67" s="16"/>
      <c r="K67" s="19" t="str">
        <f aca="false">IF(OR($J67="",$J67=0),"",$I67/$J67)</f>
        <v/>
      </c>
      <c r="L67" s="19" t="str">
        <f aca="false">IF(OR($E67="",$E67=0),"",$H67/$E67)</f>
        <v/>
      </c>
      <c r="M67" s="20" t="str">
        <f aca="false">IF(OR($L67="",$L67=0),"",($I67/30)/$L67)</f>
        <v/>
      </c>
      <c r="N67" s="18"/>
      <c r="O67" s="21" t="str">
        <f aca="false">IF(OR($I67="",$N67=""),"",($I67/1000)*$N67)</f>
        <v/>
      </c>
      <c r="P67" s="22" t="str">
        <f aca="false">IF($C67="","",IFERROR(ROUND(MIN(25,($N67/Instellingen!$B$3)*25)+MIN(25,($I67/Instellingen!$B$4)*25)+MIN(25,($J67/Instellingen!$B$5)*25)+MIN(25,(IF($M67="",0,$M67)/Instellingen!$B$6)*25),0),""))</f>
        <v/>
      </c>
      <c r="Q67" s="23" t="str">
        <f aca="false">IF($P67="","",IF($P67&gt;=Instellingen!$B$7,"Sterke niche",IF($P67&gt;=Instellingen!$B$8,"Belofte - opvolgen",IF($P67&gt;=Instellingen!$B$9,"Zwak - twijfel","Vermijden"))))</f>
        <v/>
      </c>
      <c r="R67" s="15"/>
      <c r="T67" s="1" t="str">
        <f aca="false">IF($C67="","",IF($P67=_xlfn.MAXIFS($P$3:$P$1000,$B$3:$B$1000,$B67),"★ Cash cow – handmatig onderzoeken",""))</f>
        <v/>
      </c>
    </row>
    <row r="68" customFormat="false" ht="14.25" hidden="false" customHeight="true" outlineLevel="0" collapsed="false">
      <c r="A68" s="4"/>
      <c r="B68" s="5"/>
      <c r="C68" s="5"/>
      <c r="D68" s="5"/>
      <c r="E68" s="6"/>
      <c r="F68" s="7"/>
      <c r="G68" s="8"/>
      <c r="H68" s="7"/>
      <c r="I68" s="7"/>
      <c r="J68" s="6"/>
      <c r="K68" s="9" t="str">
        <f aca="false">IF(OR($J68="",$J68=0),"",$I68/$J68)</f>
        <v/>
      </c>
      <c r="L68" s="9" t="str">
        <f aca="false">IF(OR($E68="",$E68=0),"",$H68/$E68)</f>
        <v/>
      </c>
      <c r="M68" s="10" t="str">
        <f aca="false">IF(OR($L68="",$L68=0),"",($I68/30)/$L68)</f>
        <v/>
      </c>
      <c r="N68" s="8"/>
      <c r="O68" s="11" t="str">
        <f aca="false">IF(OR($I68="",$N68=""),"",($I68/1000)*$N68)</f>
        <v/>
      </c>
      <c r="P68" s="12" t="str">
        <f aca="false">IF($C68="","",IFERROR(ROUND(MIN(25,($N68/Instellingen!$B$3)*25)+MIN(25,($I68/Instellingen!$B$4)*25)+MIN(25,($J68/Instellingen!$B$5)*25)+MIN(25,(IF($M68="",0,$M68)/Instellingen!$B$6)*25),0),""))</f>
        <v/>
      </c>
      <c r="Q68" s="13" t="str">
        <f aca="false">IF($P68="","",IF($P68&gt;=Instellingen!$B$7,"Sterke niche",IF($P68&gt;=Instellingen!$B$8,"Belofte - opvolgen",IF($P68&gt;=Instellingen!$B$9,"Zwak - twijfel","Vermijden"))))</f>
        <v/>
      </c>
      <c r="R68" s="5"/>
      <c r="T68" s="1" t="str">
        <f aca="false">IF($C68="","",IF($P68=_xlfn.MAXIFS($P$3:$P$1000,$B$3:$B$1000,$B68),"★ Cash cow – handmatig onderzoeken",""))</f>
        <v/>
      </c>
    </row>
    <row r="69" customFormat="false" ht="14.25" hidden="false" customHeight="true" outlineLevel="0" collapsed="false">
      <c r="A69" s="14"/>
      <c r="B69" s="15"/>
      <c r="C69" s="15"/>
      <c r="D69" s="15"/>
      <c r="E69" s="16"/>
      <c r="F69" s="17"/>
      <c r="G69" s="18"/>
      <c r="H69" s="17"/>
      <c r="I69" s="17"/>
      <c r="J69" s="16"/>
      <c r="K69" s="19" t="str">
        <f aca="false">IF(OR($J69="",$J69=0),"",$I69/$J69)</f>
        <v/>
      </c>
      <c r="L69" s="19" t="str">
        <f aca="false">IF(OR($E69="",$E69=0),"",$H69/$E69)</f>
        <v/>
      </c>
      <c r="M69" s="20" t="str">
        <f aca="false">IF(OR($L69="",$L69=0),"",($I69/30)/$L69)</f>
        <v/>
      </c>
      <c r="N69" s="18"/>
      <c r="O69" s="21" t="str">
        <f aca="false">IF(OR($I69="",$N69=""),"",($I69/1000)*$N69)</f>
        <v/>
      </c>
      <c r="P69" s="22" t="str">
        <f aca="false">IF($C69="","",IFERROR(ROUND(MIN(25,($N69/Instellingen!$B$3)*25)+MIN(25,($I69/Instellingen!$B$4)*25)+MIN(25,($J69/Instellingen!$B$5)*25)+MIN(25,(IF($M69="",0,$M69)/Instellingen!$B$6)*25),0),""))</f>
        <v/>
      </c>
      <c r="Q69" s="23" t="str">
        <f aca="false">IF($P69="","",IF($P69&gt;=Instellingen!$B$7,"Sterke niche",IF($P69&gt;=Instellingen!$B$8,"Belofte - opvolgen",IF($P69&gt;=Instellingen!$B$9,"Zwak - twijfel","Vermijden"))))</f>
        <v/>
      </c>
      <c r="R69" s="15"/>
      <c r="T69" s="1" t="str">
        <f aca="false">IF($C69="","",IF($P69=_xlfn.MAXIFS($P$3:$P$1000,$B$3:$B$1000,$B69),"★ Cash cow – handmatig onderzoeken",""))</f>
        <v/>
      </c>
    </row>
    <row r="70" customFormat="false" ht="14.25" hidden="false" customHeight="true" outlineLevel="0" collapsed="false">
      <c r="A70" s="4"/>
      <c r="B70" s="5"/>
      <c r="C70" s="5"/>
      <c r="D70" s="5"/>
      <c r="E70" s="6"/>
      <c r="F70" s="7"/>
      <c r="G70" s="8"/>
      <c r="H70" s="7"/>
      <c r="I70" s="7"/>
      <c r="J70" s="6"/>
      <c r="K70" s="9" t="str">
        <f aca="false">IF(OR($J70="",$J70=0),"",$I70/$J70)</f>
        <v/>
      </c>
      <c r="L70" s="9" t="str">
        <f aca="false">IF(OR($E70="",$E70=0),"",$H70/$E70)</f>
        <v/>
      </c>
      <c r="M70" s="10" t="str">
        <f aca="false">IF(OR($L70="",$L70=0),"",($I70/30)/$L70)</f>
        <v/>
      </c>
      <c r="N70" s="8"/>
      <c r="O70" s="11" t="str">
        <f aca="false">IF(OR($I70="",$N70=""),"",($I70/1000)*$N70)</f>
        <v/>
      </c>
      <c r="P70" s="12" t="str">
        <f aca="false">IF($C70="","",IFERROR(ROUND(MIN(25,($N70/Instellingen!$B$3)*25)+MIN(25,($I70/Instellingen!$B$4)*25)+MIN(25,($J70/Instellingen!$B$5)*25)+MIN(25,(IF($M70="",0,$M70)/Instellingen!$B$6)*25),0),""))</f>
        <v/>
      </c>
      <c r="Q70" s="13" t="str">
        <f aca="false">IF($P70="","",IF($P70&gt;=Instellingen!$B$7,"Sterke niche",IF($P70&gt;=Instellingen!$B$8,"Belofte - opvolgen",IF($P70&gt;=Instellingen!$B$9,"Zwak - twijfel","Vermijden"))))</f>
        <v/>
      </c>
      <c r="R70" s="5"/>
      <c r="T70" s="1" t="str">
        <f aca="false">IF($C70="","",IF($P70=_xlfn.MAXIFS($P$3:$P$1000,$B$3:$B$1000,$B70),"★ Cash cow – handmatig onderzoeken",""))</f>
        <v/>
      </c>
    </row>
    <row r="71" customFormat="false" ht="14.25" hidden="false" customHeight="true" outlineLevel="0" collapsed="false">
      <c r="A71" s="14"/>
      <c r="B71" s="15"/>
      <c r="C71" s="15"/>
      <c r="D71" s="15"/>
      <c r="E71" s="16"/>
      <c r="F71" s="17"/>
      <c r="G71" s="18"/>
      <c r="H71" s="17"/>
      <c r="I71" s="17"/>
      <c r="J71" s="16"/>
      <c r="K71" s="19" t="str">
        <f aca="false">IF(OR($J71="",$J71=0),"",$I71/$J71)</f>
        <v/>
      </c>
      <c r="L71" s="19" t="str">
        <f aca="false">IF(OR($E71="",$E71=0),"",$H71/$E71)</f>
        <v/>
      </c>
      <c r="M71" s="20" t="str">
        <f aca="false">IF(OR($L71="",$L71=0),"",($I71/30)/$L71)</f>
        <v/>
      </c>
      <c r="N71" s="18"/>
      <c r="O71" s="21" t="str">
        <f aca="false">IF(OR($I71="",$N71=""),"",($I71/1000)*$N71)</f>
        <v/>
      </c>
      <c r="P71" s="22" t="str">
        <f aca="false">IF($C71="","",IFERROR(ROUND(MIN(25,($N71/Instellingen!$B$3)*25)+MIN(25,($I71/Instellingen!$B$4)*25)+MIN(25,($J71/Instellingen!$B$5)*25)+MIN(25,(IF($M71="",0,$M71)/Instellingen!$B$6)*25),0),""))</f>
        <v/>
      </c>
      <c r="Q71" s="23" t="str">
        <f aca="false">IF($P71="","",IF($P71&gt;=Instellingen!$B$7,"Sterke niche",IF($P71&gt;=Instellingen!$B$8,"Belofte - opvolgen",IF($P71&gt;=Instellingen!$B$9,"Zwak - twijfel","Vermijden"))))</f>
        <v/>
      </c>
      <c r="R71" s="15"/>
      <c r="T71" s="1" t="str">
        <f aca="false">IF($C71="","",IF($P71=_xlfn.MAXIFS($P$3:$P$1000,$B$3:$B$1000,$B71),"★ Cash cow – handmatig onderzoeken",""))</f>
        <v/>
      </c>
    </row>
    <row r="72" customFormat="false" ht="14.25" hidden="false" customHeight="true" outlineLevel="0" collapsed="false">
      <c r="A72" s="4"/>
      <c r="B72" s="5"/>
      <c r="C72" s="5"/>
      <c r="D72" s="5"/>
      <c r="E72" s="6"/>
      <c r="F72" s="7"/>
      <c r="G72" s="8"/>
      <c r="H72" s="7"/>
      <c r="I72" s="7"/>
      <c r="J72" s="6"/>
      <c r="K72" s="9" t="str">
        <f aca="false">IF(OR($J72="",$J72=0),"",$I72/$J72)</f>
        <v/>
      </c>
      <c r="L72" s="9" t="str">
        <f aca="false">IF(OR($E72="",$E72=0),"",$H72/$E72)</f>
        <v/>
      </c>
      <c r="M72" s="10" t="str">
        <f aca="false">IF(OR($L72="",$L72=0),"",($I72/30)/$L72)</f>
        <v/>
      </c>
      <c r="N72" s="8"/>
      <c r="O72" s="11" t="str">
        <f aca="false">IF(OR($I72="",$N72=""),"",($I72/1000)*$N72)</f>
        <v/>
      </c>
      <c r="P72" s="12" t="str">
        <f aca="false">IF($C72="","",IFERROR(ROUND(MIN(25,($N72/Instellingen!$B$3)*25)+MIN(25,($I72/Instellingen!$B$4)*25)+MIN(25,($J72/Instellingen!$B$5)*25)+MIN(25,(IF($M72="",0,$M72)/Instellingen!$B$6)*25),0),""))</f>
        <v/>
      </c>
      <c r="Q72" s="13" t="str">
        <f aca="false">IF($P72="","",IF($P72&gt;=Instellingen!$B$7,"Sterke niche",IF($P72&gt;=Instellingen!$B$8,"Belofte - opvolgen",IF($P72&gt;=Instellingen!$B$9,"Zwak - twijfel","Vermijden"))))</f>
        <v/>
      </c>
      <c r="R72" s="5"/>
      <c r="T72" s="1" t="str">
        <f aca="false">IF($C72="","",IF($P72=_xlfn.MAXIFS($P$3:$P$1000,$B$3:$B$1000,$B72),"★ Cash cow – handmatig onderzoeken",""))</f>
        <v/>
      </c>
    </row>
    <row r="73" customFormat="false" ht="14.25" hidden="false" customHeight="true" outlineLevel="0" collapsed="false">
      <c r="A73" s="14"/>
      <c r="B73" s="15"/>
      <c r="C73" s="15"/>
      <c r="D73" s="15"/>
      <c r="E73" s="16"/>
      <c r="F73" s="17"/>
      <c r="G73" s="18"/>
      <c r="H73" s="17"/>
      <c r="I73" s="17"/>
      <c r="J73" s="16"/>
      <c r="K73" s="19" t="str">
        <f aca="false">IF(OR($J73="",$J73=0),"",$I73/$J73)</f>
        <v/>
      </c>
      <c r="L73" s="19" t="str">
        <f aca="false">IF(OR($E73="",$E73=0),"",$H73/$E73)</f>
        <v/>
      </c>
      <c r="M73" s="20" t="str">
        <f aca="false">IF(OR($L73="",$L73=0),"",($I73/30)/$L73)</f>
        <v/>
      </c>
      <c r="N73" s="18"/>
      <c r="O73" s="21" t="str">
        <f aca="false">IF(OR($I73="",$N73=""),"",($I73/1000)*$N73)</f>
        <v/>
      </c>
      <c r="P73" s="22" t="str">
        <f aca="false">IF($C73="","",IFERROR(ROUND(MIN(25,($N73/Instellingen!$B$3)*25)+MIN(25,($I73/Instellingen!$B$4)*25)+MIN(25,($J73/Instellingen!$B$5)*25)+MIN(25,(IF($M73="",0,$M73)/Instellingen!$B$6)*25),0),""))</f>
        <v/>
      </c>
      <c r="Q73" s="23" t="str">
        <f aca="false">IF($P73="","",IF($P73&gt;=Instellingen!$B$7,"Sterke niche",IF($P73&gt;=Instellingen!$B$8,"Belofte - opvolgen",IF($P73&gt;=Instellingen!$B$9,"Zwak - twijfel","Vermijden"))))</f>
        <v/>
      </c>
      <c r="R73" s="15"/>
      <c r="T73" s="1" t="str">
        <f aca="false">IF($C73="","",IF($P73=_xlfn.MAXIFS($P$3:$P$1000,$B$3:$B$1000,$B73),"★ Cash cow – handmatig onderzoeken",""))</f>
        <v/>
      </c>
    </row>
    <row r="74" customFormat="false" ht="14.25" hidden="false" customHeight="true" outlineLevel="0" collapsed="false">
      <c r="A74" s="4"/>
      <c r="B74" s="5"/>
      <c r="C74" s="5"/>
      <c r="D74" s="5"/>
      <c r="E74" s="6"/>
      <c r="F74" s="7"/>
      <c r="G74" s="8"/>
      <c r="H74" s="7"/>
      <c r="I74" s="7"/>
      <c r="J74" s="6"/>
      <c r="K74" s="9" t="str">
        <f aca="false">IF(OR($J74="",$J74=0),"",$I74/$J74)</f>
        <v/>
      </c>
      <c r="L74" s="9" t="str">
        <f aca="false">IF(OR($E74="",$E74=0),"",$H74/$E74)</f>
        <v/>
      </c>
      <c r="M74" s="10" t="str">
        <f aca="false">IF(OR($L74="",$L74=0),"",($I74/30)/$L74)</f>
        <v/>
      </c>
      <c r="N74" s="8"/>
      <c r="O74" s="11" t="str">
        <f aca="false">IF(OR($I74="",$N74=""),"",($I74/1000)*$N74)</f>
        <v/>
      </c>
      <c r="P74" s="12" t="str">
        <f aca="false">IF($C74="","",IFERROR(ROUND(MIN(25,($N74/Instellingen!$B$3)*25)+MIN(25,($I74/Instellingen!$B$4)*25)+MIN(25,($J74/Instellingen!$B$5)*25)+MIN(25,(IF($M74="",0,$M74)/Instellingen!$B$6)*25),0),""))</f>
        <v/>
      </c>
      <c r="Q74" s="13" t="str">
        <f aca="false">IF($P74="","",IF($P74&gt;=Instellingen!$B$7,"Sterke niche",IF($P74&gt;=Instellingen!$B$8,"Belofte - opvolgen",IF($P74&gt;=Instellingen!$B$9,"Zwak - twijfel","Vermijden"))))</f>
        <v/>
      </c>
      <c r="R74" s="5"/>
      <c r="T74" s="1" t="str">
        <f aca="false">IF($C74="","",IF($P74=_xlfn.MAXIFS($P$3:$P$1000,$B$3:$B$1000,$B74),"★ Cash cow – handmatig onderzoeken",""))</f>
        <v/>
      </c>
    </row>
    <row r="75" customFormat="false" ht="14.25" hidden="false" customHeight="true" outlineLevel="0" collapsed="false">
      <c r="A75" s="14"/>
      <c r="B75" s="15"/>
      <c r="C75" s="15"/>
      <c r="D75" s="15"/>
      <c r="E75" s="16"/>
      <c r="F75" s="17"/>
      <c r="G75" s="18"/>
      <c r="H75" s="17"/>
      <c r="I75" s="17"/>
      <c r="J75" s="16"/>
      <c r="K75" s="19" t="str">
        <f aca="false">IF(OR($J75="",$J75=0),"",$I75/$J75)</f>
        <v/>
      </c>
      <c r="L75" s="19" t="str">
        <f aca="false">IF(OR($E75="",$E75=0),"",$H75/$E75)</f>
        <v/>
      </c>
      <c r="M75" s="20" t="str">
        <f aca="false">IF(OR($L75="",$L75=0),"",($I75/30)/$L75)</f>
        <v/>
      </c>
      <c r="N75" s="18"/>
      <c r="O75" s="21" t="str">
        <f aca="false">IF(OR($I75="",$N75=""),"",($I75/1000)*$N75)</f>
        <v/>
      </c>
      <c r="P75" s="22" t="str">
        <f aca="false">IF($C75="","",IFERROR(ROUND(MIN(25,($N75/Instellingen!$B$3)*25)+MIN(25,($I75/Instellingen!$B$4)*25)+MIN(25,($J75/Instellingen!$B$5)*25)+MIN(25,(IF($M75="",0,$M75)/Instellingen!$B$6)*25),0),""))</f>
        <v/>
      </c>
      <c r="Q75" s="23" t="str">
        <f aca="false">IF($P75="","",IF($P75&gt;=Instellingen!$B$7,"Sterke niche",IF($P75&gt;=Instellingen!$B$8,"Belofte - opvolgen",IF($P75&gt;=Instellingen!$B$9,"Zwak - twijfel","Vermijden"))))</f>
        <v/>
      </c>
      <c r="R75" s="15"/>
      <c r="T75" s="1" t="str">
        <f aca="false">IF($C75="","",IF($P75=_xlfn.MAXIFS($P$3:$P$1000,$B$3:$B$1000,$B75),"★ Cash cow – handmatig onderzoeken",""))</f>
        <v/>
      </c>
    </row>
    <row r="76" customFormat="false" ht="14.25" hidden="false" customHeight="true" outlineLevel="0" collapsed="false">
      <c r="A76" s="4"/>
      <c r="B76" s="5"/>
      <c r="C76" s="5"/>
      <c r="D76" s="5"/>
      <c r="E76" s="6"/>
      <c r="F76" s="7"/>
      <c r="G76" s="8"/>
      <c r="H76" s="7"/>
      <c r="I76" s="7"/>
      <c r="J76" s="6"/>
      <c r="K76" s="9" t="str">
        <f aca="false">IF(OR($J76="",$J76=0),"",$I76/$J76)</f>
        <v/>
      </c>
      <c r="L76" s="9" t="str">
        <f aca="false">IF(OR($E76="",$E76=0),"",$H76/$E76)</f>
        <v/>
      </c>
      <c r="M76" s="10" t="str">
        <f aca="false">IF(OR($L76="",$L76=0),"",($I76/30)/$L76)</f>
        <v/>
      </c>
      <c r="N76" s="8"/>
      <c r="O76" s="11" t="str">
        <f aca="false">IF(OR($I76="",$N76=""),"",($I76/1000)*$N76)</f>
        <v/>
      </c>
      <c r="P76" s="12" t="str">
        <f aca="false">IF($C76="","",IFERROR(ROUND(MIN(25,($N76/Instellingen!$B$3)*25)+MIN(25,($I76/Instellingen!$B$4)*25)+MIN(25,($J76/Instellingen!$B$5)*25)+MIN(25,(IF($M76="",0,$M76)/Instellingen!$B$6)*25),0),""))</f>
        <v/>
      </c>
      <c r="Q76" s="13" t="str">
        <f aca="false">IF($P76="","",IF($P76&gt;=Instellingen!$B$7,"Sterke niche",IF($P76&gt;=Instellingen!$B$8,"Belofte - opvolgen",IF($P76&gt;=Instellingen!$B$9,"Zwak - twijfel","Vermijden"))))</f>
        <v/>
      </c>
      <c r="R76" s="5"/>
      <c r="T76" s="1" t="str">
        <f aca="false">IF($C76="","",IF($P76=_xlfn.MAXIFS($P$3:$P$1000,$B$3:$B$1000,$B76),"★ Cash cow – handmatig onderzoeken",""))</f>
        <v/>
      </c>
    </row>
    <row r="77" customFormat="false" ht="14.25" hidden="false" customHeight="true" outlineLevel="0" collapsed="false">
      <c r="A77" s="14"/>
      <c r="B77" s="15"/>
      <c r="C77" s="15"/>
      <c r="D77" s="15"/>
      <c r="E77" s="16"/>
      <c r="F77" s="17"/>
      <c r="G77" s="18"/>
      <c r="H77" s="17"/>
      <c r="I77" s="17"/>
      <c r="J77" s="16"/>
      <c r="K77" s="19" t="str">
        <f aca="false">IF(OR($J77="",$J77=0),"",$I77/$J77)</f>
        <v/>
      </c>
      <c r="L77" s="19" t="str">
        <f aca="false">IF(OR($E77="",$E77=0),"",$H77/$E77)</f>
        <v/>
      </c>
      <c r="M77" s="20" t="str">
        <f aca="false">IF(OR($L77="",$L77=0),"",($I77/30)/$L77)</f>
        <v/>
      </c>
      <c r="N77" s="18"/>
      <c r="O77" s="21" t="str">
        <f aca="false">IF(OR($I77="",$N77=""),"",($I77/1000)*$N77)</f>
        <v/>
      </c>
      <c r="P77" s="22" t="str">
        <f aca="false">IF($C77="","",IFERROR(ROUND(MIN(25,($N77/Instellingen!$B$3)*25)+MIN(25,($I77/Instellingen!$B$4)*25)+MIN(25,($J77/Instellingen!$B$5)*25)+MIN(25,(IF($M77="",0,$M77)/Instellingen!$B$6)*25),0),""))</f>
        <v/>
      </c>
      <c r="Q77" s="23" t="str">
        <f aca="false">IF($P77="","",IF($P77&gt;=Instellingen!$B$7,"Sterke niche",IF($P77&gt;=Instellingen!$B$8,"Belofte - opvolgen",IF($P77&gt;=Instellingen!$B$9,"Zwak - twijfel","Vermijden"))))</f>
        <v/>
      </c>
      <c r="R77" s="15"/>
      <c r="T77" s="1" t="str">
        <f aca="false">IF($C77="","",IF($P77=_xlfn.MAXIFS($P$3:$P$1000,$B$3:$B$1000,$B77),"★ Cash cow – handmatig onderzoeken",""))</f>
        <v/>
      </c>
    </row>
    <row r="78" customFormat="false" ht="14.25" hidden="false" customHeight="true" outlineLevel="0" collapsed="false">
      <c r="A78" s="4"/>
      <c r="B78" s="5"/>
      <c r="C78" s="5"/>
      <c r="D78" s="5"/>
      <c r="E78" s="6"/>
      <c r="F78" s="7"/>
      <c r="G78" s="8"/>
      <c r="H78" s="7"/>
      <c r="I78" s="7"/>
      <c r="J78" s="6"/>
      <c r="K78" s="9" t="str">
        <f aca="false">IF(OR($J78="",$J78=0),"",$I78/$J78)</f>
        <v/>
      </c>
      <c r="L78" s="9" t="str">
        <f aca="false">IF(OR($E78="",$E78=0),"",$H78/$E78)</f>
        <v/>
      </c>
      <c r="M78" s="10" t="str">
        <f aca="false">IF(OR($L78="",$L78=0),"",($I78/30)/$L78)</f>
        <v/>
      </c>
      <c r="N78" s="8"/>
      <c r="O78" s="11" t="str">
        <f aca="false">IF(OR($I78="",$N78=""),"",($I78/1000)*$N78)</f>
        <v/>
      </c>
      <c r="P78" s="12" t="str">
        <f aca="false">IF($C78="","",IFERROR(ROUND(MIN(25,($N78/Instellingen!$B$3)*25)+MIN(25,($I78/Instellingen!$B$4)*25)+MIN(25,($J78/Instellingen!$B$5)*25)+MIN(25,(IF($M78="",0,$M78)/Instellingen!$B$6)*25),0),""))</f>
        <v/>
      </c>
      <c r="Q78" s="13" t="str">
        <f aca="false">IF($P78="","",IF($P78&gt;=Instellingen!$B$7,"Sterke niche",IF($P78&gt;=Instellingen!$B$8,"Belofte - opvolgen",IF($P78&gt;=Instellingen!$B$9,"Zwak - twijfel","Vermijden"))))</f>
        <v/>
      </c>
      <c r="R78" s="5"/>
      <c r="T78" s="1" t="str">
        <f aca="false">IF($C78="","",IF($P78=_xlfn.MAXIFS($P$3:$P$1000,$B$3:$B$1000,$B78),"★ Cash cow – handmatig onderzoeken",""))</f>
        <v/>
      </c>
    </row>
    <row r="79" customFormat="false" ht="14.25" hidden="false" customHeight="true" outlineLevel="0" collapsed="false">
      <c r="A79" s="14"/>
      <c r="B79" s="15"/>
      <c r="C79" s="15"/>
      <c r="D79" s="15"/>
      <c r="E79" s="16"/>
      <c r="F79" s="17"/>
      <c r="G79" s="18"/>
      <c r="H79" s="17"/>
      <c r="I79" s="17"/>
      <c r="J79" s="16"/>
      <c r="K79" s="19" t="str">
        <f aca="false">IF(OR($J79="",$J79=0),"",$I79/$J79)</f>
        <v/>
      </c>
      <c r="L79" s="19" t="str">
        <f aca="false">IF(OR($E79="",$E79=0),"",$H79/$E79)</f>
        <v/>
      </c>
      <c r="M79" s="20" t="str">
        <f aca="false">IF(OR($L79="",$L79=0),"",($I79/30)/$L79)</f>
        <v/>
      </c>
      <c r="N79" s="18"/>
      <c r="O79" s="21" t="str">
        <f aca="false">IF(OR($I79="",$N79=""),"",($I79/1000)*$N79)</f>
        <v/>
      </c>
      <c r="P79" s="22" t="str">
        <f aca="false">IF($C79="","",IFERROR(ROUND(MIN(25,($N79/Instellingen!$B$3)*25)+MIN(25,($I79/Instellingen!$B$4)*25)+MIN(25,($J79/Instellingen!$B$5)*25)+MIN(25,(IF($M79="",0,$M79)/Instellingen!$B$6)*25),0),""))</f>
        <v/>
      </c>
      <c r="Q79" s="23" t="str">
        <f aca="false">IF($P79="","",IF($P79&gt;=Instellingen!$B$7,"Sterke niche",IF($P79&gt;=Instellingen!$B$8,"Belofte - opvolgen",IF($P79&gt;=Instellingen!$B$9,"Zwak - twijfel","Vermijden"))))</f>
        <v/>
      </c>
      <c r="R79" s="15"/>
      <c r="T79" s="1" t="str">
        <f aca="false">IF($C79="","",IF($P79=_xlfn.MAXIFS($P$3:$P$1000,$B$3:$B$1000,$B79),"★ Cash cow – handmatig onderzoeken",""))</f>
        <v/>
      </c>
    </row>
    <row r="80" customFormat="false" ht="14.25" hidden="false" customHeight="true" outlineLevel="0" collapsed="false">
      <c r="A80" s="4"/>
      <c r="B80" s="5"/>
      <c r="C80" s="5"/>
      <c r="D80" s="5"/>
      <c r="E80" s="6"/>
      <c r="F80" s="7"/>
      <c r="G80" s="8"/>
      <c r="H80" s="7"/>
      <c r="I80" s="7"/>
      <c r="J80" s="6"/>
      <c r="K80" s="9" t="str">
        <f aca="false">IF(OR($J80="",$J80=0),"",$I80/$J80)</f>
        <v/>
      </c>
      <c r="L80" s="9" t="str">
        <f aca="false">IF(OR($E80="",$E80=0),"",$H80/$E80)</f>
        <v/>
      </c>
      <c r="M80" s="10" t="str">
        <f aca="false">IF(OR($L80="",$L80=0),"",($I80/30)/$L80)</f>
        <v/>
      </c>
      <c r="N80" s="8"/>
      <c r="O80" s="11" t="str">
        <f aca="false">IF(OR($I80="",$N80=""),"",($I80/1000)*$N80)</f>
        <v/>
      </c>
      <c r="P80" s="12" t="str">
        <f aca="false">IF($C80="","",IFERROR(ROUND(MIN(25,($N80/Instellingen!$B$3)*25)+MIN(25,($I80/Instellingen!$B$4)*25)+MIN(25,($J80/Instellingen!$B$5)*25)+MIN(25,(IF($M80="",0,$M80)/Instellingen!$B$6)*25),0),""))</f>
        <v/>
      </c>
      <c r="Q80" s="13" t="str">
        <f aca="false">IF($P80="","",IF($P80&gt;=Instellingen!$B$7,"Sterke niche",IF($P80&gt;=Instellingen!$B$8,"Belofte - opvolgen",IF($P80&gt;=Instellingen!$B$9,"Zwak - twijfel","Vermijden"))))</f>
        <v/>
      </c>
      <c r="R80" s="5"/>
      <c r="T80" s="1" t="str">
        <f aca="false">IF($C80="","",IF($P80=_xlfn.MAXIFS($P$3:$P$1000,$B$3:$B$1000,$B80),"★ Cash cow – handmatig onderzoeken",""))</f>
        <v/>
      </c>
    </row>
    <row r="81" customFormat="false" ht="14.25" hidden="false" customHeight="true" outlineLevel="0" collapsed="false">
      <c r="A81" s="4"/>
      <c r="B81" s="5"/>
      <c r="C81" s="5"/>
      <c r="D81" s="5"/>
      <c r="E81" s="6"/>
      <c r="F81" s="7"/>
      <c r="G81" s="8"/>
      <c r="H81" s="7"/>
      <c r="I81" s="7"/>
      <c r="J81" s="6"/>
      <c r="K81" s="9" t="str">
        <f aca="false">IF(OR($J81="",$J81=0),"",$I81/$J81)</f>
        <v/>
      </c>
      <c r="L81" s="9" t="str">
        <f aca="false">IF(OR($E81="",$E81=0),"",$H81/$E81)</f>
        <v/>
      </c>
      <c r="M81" s="10" t="str">
        <f aca="false">IF(OR($L81="",$L81=0),"",($I81/30)/$L81)</f>
        <v/>
      </c>
      <c r="N81" s="8"/>
      <c r="O81" s="11" t="str">
        <f aca="false">IF(OR($I81="",$N81=""),"",($I81/1000)*$N81)</f>
        <v/>
      </c>
      <c r="P81" s="12" t="str">
        <f aca="false">IF($C81="","",IFERROR(ROUND(MIN(25,($N81/Instellingen!$B$3)*25)+MIN(25,($I81/Instellingen!$B$4)*25)+MIN(25,($J81/Instellingen!$B$5)*25)+MIN(25,(IF($M81="",0,$M81)/Instellingen!$B$6)*25),0),""))</f>
        <v/>
      </c>
      <c r="Q81" s="13" t="str">
        <f aca="false">IF($P81="","",IF($P81&gt;=Instellingen!$B$7,"Sterke niche",IF($P81&gt;=Instellingen!$B$8,"Belofte - opvolgen",IF($P81&gt;=Instellingen!$B$9,"Zwak - twijfel","Vermijden"))))</f>
        <v/>
      </c>
      <c r="R81" s="5"/>
      <c r="T81" s="1" t="str">
        <f aca="false">IF($C81="","",IF($P81=_xlfn.MAXIFS($P$3:$P$1000,$B$3:$B$1000,$B81),"★ Cash cow – handmatig onderzoeken",""))</f>
        <v/>
      </c>
    </row>
    <row r="82" customFormat="false" ht="14.25" hidden="false" customHeight="true" outlineLevel="0" collapsed="false">
      <c r="A82" s="4"/>
      <c r="B82" s="5"/>
      <c r="C82" s="5"/>
      <c r="D82" s="5"/>
      <c r="E82" s="6"/>
      <c r="F82" s="7"/>
      <c r="G82" s="8"/>
      <c r="H82" s="7"/>
      <c r="I82" s="7"/>
      <c r="J82" s="6"/>
      <c r="K82" s="9" t="str">
        <f aca="false">IF(OR($J82="",$J82=0),"",$I82/$J82)</f>
        <v/>
      </c>
      <c r="L82" s="9" t="str">
        <f aca="false">IF(OR($E82="",$E82=0),"",$H82/$E82)</f>
        <v/>
      </c>
      <c r="M82" s="10" t="str">
        <f aca="false">IF(OR($L82="",$L82=0),"",($I82/30)/$L82)</f>
        <v/>
      </c>
      <c r="N82" s="8"/>
      <c r="O82" s="11" t="str">
        <f aca="false">IF(OR($I82="",$N82=""),"",($I82/1000)*$N82)</f>
        <v/>
      </c>
      <c r="P82" s="12" t="str">
        <f aca="false">IF($C82="","",IFERROR(ROUND(MIN(25,($N82/Instellingen!$B$3)*25)+MIN(25,($I82/Instellingen!$B$4)*25)+MIN(25,($J82/Instellingen!$B$5)*25)+MIN(25,(IF($M82="",0,$M82)/Instellingen!$B$6)*25),0),""))</f>
        <v/>
      </c>
      <c r="Q82" s="13" t="str">
        <f aca="false">IF($P82="","",IF($P82&gt;=Instellingen!$B$7,"Sterke niche",IF($P82&gt;=Instellingen!$B$8,"Belofte - opvolgen",IF($P82&gt;=Instellingen!$B$9,"Zwak - twijfel","Vermijden"))))</f>
        <v/>
      </c>
      <c r="R82" s="5"/>
      <c r="T82" s="1" t="str">
        <f aca="false">IF($C82="","",IF($P82=_xlfn.MAXIFS($P$3:$P$1000,$B$3:$B$1000,$B82),"★ Cash cow – handmatig onderzoeken",""))</f>
        <v/>
      </c>
    </row>
    <row r="83" customFormat="false" ht="14.25" hidden="false" customHeight="true" outlineLevel="0" collapsed="false">
      <c r="A83" s="4"/>
      <c r="B83" s="5"/>
      <c r="C83" s="5"/>
      <c r="D83" s="5"/>
      <c r="E83" s="6"/>
      <c r="F83" s="7"/>
      <c r="G83" s="8"/>
      <c r="H83" s="7"/>
      <c r="I83" s="7"/>
      <c r="J83" s="6"/>
      <c r="K83" s="9" t="str">
        <f aca="false">IF(OR($J83="",$J83=0),"",$I83/$J83)</f>
        <v/>
      </c>
      <c r="L83" s="9" t="str">
        <f aca="false">IF(OR($E83="",$E83=0),"",$H83/$E83)</f>
        <v/>
      </c>
      <c r="M83" s="10" t="str">
        <f aca="false">IF(OR($L83="",$L83=0),"",($I83/30)/$L83)</f>
        <v/>
      </c>
      <c r="N83" s="8"/>
      <c r="O83" s="11" t="str">
        <f aca="false">IF(OR($I83="",$N83=""),"",($I83/1000)*$N83)</f>
        <v/>
      </c>
      <c r="P83" s="12" t="str">
        <f aca="false">IF($C83="","",IFERROR(ROUND(MIN(25,($N83/Instellingen!$B$3)*25)+MIN(25,($I83/Instellingen!$B$4)*25)+MIN(25,($J83/Instellingen!$B$5)*25)+MIN(25,(IF($M83="",0,$M83)/Instellingen!$B$6)*25),0),""))</f>
        <v/>
      </c>
      <c r="Q83" s="13" t="str">
        <f aca="false">IF($P83="","",IF($P83&gt;=Instellingen!$B$7,"Sterke niche",IF($P83&gt;=Instellingen!$B$8,"Belofte - opvolgen",IF($P83&gt;=Instellingen!$B$9,"Zwak - twijfel","Vermijden"))))</f>
        <v/>
      </c>
      <c r="R83" s="5"/>
      <c r="T83" s="1" t="str">
        <f aca="false">IF($C83="","",IF($P83=_xlfn.MAXIFS($P$3:$P$1000,$B$3:$B$1000,$B83),"★ Cash cow – handmatig onderzoeken",""))</f>
        <v/>
      </c>
    </row>
    <row r="84" customFormat="false" ht="14.25" hidden="false" customHeight="true" outlineLevel="0" collapsed="false">
      <c r="A84" s="4"/>
      <c r="B84" s="5"/>
      <c r="C84" s="5"/>
      <c r="D84" s="5"/>
      <c r="E84" s="6"/>
      <c r="F84" s="7"/>
      <c r="G84" s="8"/>
      <c r="H84" s="7"/>
      <c r="I84" s="7"/>
      <c r="J84" s="6"/>
      <c r="K84" s="9" t="str">
        <f aca="false">IF(OR($J84="",$J84=0),"",$I84/$J84)</f>
        <v/>
      </c>
      <c r="L84" s="9" t="str">
        <f aca="false">IF(OR($E84="",$E84=0),"",$H84/$E84)</f>
        <v/>
      </c>
      <c r="M84" s="10" t="str">
        <f aca="false">IF(OR($L84="",$L84=0),"",($I84/30)/$L84)</f>
        <v/>
      </c>
      <c r="N84" s="8"/>
      <c r="O84" s="11" t="str">
        <f aca="false">IF(OR($I84="",$N84=""),"",($I84/1000)*$N84)</f>
        <v/>
      </c>
      <c r="P84" s="12" t="str">
        <f aca="false">IF($C84="","",IFERROR(ROUND(MIN(25,($N84/Instellingen!$B$3)*25)+MIN(25,($I84/Instellingen!$B$4)*25)+MIN(25,($J84/Instellingen!$B$5)*25)+MIN(25,(IF($M84="",0,$M84)/Instellingen!$B$6)*25),0),""))</f>
        <v/>
      </c>
      <c r="Q84" s="13" t="str">
        <f aca="false">IF($P84="","",IF($P84&gt;=Instellingen!$B$7,"Sterke niche",IF($P84&gt;=Instellingen!$B$8,"Belofte - opvolgen",IF($P84&gt;=Instellingen!$B$9,"Zwak - twijfel","Vermijden"))))</f>
        <v/>
      </c>
      <c r="R84" s="5"/>
      <c r="T84" s="1" t="str">
        <f aca="false">IF($C84="","",IF($P84=_xlfn.MAXIFS($P$3:$P$1000,$B$3:$B$1000,$B84),"★ Cash cow – handmatig onderzoeken",""))</f>
        <v/>
      </c>
    </row>
    <row r="85" customFormat="false" ht="14.25" hidden="false" customHeight="true" outlineLevel="0" collapsed="false">
      <c r="A85" s="4"/>
      <c r="B85" s="5"/>
      <c r="C85" s="5"/>
      <c r="D85" s="5"/>
      <c r="E85" s="6"/>
      <c r="F85" s="7"/>
      <c r="G85" s="8"/>
      <c r="H85" s="7"/>
      <c r="I85" s="7"/>
      <c r="J85" s="6"/>
      <c r="K85" s="9" t="str">
        <f aca="false">IF(OR($J85="",$J85=0),"",$I85/$J85)</f>
        <v/>
      </c>
      <c r="L85" s="9" t="str">
        <f aca="false">IF(OR($E85="",$E85=0),"",$H85/$E85)</f>
        <v/>
      </c>
      <c r="M85" s="10" t="str">
        <f aca="false">IF(OR($L85="",$L85=0),"",($I85/30)/$L85)</f>
        <v/>
      </c>
      <c r="N85" s="8"/>
      <c r="O85" s="11" t="str">
        <f aca="false">IF(OR($I85="",$N85=""),"",($I85/1000)*$N85)</f>
        <v/>
      </c>
      <c r="P85" s="12" t="str">
        <f aca="false">IF($C85="","",IFERROR(ROUND(MIN(25,($N85/Instellingen!$B$3)*25)+MIN(25,($I85/Instellingen!$B$4)*25)+MIN(25,($J85/Instellingen!$B$5)*25)+MIN(25,(IF($M85="",0,$M85)/Instellingen!$B$6)*25),0),""))</f>
        <v/>
      </c>
      <c r="Q85" s="13" t="str">
        <f aca="false">IF($P85="","",IF($P85&gt;=Instellingen!$B$7,"Sterke niche",IF($P85&gt;=Instellingen!$B$8,"Belofte - opvolgen",IF($P85&gt;=Instellingen!$B$9,"Zwak - twijfel","Vermijden"))))</f>
        <v/>
      </c>
      <c r="R85" s="5"/>
      <c r="T85" s="1" t="str">
        <f aca="false">IF($C85="","",IF($P85=_xlfn.MAXIFS($P$3:$P$1000,$B$3:$B$1000,$B85),"★ Cash cow – handmatig onderzoeken",""))</f>
        <v/>
      </c>
    </row>
    <row r="86" customFormat="false" ht="14.25" hidden="false" customHeight="true" outlineLevel="0" collapsed="false">
      <c r="A86" s="4"/>
      <c r="B86" s="5"/>
      <c r="C86" s="5"/>
      <c r="D86" s="5"/>
      <c r="E86" s="6"/>
      <c r="F86" s="7"/>
      <c r="G86" s="8"/>
      <c r="H86" s="7"/>
      <c r="I86" s="7"/>
      <c r="J86" s="6"/>
      <c r="K86" s="9" t="str">
        <f aca="false">IF(OR($J86="",$J86=0),"",$I86/$J86)</f>
        <v/>
      </c>
      <c r="L86" s="9" t="str">
        <f aca="false">IF(OR($E86="",$E86=0),"",$H86/$E86)</f>
        <v/>
      </c>
      <c r="M86" s="10" t="str">
        <f aca="false">IF(OR($L86="",$L86=0),"",($I86/30)/$L86)</f>
        <v/>
      </c>
      <c r="N86" s="8"/>
      <c r="O86" s="11" t="str">
        <f aca="false">IF(OR($I86="",$N86=""),"",($I86/1000)*$N86)</f>
        <v/>
      </c>
      <c r="P86" s="12" t="str">
        <f aca="false">IF($C86="","",IFERROR(ROUND(MIN(25,($N86/Instellingen!$B$3)*25)+MIN(25,($I86/Instellingen!$B$4)*25)+MIN(25,($J86/Instellingen!$B$5)*25)+MIN(25,(IF($M86="",0,$M86)/Instellingen!$B$6)*25),0),""))</f>
        <v/>
      </c>
      <c r="Q86" s="13" t="str">
        <f aca="false">IF($P86="","",IF($P86&gt;=Instellingen!$B$7,"Sterke niche",IF($P86&gt;=Instellingen!$B$8,"Belofte - opvolgen",IF($P86&gt;=Instellingen!$B$9,"Zwak - twijfel","Vermijden"))))</f>
        <v/>
      </c>
      <c r="R86" s="5"/>
      <c r="T86" s="1" t="str">
        <f aca="false">IF($C86="","",IF($P86=_xlfn.MAXIFS($P$3:$P$1000,$B$3:$B$1000,$B86),"★ Cash cow – handmatig onderzoeken",""))</f>
        <v/>
      </c>
    </row>
    <row r="87" customFormat="false" ht="14.25" hidden="false" customHeight="true" outlineLevel="0" collapsed="false">
      <c r="A87" s="4"/>
      <c r="B87" s="5"/>
      <c r="C87" s="5"/>
      <c r="D87" s="5"/>
      <c r="E87" s="6"/>
      <c r="F87" s="7"/>
      <c r="G87" s="8"/>
      <c r="H87" s="7"/>
      <c r="I87" s="7"/>
      <c r="J87" s="6"/>
      <c r="K87" s="9" t="str">
        <f aca="false">IF(OR($J87="",$J87=0),"",$I87/$J87)</f>
        <v/>
      </c>
      <c r="L87" s="9" t="str">
        <f aca="false">IF(OR($E87="",$E87=0),"",$H87/$E87)</f>
        <v/>
      </c>
      <c r="M87" s="10" t="str">
        <f aca="false">IF(OR($L87="",$L87=0),"",($I87/30)/$L87)</f>
        <v/>
      </c>
      <c r="N87" s="8"/>
      <c r="O87" s="11" t="str">
        <f aca="false">IF(OR($I87="",$N87=""),"",($I87/1000)*$N87)</f>
        <v/>
      </c>
      <c r="P87" s="12" t="str">
        <f aca="false">IF($C87="","",IFERROR(ROUND(MIN(25,($N87/Instellingen!$B$3)*25)+MIN(25,($I87/Instellingen!$B$4)*25)+MIN(25,($J87/Instellingen!$B$5)*25)+MIN(25,(IF($M87="",0,$M87)/Instellingen!$B$6)*25),0),""))</f>
        <v/>
      </c>
      <c r="Q87" s="13" t="str">
        <f aca="false">IF($P87="","",IF($P87&gt;=Instellingen!$B$7,"Sterke niche",IF($P87&gt;=Instellingen!$B$8,"Belofte - opvolgen",IF($P87&gt;=Instellingen!$B$9,"Zwak - twijfel","Vermijden"))))</f>
        <v/>
      </c>
      <c r="R87" s="5"/>
      <c r="T87" s="1" t="str">
        <f aca="false">IF($C87="","",IF($P87=_xlfn.MAXIFS($P$3:$P$1000,$B$3:$B$1000,$B87),"★ Cash cow – handmatig onderzoeken",""))</f>
        <v/>
      </c>
    </row>
    <row r="88" customFormat="false" ht="14.25" hidden="false" customHeight="true" outlineLevel="0" collapsed="false">
      <c r="A88" s="4"/>
      <c r="B88" s="5"/>
      <c r="C88" s="5"/>
      <c r="D88" s="5"/>
      <c r="E88" s="6"/>
      <c r="F88" s="7"/>
      <c r="G88" s="8"/>
      <c r="H88" s="7"/>
      <c r="I88" s="7"/>
      <c r="J88" s="6"/>
      <c r="K88" s="9" t="str">
        <f aca="false">IF(OR($J88="",$J88=0),"",$I88/$J88)</f>
        <v/>
      </c>
      <c r="L88" s="9" t="str">
        <f aca="false">IF(OR($E88="",$E88=0),"",$H88/$E88)</f>
        <v/>
      </c>
      <c r="M88" s="10" t="str">
        <f aca="false">IF(OR($L88="",$L88=0),"",($I88/30)/$L88)</f>
        <v/>
      </c>
      <c r="N88" s="8"/>
      <c r="O88" s="11" t="str">
        <f aca="false">IF(OR($I88="",$N88=""),"",($I88/1000)*$N88)</f>
        <v/>
      </c>
      <c r="P88" s="12" t="str">
        <f aca="false">IF($C88="","",IFERROR(ROUND(MIN(25,($N88/Instellingen!$B$3)*25)+MIN(25,($I88/Instellingen!$B$4)*25)+MIN(25,($J88/Instellingen!$B$5)*25)+MIN(25,(IF($M88="",0,$M88)/Instellingen!$B$6)*25),0),""))</f>
        <v/>
      </c>
      <c r="Q88" s="13" t="str">
        <f aca="false">IF($P88="","",IF($P88&gt;=Instellingen!$B$7,"Sterke niche",IF($P88&gt;=Instellingen!$B$8,"Belofte - opvolgen",IF($P88&gt;=Instellingen!$B$9,"Zwak - twijfel","Vermijden"))))</f>
        <v/>
      </c>
      <c r="R88" s="5"/>
      <c r="T88" s="1" t="str">
        <f aca="false">IF($C88="","",IF($P88=_xlfn.MAXIFS($P$3:$P$1000,$B$3:$B$1000,$B88),"★ Cash cow – handmatig onderzoeken",""))</f>
        <v/>
      </c>
    </row>
    <row r="89" customFormat="false" ht="14.25" hidden="false" customHeight="true" outlineLevel="0" collapsed="false">
      <c r="A89" s="4"/>
      <c r="B89" s="5"/>
      <c r="C89" s="5"/>
      <c r="D89" s="5"/>
      <c r="E89" s="6"/>
      <c r="F89" s="7"/>
      <c r="G89" s="8"/>
      <c r="H89" s="7"/>
      <c r="I89" s="7"/>
      <c r="J89" s="6"/>
      <c r="K89" s="9" t="str">
        <f aca="false">IF(OR($J89="",$J89=0),"",$I89/$J89)</f>
        <v/>
      </c>
      <c r="L89" s="9" t="str">
        <f aca="false">IF(OR($E89="",$E89=0),"",$H89/$E89)</f>
        <v/>
      </c>
      <c r="M89" s="10" t="str">
        <f aca="false">IF(OR($L89="",$L89=0),"",($I89/30)/$L89)</f>
        <v/>
      </c>
      <c r="N89" s="8"/>
      <c r="O89" s="11" t="str">
        <f aca="false">IF(OR($I89="",$N89=""),"",($I89/1000)*$N89)</f>
        <v/>
      </c>
      <c r="P89" s="12" t="str">
        <f aca="false">IF($C89="","",IFERROR(ROUND(MIN(25,($N89/Instellingen!$B$3)*25)+MIN(25,($I89/Instellingen!$B$4)*25)+MIN(25,($J89/Instellingen!$B$5)*25)+MIN(25,(IF($M89="",0,$M89)/Instellingen!$B$6)*25),0),""))</f>
        <v/>
      </c>
      <c r="Q89" s="13" t="str">
        <f aca="false">IF($P89="","",IF($P89&gt;=Instellingen!$B$7,"Sterke niche",IF($P89&gt;=Instellingen!$B$8,"Belofte - opvolgen",IF($P89&gt;=Instellingen!$B$9,"Zwak - twijfel","Vermijden"))))</f>
        <v/>
      </c>
      <c r="R89" s="5"/>
      <c r="T89" s="1" t="str">
        <f aca="false">IF($C89="","",IF($P89=_xlfn.MAXIFS($P$3:$P$1000,$B$3:$B$1000,$B89),"★ Cash cow – handmatig onderzoeken",""))</f>
        <v/>
      </c>
    </row>
    <row r="90" customFormat="false" ht="14.25" hidden="false" customHeight="true" outlineLevel="0" collapsed="false">
      <c r="A90" s="4"/>
      <c r="B90" s="5"/>
      <c r="C90" s="5"/>
      <c r="D90" s="5"/>
      <c r="E90" s="6"/>
      <c r="F90" s="7"/>
      <c r="G90" s="8"/>
      <c r="H90" s="7"/>
      <c r="I90" s="7"/>
      <c r="J90" s="6"/>
      <c r="K90" s="9" t="str">
        <f aca="false">IF(OR($J90="",$J90=0),"",$I90/$J90)</f>
        <v/>
      </c>
      <c r="L90" s="9" t="str">
        <f aca="false">IF(OR($E90="",$E90=0),"",$H90/$E90)</f>
        <v/>
      </c>
      <c r="M90" s="10" t="str">
        <f aca="false">IF(OR($L90="",$L90=0),"",($I90/30)/$L90)</f>
        <v/>
      </c>
      <c r="N90" s="8"/>
      <c r="O90" s="11" t="str">
        <f aca="false">IF(OR($I90="",$N90=""),"",($I90/1000)*$N90)</f>
        <v/>
      </c>
      <c r="P90" s="12" t="str">
        <f aca="false">IF($C90="","",IFERROR(ROUND(MIN(25,($N90/Instellingen!$B$3)*25)+MIN(25,($I90/Instellingen!$B$4)*25)+MIN(25,($J90/Instellingen!$B$5)*25)+MIN(25,(IF($M90="",0,$M90)/Instellingen!$B$6)*25),0),""))</f>
        <v/>
      </c>
      <c r="Q90" s="13" t="str">
        <f aca="false">IF($P90="","",IF($P90&gt;=Instellingen!$B$7,"Sterke niche",IF($P90&gt;=Instellingen!$B$8,"Belofte - opvolgen",IF($P90&gt;=Instellingen!$B$9,"Zwak - twijfel","Vermijden"))))</f>
        <v/>
      </c>
      <c r="R90" s="5"/>
      <c r="T90" s="1" t="str">
        <f aca="false">IF($C90="","",IF($P90=_xlfn.MAXIFS($P$3:$P$1000,$B$3:$B$1000,$B90),"★ Cash cow – handmatig onderzoeken",""))</f>
        <v/>
      </c>
    </row>
    <row r="91" customFormat="false" ht="14.25" hidden="false" customHeight="true" outlineLevel="0" collapsed="false">
      <c r="A91" s="4"/>
      <c r="B91" s="5"/>
      <c r="C91" s="5"/>
      <c r="D91" s="5"/>
      <c r="E91" s="6"/>
      <c r="F91" s="7"/>
      <c r="G91" s="8"/>
      <c r="H91" s="7"/>
      <c r="I91" s="7"/>
      <c r="J91" s="6"/>
      <c r="K91" s="9" t="str">
        <f aca="false">IF(OR($J91="",$J91=0),"",$I91/$J91)</f>
        <v/>
      </c>
      <c r="L91" s="9" t="str">
        <f aca="false">IF(OR($E91="",$E91=0),"",$H91/$E91)</f>
        <v/>
      </c>
      <c r="M91" s="10" t="str">
        <f aca="false">IF(OR($L91="",$L91=0),"",($I91/30)/$L91)</f>
        <v/>
      </c>
      <c r="N91" s="8"/>
      <c r="O91" s="11" t="str">
        <f aca="false">IF(OR($I91="",$N91=""),"",($I91/1000)*$N91)</f>
        <v/>
      </c>
      <c r="P91" s="12" t="str">
        <f aca="false">IF($C91="","",IFERROR(ROUND(MIN(25,($N91/Instellingen!$B$3)*25)+MIN(25,($I91/Instellingen!$B$4)*25)+MIN(25,($J91/Instellingen!$B$5)*25)+MIN(25,(IF($M91="",0,$M91)/Instellingen!$B$6)*25),0),""))</f>
        <v/>
      </c>
      <c r="Q91" s="13" t="str">
        <f aca="false">IF($P91="","",IF($P91&gt;=Instellingen!$B$7,"Sterke niche",IF($P91&gt;=Instellingen!$B$8,"Belofte - opvolgen",IF($P91&gt;=Instellingen!$B$9,"Zwak - twijfel","Vermijden"))))</f>
        <v/>
      </c>
      <c r="R91" s="5"/>
      <c r="T91" s="1" t="str">
        <f aca="false">IF($C91="","",IF($P91=_xlfn.MAXIFS($P$3:$P$1000,$B$3:$B$1000,$B91),"★ Cash cow – handmatig onderzoeken",""))</f>
        <v/>
      </c>
    </row>
    <row r="92" customFormat="false" ht="14.25" hidden="false" customHeight="true" outlineLevel="0" collapsed="false">
      <c r="A92" s="4"/>
      <c r="B92" s="5"/>
      <c r="C92" s="5"/>
      <c r="D92" s="5"/>
      <c r="E92" s="6"/>
      <c r="F92" s="7"/>
      <c r="G92" s="8"/>
      <c r="H92" s="7"/>
      <c r="I92" s="7"/>
      <c r="J92" s="6"/>
      <c r="K92" s="9" t="str">
        <f aca="false">IF(OR($J92="",$J92=0),"",$I92/$J92)</f>
        <v/>
      </c>
      <c r="L92" s="9" t="str">
        <f aca="false">IF(OR($E92="",$E92=0),"",$H92/$E92)</f>
        <v/>
      </c>
      <c r="M92" s="10" t="str">
        <f aca="false">IF(OR($L92="",$L92=0),"",($I92/30)/$L92)</f>
        <v/>
      </c>
      <c r="N92" s="8"/>
      <c r="O92" s="11" t="str">
        <f aca="false">IF(OR($I92="",$N92=""),"",($I92/1000)*$N92)</f>
        <v/>
      </c>
      <c r="P92" s="12" t="str">
        <f aca="false">IF($C92="","",IFERROR(ROUND(MIN(25,($N92/Instellingen!$B$3)*25)+MIN(25,($I92/Instellingen!$B$4)*25)+MIN(25,($J92/Instellingen!$B$5)*25)+MIN(25,(IF($M92="",0,$M92)/Instellingen!$B$6)*25),0),""))</f>
        <v/>
      </c>
      <c r="Q92" s="13" t="str">
        <f aca="false">IF($P92="","",IF($P92&gt;=Instellingen!$B$7,"Sterke niche",IF($P92&gt;=Instellingen!$B$8,"Belofte - opvolgen",IF($P92&gt;=Instellingen!$B$9,"Zwak - twijfel","Vermijden"))))</f>
        <v/>
      </c>
      <c r="R92" s="5"/>
      <c r="T92" s="1" t="str">
        <f aca="false">IF($C92="","",IF($P92=_xlfn.MAXIFS($P$3:$P$1000,$B$3:$B$1000,$B92),"★ Cash cow – handmatig onderzoeken",""))</f>
        <v/>
      </c>
    </row>
    <row r="93" customFormat="false" ht="14.25" hidden="false" customHeight="true" outlineLevel="0" collapsed="false">
      <c r="A93" s="4"/>
      <c r="B93" s="5"/>
      <c r="C93" s="5"/>
      <c r="D93" s="5"/>
      <c r="E93" s="6"/>
      <c r="F93" s="7"/>
      <c r="G93" s="8"/>
      <c r="H93" s="7"/>
      <c r="I93" s="7"/>
      <c r="J93" s="6"/>
      <c r="K93" s="9" t="str">
        <f aca="false">IF(OR($J93="",$J93=0),"",$I93/$J93)</f>
        <v/>
      </c>
      <c r="L93" s="9" t="str">
        <f aca="false">IF(OR($E93="",$E93=0),"",$H93/$E93)</f>
        <v/>
      </c>
      <c r="M93" s="10" t="str">
        <f aca="false">IF(OR($L93="",$L93=0),"",($I93/30)/$L93)</f>
        <v/>
      </c>
      <c r="N93" s="8"/>
      <c r="O93" s="11" t="str">
        <f aca="false">IF(OR($I93="",$N93=""),"",($I93/1000)*$N93)</f>
        <v/>
      </c>
      <c r="P93" s="12" t="str">
        <f aca="false">IF($C93="","",IFERROR(ROUND(MIN(25,($N93/Instellingen!$B$3)*25)+MIN(25,($I93/Instellingen!$B$4)*25)+MIN(25,($J93/Instellingen!$B$5)*25)+MIN(25,(IF($M93="",0,$M93)/Instellingen!$B$6)*25),0),""))</f>
        <v/>
      </c>
      <c r="Q93" s="13" t="str">
        <f aca="false">IF($P93="","",IF($P93&gt;=Instellingen!$B$7,"Sterke niche",IF($P93&gt;=Instellingen!$B$8,"Belofte - opvolgen",IF($P93&gt;=Instellingen!$B$9,"Zwak - twijfel","Vermijden"))))</f>
        <v/>
      </c>
      <c r="R93" s="5"/>
      <c r="T93" s="1" t="str">
        <f aca="false">IF($C93="","",IF($P93=_xlfn.MAXIFS($P$3:$P$1000,$B$3:$B$1000,$B93),"★ Cash cow – handmatig onderzoeken",""))</f>
        <v/>
      </c>
    </row>
    <row r="94" customFormat="false" ht="14.25" hidden="false" customHeight="true" outlineLevel="0" collapsed="false">
      <c r="A94" s="4"/>
      <c r="B94" s="5"/>
      <c r="C94" s="5"/>
      <c r="D94" s="5"/>
      <c r="E94" s="6"/>
      <c r="F94" s="7"/>
      <c r="G94" s="8"/>
      <c r="H94" s="7"/>
      <c r="I94" s="7"/>
      <c r="J94" s="6"/>
      <c r="K94" s="9" t="str">
        <f aca="false">IF(OR($J94="",$J94=0),"",$I94/$J94)</f>
        <v/>
      </c>
      <c r="L94" s="9" t="str">
        <f aca="false">IF(OR($E94="",$E94=0),"",$H94/$E94)</f>
        <v/>
      </c>
      <c r="M94" s="10" t="str">
        <f aca="false">IF(OR($L94="",$L94=0),"",($I94/30)/$L94)</f>
        <v/>
      </c>
      <c r="N94" s="8"/>
      <c r="O94" s="11" t="str">
        <f aca="false">IF(OR($I94="",$N94=""),"",($I94/1000)*$N94)</f>
        <v/>
      </c>
      <c r="P94" s="12" t="str">
        <f aca="false">IF($C94="","",IFERROR(ROUND(MIN(25,($N94/Instellingen!$B$3)*25)+MIN(25,($I94/Instellingen!$B$4)*25)+MIN(25,($J94/Instellingen!$B$5)*25)+MIN(25,(IF($M94="",0,$M94)/Instellingen!$B$6)*25),0),""))</f>
        <v/>
      </c>
      <c r="Q94" s="13" t="str">
        <f aca="false">IF($P94="","",IF($P94&gt;=Instellingen!$B$7,"Sterke niche",IF($P94&gt;=Instellingen!$B$8,"Belofte - opvolgen",IF($P94&gt;=Instellingen!$B$9,"Zwak - twijfel","Vermijden"))))</f>
        <v/>
      </c>
      <c r="R94" s="5"/>
      <c r="T94" s="1" t="str">
        <f aca="false">IF($C94="","",IF($P94=_xlfn.MAXIFS($P$3:$P$1000,$B$3:$B$1000,$B94),"★ Cash cow – handmatig onderzoeken",""))</f>
        <v/>
      </c>
    </row>
    <row r="95" customFormat="false" ht="14.25" hidden="false" customHeight="true" outlineLevel="0" collapsed="false">
      <c r="A95" s="4"/>
      <c r="B95" s="5"/>
      <c r="C95" s="5"/>
      <c r="D95" s="5"/>
      <c r="E95" s="6"/>
      <c r="F95" s="7"/>
      <c r="G95" s="8"/>
      <c r="H95" s="7"/>
      <c r="I95" s="7"/>
      <c r="J95" s="6"/>
      <c r="K95" s="9" t="str">
        <f aca="false">IF(OR($J95="",$J95=0),"",$I95/$J95)</f>
        <v/>
      </c>
      <c r="L95" s="9" t="str">
        <f aca="false">IF(OR($E95="",$E95=0),"",$H95/$E95)</f>
        <v/>
      </c>
      <c r="M95" s="10" t="str">
        <f aca="false">IF(OR($L95="",$L95=0),"",($I95/30)/$L95)</f>
        <v/>
      </c>
      <c r="N95" s="8"/>
      <c r="O95" s="11" t="str">
        <f aca="false">IF(OR($I95="",$N95=""),"",($I95/1000)*$N95)</f>
        <v/>
      </c>
      <c r="P95" s="12" t="str">
        <f aca="false">IF($C95="","",IFERROR(ROUND(MIN(25,($N95/Instellingen!$B$3)*25)+MIN(25,($I95/Instellingen!$B$4)*25)+MIN(25,($J95/Instellingen!$B$5)*25)+MIN(25,(IF($M95="",0,$M95)/Instellingen!$B$6)*25),0),""))</f>
        <v/>
      </c>
      <c r="Q95" s="13" t="str">
        <f aca="false">IF($P95="","",IF($P95&gt;=Instellingen!$B$7,"Sterke niche",IF($P95&gt;=Instellingen!$B$8,"Belofte - opvolgen",IF($P95&gt;=Instellingen!$B$9,"Zwak - twijfel","Vermijden"))))</f>
        <v/>
      </c>
      <c r="R95" s="5"/>
      <c r="T95" s="1" t="str">
        <f aca="false">IF($C95="","",IF($P95=_xlfn.MAXIFS($P$3:$P$1000,$B$3:$B$1000,$B95),"★ Cash cow – handmatig onderzoeken",""))</f>
        <v/>
      </c>
    </row>
    <row r="96" customFormat="false" ht="14.25" hidden="false" customHeight="true" outlineLevel="0" collapsed="false">
      <c r="A96" s="4"/>
      <c r="B96" s="5"/>
      <c r="C96" s="5"/>
      <c r="D96" s="5"/>
      <c r="E96" s="6"/>
      <c r="F96" s="7"/>
      <c r="G96" s="8"/>
      <c r="H96" s="7"/>
      <c r="I96" s="7"/>
      <c r="J96" s="6"/>
      <c r="K96" s="9" t="str">
        <f aca="false">IF(OR($J96="",$J96=0),"",$I96/$J96)</f>
        <v/>
      </c>
      <c r="L96" s="9" t="str">
        <f aca="false">IF(OR($E96="",$E96=0),"",$H96/$E96)</f>
        <v/>
      </c>
      <c r="M96" s="10" t="str">
        <f aca="false">IF(OR($L96="",$L96=0),"",($I96/30)/$L96)</f>
        <v/>
      </c>
      <c r="N96" s="8"/>
      <c r="O96" s="11" t="str">
        <f aca="false">IF(OR($I96="",$N96=""),"",($I96/1000)*$N96)</f>
        <v/>
      </c>
      <c r="P96" s="12" t="str">
        <f aca="false">IF($C96="","",IFERROR(ROUND(MIN(25,($N96/Instellingen!$B$3)*25)+MIN(25,($I96/Instellingen!$B$4)*25)+MIN(25,($J96/Instellingen!$B$5)*25)+MIN(25,(IF($M96="",0,$M96)/Instellingen!$B$6)*25),0),""))</f>
        <v/>
      </c>
      <c r="Q96" s="13" t="str">
        <f aca="false">IF($P96="","",IF($P96&gt;=Instellingen!$B$7,"Sterke niche",IF($P96&gt;=Instellingen!$B$8,"Belofte - opvolgen",IF($P96&gt;=Instellingen!$B$9,"Zwak - twijfel","Vermijden"))))</f>
        <v/>
      </c>
      <c r="R96" s="5"/>
      <c r="T96" s="1" t="str">
        <f aca="false">IF($C96="","",IF($P96=_xlfn.MAXIFS($P$3:$P$1000,$B$3:$B$1000,$B96),"★ Cash cow – handmatig onderzoeken",""))</f>
        <v/>
      </c>
    </row>
    <row r="97" customFormat="false" ht="14.25" hidden="false" customHeight="true" outlineLevel="0" collapsed="false">
      <c r="A97" s="4"/>
      <c r="B97" s="5"/>
      <c r="C97" s="5"/>
      <c r="D97" s="5"/>
      <c r="E97" s="6"/>
      <c r="F97" s="7"/>
      <c r="G97" s="8"/>
      <c r="H97" s="7"/>
      <c r="I97" s="7"/>
      <c r="J97" s="6"/>
      <c r="K97" s="9" t="str">
        <f aca="false">IF(OR($J97="",$J97=0),"",$I97/$J97)</f>
        <v/>
      </c>
      <c r="L97" s="9" t="str">
        <f aca="false">IF(OR($E97="",$E97=0),"",$H97/$E97)</f>
        <v/>
      </c>
      <c r="M97" s="10" t="str">
        <f aca="false">IF(OR($L97="",$L97=0),"",($I97/30)/$L97)</f>
        <v/>
      </c>
      <c r="N97" s="8"/>
      <c r="O97" s="11" t="str">
        <f aca="false">IF(OR($I97="",$N97=""),"",($I97/1000)*$N97)</f>
        <v/>
      </c>
      <c r="P97" s="12" t="str">
        <f aca="false">IF($C97="","",IFERROR(ROUND(MIN(25,($N97/Instellingen!$B$3)*25)+MIN(25,($I97/Instellingen!$B$4)*25)+MIN(25,($J97/Instellingen!$B$5)*25)+MIN(25,(IF($M97="",0,$M97)/Instellingen!$B$6)*25),0),""))</f>
        <v/>
      </c>
      <c r="Q97" s="13" t="str">
        <f aca="false">IF($P97="","",IF($P97&gt;=Instellingen!$B$7,"Sterke niche",IF($P97&gt;=Instellingen!$B$8,"Belofte - opvolgen",IF($P97&gt;=Instellingen!$B$9,"Zwak - twijfel","Vermijden"))))</f>
        <v/>
      </c>
      <c r="R97" s="5"/>
      <c r="T97" s="1" t="str">
        <f aca="false">IF($C97="","",IF($P97=_xlfn.MAXIFS($P$3:$P$1000,$B$3:$B$1000,$B97),"★ Cash cow – handmatig onderzoeken",""))</f>
        <v/>
      </c>
    </row>
    <row r="98" customFormat="false" ht="14.25" hidden="false" customHeight="true" outlineLevel="0" collapsed="false">
      <c r="A98" s="4"/>
      <c r="B98" s="5"/>
      <c r="C98" s="5"/>
      <c r="D98" s="5"/>
      <c r="E98" s="6"/>
      <c r="F98" s="7"/>
      <c r="G98" s="8"/>
      <c r="H98" s="7"/>
      <c r="I98" s="7"/>
      <c r="J98" s="6"/>
      <c r="K98" s="9" t="str">
        <f aca="false">IF(OR($J98="",$J98=0),"",$I98/$J98)</f>
        <v/>
      </c>
      <c r="L98" s="9" t="str">
        <f aca="false">IF(OR($E98="",$E98=0),"",$H98/$E98)</f>
        <v/>
      </c>
      <c r="M98" s="10" t="str">
        <f aca="false">IF(OR($L98="",$L98=0),"",($I98/30)/$L98)</f>
        <v/>
      </c>
      <c r="N98" s="8"/>
      <c r="O98" s="11" t="str">
        <f aca="false">IF(OR($I98="",$N98=""),"",($I98/1000)*$N98)</f>
        <v/>
      </c>
      <c r="P98" s="12" t="str">
        <f aca="false">IF($C98="","",IFERROR(ROUND(MIN(25,($N98/Instellingen!$B$3)*25)+MIN(25,($I98/Instellingen!$B$4)*25)+MIN(25,($J98/Instellingen!$B$5)*25)+MIN(25,(IF($M98="",0,$M98)/Instellingen!$B$6)*25),0),""))</f>
        <v/>
      </c>
      <c r="Q98" s="13" t="str">
        <f aca="false">IF($P98="","",IF($P98&gt;=Instellingen!$B$7,"Sterke niche",IF($P98&gt;=Instellingen!$B$8,"Belofte - opvolgen",IF($P98&gt;=Instellingen!$B$9,"Zwak - twijfel","Vermijden"))))</f>
        <v/>
      </c>
      <c r="R98" s="5"/>
      <c r="T98" s="1" t="str">
        <f aca="false">IF($C98="","",IF($P98=_xlfn.MAXIFS($P$3:$P$1000,$B$3:$B$1000,$B98),"★ Cash cow – handmatig onderzoeken",""))</f>
        <v/>
      </c>
    </row>
    <row r="99" customFormat="false" ht="14.25" hidden="false" customHeight="true" outlineLevel="0" collapsed="false">
      <c r="A99" s="4"/>
      <c r="B99" s="5"/>
      <c r="C99" s="5"/>
      <c r="D99" s="5"/>
      <c r="E99" s="6"/>
      <c r="F99" s="7"/>
      <c r="G99" s="8"/>
      <c r="H99" s="7"/>
      <c r="I99" s="7"/>
      <c r="J99" s="6"/>
      <c r="K99" s="9" t="str">
        <f aca="false">IF(OR($J99="",$J99=0),"",$I99/$J99)</f>
        <v/>
      </c>
      <c r="L99" s="9" t="str">
        <f aca="false">IF(OR($E99="",$E99=0),"",$H99/$E99)</f>
        <v/>
      </c>
      <c r="M99" s="10" t="str">
        <f aca="false">IF(OR($L99="",$L99=0),"",($I99/30)/$L99)</f>
        <v/>
      </c>
      <c r="N99" s="8"/>
      <c r="O99" s="11" t="str">
        <f aca="false">IF(OR($I99="",$N99=""),"",($I99/1000)*$N99)</f>
        <v/>
      </c>
      <c r="P99" s="12" t="str">
        <f aca="false">IF($C99="","",IFERROR(ROUND(MIN(25,($N99/Instellingen!$B$3)*25)+MIN(25,($I99/Instellingen!$B$4)*25)+MIN(25,($J99/Instellingen!$B$5)*25)+MIN(25,(IF($M99="",0,$M99)/Instellingen!$B$6)*25),0),""))</f>
        <v/>
      </c>
      <c r="Q99" s="13" t="str">
        <f aca="false">IF($P99="","",IF($P99&gt;=Instellingen!$B$7,"Sterke niche",IF($P99&gt;=Instellingen!$B$8,"Belofte - opvolgen",IF($P99&gt;=Instellingen!$B$9,"Zwak - twijfel","Vermijden"))))</f>
        <v/>
      </c>
      <c r="R99" s="5"/>
      <c r="T99" s="1" t="str">
        <f aca="false">IF($C99="","",IF($P99=_xlfn.MAXIFS($P$3:$P$1000,$B$3:$B$1000,$B99),"★ Cash cow – handmatig onderzoeken",""))</f>
        <v/>
      </c>
    </row>
    <row r="100" customFormat="false" ht="14.25" hidden="false" customHeight="true" outlineLevel="0" collapsed="false">
      <c r="A100" s="4"/>
      <c r="B100" s="5"/>
      <c r="C100" s="5"/>
      <c r="D100" s="5"/>
      <c r="E100" s="6"/>
      <c r="F100" s="7"/>
      <c r="G100" s="8"/>
      <c r="H100" s="7"/>
      <c r="I100" s="7"/>
      <c r="J100" s="6"/>
      <c r="K100" s="9" t="str">
        <f aca="false">IF(OR($J100="",$J100=0),"",$I100/$J100)</f>
        <v/>
      </c>
      <c r="L100" s="9" t="str">
        <f aca="false">IF(OR($E100="",$E100=0),"",$H100/$E100)</f>
        <v/>
      </c>
      <c r="M100" s="10" t="str">
        <f aca="false">IF(OR($L100="",$L100=0),"",($I100/30)/$L100)</f>
        <v/>
      </c>
      <c r="N100" s="8"/>
      <c r="O100" s="11" t="str">
        <f aca="false">IF(OR($I100="",$N100=""),"",($I100/1000)*$N100)</f>
        <v/>
      </c>
      <c r="P100" s="12" t="str">
        <f aca="false">IF($C100="","",IFERROR(ROUND(MIN(25,($N100/Instellingen!$B$3)*25)+MIN(25,($I100/Instellingen!$B$4)*25)+MIN(25,($J100/Instellingen!$B$5)*25)+MIN(25,(IF($M100="",0,$M100)/Instellingen!$B$6)*25),0),""))</f>
        <v/>
      </c>
      <c r="Q100" s="13" t="str">
        <f aca="false">IF($P100="","",IF($P100&gt;=Instellingen!$B$7,"Sterke niche",IF($P100&gt;=Instellingen!$B$8,"Belofte - opvolgen",IF($P100&gt;=Instellingen!$B$9,"Zwak - twijfel","Vermijden"))))</f>
        <v/>
      </c>
      <c r="R100" s="5"/>
      <c r="T100" s="1" t="str">
        <f aca="false">IF($C100="","",IF($P100=_xlfn.MAXIFS($P$3:$P$1000,$B$3:$B$1000,$B100),"★ Cash cow – handmatig onderzoeken",""))</f>
        <v/>
      </c>
    </row>
    <row r="101" customFormat="false" ht="14.25" hidden="false" customHeight="true" outlineLevel="0" collapsed="false">
      <c r="A101" s="4"/>
      <c r="B101" s="5"/>
      <c r="C101" s="5"/>
      <c r="D101" s="5"/>
      <c r="E101" s="6"/>
      <c r="F101" s="7"/>
      <c r="G101" s="8"/>
      <c r="H101" s="7"/>
      <c r="I101" s="7"/>
      <c r="J101" s="6"/>
      <c r="K101" s="9" t="str">
        <f aca="false">IF(OR($J101="",$J101=0),"",$I101/$J101)</f>
        <v/>
      </c>
      <c r="L101" s="9" t="str">
        <f aca="false">IF(OR($E101="",$E101=0),"",$H101/$E101)</f>
        <v/>
      </c>
      <c r="M101" s="10" t="str">
        <f aca="false">IF(OR($L101="",$L101=0),"",($I101/30)/$L101)</f>
        <v/>
      </c>
      <c r="N101" s="8"/>
      <c r="O101" s="11" t="str">
        <f aca="false">IF(OR($I101="",$N101=""),"",($I101/1000)*$N101)</f>
        <v/>
      </c>
      <c r="P101" s="12" t="str">
        <f aca="false">IF($C101="","",IFERROR(ROUND(MIN(25,($N101/Instellingen!$B$3)*25)+MIN(25,($I101/Instellingen!$B$4)*25)+MIN(25,($J101/Instellingen!$B$5)*25)+MIN(25,(IF($M101="",0,$M101)/Instellingen!$B$6)*25),0),""))</f>
        <v/>
      </c>
      <c r="Q101" s="13" t="str">
        <f aca="false">IF($P101="","",IF($P101&gt;=Instellingen!$B$7,"Sterke niche",IF($P101&gt;=Instellingen!$B$8,"Belofte - opvolgen",IF($P101&gt;=Instellingen!$B$9,"Zwak - twijfel","Vermijden"))))</f>
        <v/>
      </c>
      <c r="R101" s="5"/>
      <c r="T101" s="1" t="str">
        <f aca="false">IF($C101="","",IF($P101=_xlfn.MAXIFS($P$3:$P$1000,$B$3:$B$1000,$B101),"★ Cash cow – handmatig onderzoeken",""))</f>
        <v/>
      </c>
    </row>
    <row r="102" customFormat="false" ht="14.25" hidden="false" customHeight="true" outlineLevel="0" collapsed="false">
      <c r="A102" s="4"/>
      <c r="B102" s="5"/>
      <c r="C102" s="5"/>
      <c r="D102" s="5"/>
      <c r="E102" s="6"/>
      <c r="F102" s="7"/>
      <c r="G102" s="8"/>
      <c r="H102" s="7"/>
      <c r="I102" s="7"/>
      <c r="J102" s="6"/>
      <c r="K102" s="9" t="str">
        <f aca="false">IF(OR($J102="",$J102=0),"",$I102/$J102)</f>
        <v/>
      </c>
      <c r="L102" s="9" t="str">
        <f aca="false">IF(OR($E102="",$E102=0),"",$H102/$E102)</f>
        <v/>
      </c>
      <c r="M102" s="10" t="str">
        <f aca="false">IF(OR($L102="",$L102=0),"",($I102/30)/$L102)</f>
        <v/>
      </c>
      <c r="N102" s="8"/>
      <c r="O102" s="11" t="str">
        <f aca="false">IF(OR($I102="",$N102=""),"",($I102/1000)*$N102)</f>
        <v/>
      </c>
      <c r="P102" s="12" t="str">
        <f aca="false">IF($C102="","",IFERROR(ROUND(MIN(25,($N102/Instellingen!$B$3)*25)+MIN(25,($I102/Instellingen!$B$4)*25)+MIN(25,($J102/Instellingen!$B$5)*25)+MIN(25,(IF($M102="",0,$M102)/Instellingen!$B$6)*25),0),""))</f>
        <v/>
      </c>
      <c r="Q102" s="13" t="str">
        <f aca="false">IF($P102="","",IF($P102&gt;=Instellingen!$B$7,"Sterke niche",IF($P102&gt;=Instellingen!$B$8,"Belofte - opvolgen",IF($P102&gt;=Instellingen!$B$9,"Zwak - twijfel","Vermijden"))))</f>
        <v/>
      </c>
      <c r="R102" s="5"/>
      <c r="T102" s="1" t="str">
        <f aca="false">IF($C102="","",IF($P102=_xlfn.MAXIFS($P$3:$P$1000,$B$3:$B$1000,$B102),"★ Cash cow – handmatig onderzoeken",""))</f>
        <v/>
      </c>
    </row>
    <row r="103" customFormat="false" ht="14.25" hidden="false" customHeight="true" outlineLevel="0" collapsed="false">
      <c r="A103" s="4"/>
      <c r="B103" s="5"/>
      <c r="C103" s="5"/>
      <c r="D103" s="5"/>
      <c r="E103" s="6"/>
      <c r="F103" s="7"/>
      <c r="G103" s="8"/>
      <c r="H103" s="7"/>
      <c r="I103" s="7"/>
      <c r="J103" s="6"/>
      <c r="K103" s="9" t="str">
        <f aca="false">IF(OR($J103="",$J103=0),"",$I103/$J103)</f>
        <v/>
      </c>
      <c r="L103" s="9" t="str">
        <f aca="false">IF(OR($E103="",$E103=0),"",$H103/$E103)</f>
        <v/>
      </c>
      <c r="M103" s="10" t="str">
        <f aca="false">IF(OR($L103="",$L103=0),"",($I103/30)/$L103)</f>
        <v/>
      </c>
      <c r="N103" s="8"/>
      <c r="O103" s="11" t="str">
        <f aca="false">IF(OR($I103="",$N103=""),"",($I103/1000)*$N103)</f>
        <v/>
      </c>
      <c r="P103" s="12" t="str">
        <f aca="false">IF($C103="","",IFERROR(ROUND(MIN(25,($N103/Instellingen!$B$3)*25)+MIN(25,($I103/Instellingen!$B$4)*25)+MIN(25,($J103/Instellingen!$B$5)*25)+MIN(25,(IF($M103="",0,$M103)/Instellingen!$B$6)*25),0),""))</f>
        <v/>
      </c>
      <c r="Q103" s="13" t="str">
        <f aca="false">IF($P103="","",IF($P103&gt;=Instellingen!$B$7,"Sterke niche",IF($P103&gt;=Instellingen!$B$8,"Belofte - opvolgen",IF($P103&gt;=Instellingen!$B$9,"Zwak - twijfel","Vermijden"))))</f>
        <v/>
      </c>
      <c r="R103" s="5"/>
      <c r="T103" s="1" t="str">
        <f aca="false">IF($C103="","",IF($P103=_xlfn.MAXIFS($P$3:$P$1000,$B$3:$B$1000,$B103),"★ Cash cow – handmatig onderzoeken",""))</f>
        <v/>
      </c>
    </row>
    <row r="104" customFormat="false" ht="14.25" hidden="false" customHeight="true" outlineLevel="0" collapsed="false">
      <c r="A104" s="4"/>
      <c r="B104" s="5"/>
      <c r="C104" s="5"/>
      <c r="D104" s="5"/>
      <c r="E104" s="6"/>
      <c r="F104" s="7"/>
      <c r="G104" s="8"/>
      <c r="H104" s="7"/>
      <c r="I104" s="7"/>
      <c r="J104" s="6"/>
      <c r="K104" s="9" t="str">
        <f aca="false">IF(OR($J104="",$J104=0),"",$I104/$J104)</f>
        <v/>
      </c>
      <c r="L104" s="9" t="str">
        <f aca="false">IF(OR($E104="",$E104=0),"",$H104/$E104)</f>
        <v/>
      </c>
      <c r="M104" s="10" t="str">
        <f aca="false">IF(OR($L104="",$L104=0),"",($I104/30)/$L104)</f>
        <v/>
      </c>
      <c r="N104" s="8"/>
      <c r="O104" s="11" t="str">
        <f aca="false">IF(OR($I104="",$N104=""),"",($I104/1000)*$N104)</f>
        <v/>
      </c>
      <c r="P104" s="12" t="str">
        <f aca="false">IF($C104="","",IFERROR(ROUND(MIN(25,($N104/Instellingen!$B$3)*25)+MIN(25,($I104/Instellingen!$B$4)*25)+MIN(25,($J104/Instellingen!$B$5)*25)+MIN(25,(IF($M104="",0,$M104)/Instellingen!$B$6)*25),0),""))</f>
        <v/>
      </c>
      <c r="Q104" s="13" t="str">
        <f aca="false">IF($P104="","",IF($P104&gt;=Instellingen!$B$7,"Sterke niche",IF($P104&gt;=Instellingen!$B$8,"Belofte - opvolgen",IF($P104&gt;=Instellingen!$B$9,"Zwak - twijfel","Vermijden"))))</f>
        <v/>
      </c>
      <c r="R104" s="5"/>
      <c r="T104" s="1" t="str">
        <f aca="false">IF($C104="","",IF($P104=_xlfn.MAXIFS($P$3:$P$1000,$B$3:$B$1000,$B104),"★ Cash cow – handmatig onderzoeken",""))</f>
        <v/>
      </c>
    </row>
    <row r="105" customFormat="false" ht="14.25" hidden="false" customHeight="true" outlineLevel="0" collapsed="false">
      <c r="A105" s="4"/>
      <c r="B105" s="5"/>
      <c r="C105" s="5"/>
      <c r="D105" s="5"/>
      <c r="E105" s="6"/>
      <c r="F105" s="7"/>
      <c r="G105" s="8"/>
      <c r="H105" s="7"/>
      <c r="I105" s="7"/>
      <c r="J105" s="6"/>
      <c r="K105" s="9" t="str">
        <f aca="false">IF(OR($J105="",$J105=0),"",$I105/$J105)</f>
        <v/>
      </c>
      <c r="L105" s="9" t="str">
        <f aca="false">IF(OR($E105="",$E105=0),"",$H105/$E105)</f>
        <v/>
      </c>
      <c r="M105" s="10" t="str">
        <f aca="false">IF(OR($L105="",$L105=0),"",($I105/30)/$L105)</f>
        <v/>
      </c>
      <c r="N105" s="8"/>
      <c r="O105" s="11" t="str">
        <f aca="false">IF(OR($I105="",$N105=""),"",($I105/1000)*$N105)</f>
        <v/>
      </c>
      <c r="P105" s="12" t="str">
        <f aca="false">IF($C105="","",IFERROR(ROUND(MIN(25,($N105/Instellingen!$B$3)*25)+MIN(25,($I105/Instellingen!$B$4)*25)+MIN(25,($J105/Instellingen!$B$5)*25)+MIN(25,(IF($M105="",0,$M105)/Instellingen!$B$6)*25),0),""))</f>
        <v/>
      </c>
      <c r="Q105" s="13" t="str">
        <f aca="false">IF($P105="","",IF($P105&gt;=Instellingen!$B$7,"Sterke niche",IF($P105&gt;=Instellingen!$B$8,"Belofte - opvolgen",IF($P105&gt;=Instellingen!$B$9,"Zwak - twijfel","Vermijden"))))</f>
        <v/>
      </c>
      <c r="R105" s="5"/>
      <c r="T105" s="1" t="str">
        <f aca="false">IF($C105="","",IF($P105=_xlfn.MAXIFS($P$3:$P$1000,$B$3:$B$1000,$B105),"★ Cash cow – handmatig onderzoeken",""))</f>
        <v/>
      </c>
    </row>
    <row r="106" customFormat="false" ht="14.25" hidden="false" customHeight="true" outlineLevel="0" collapsed="false">
      <c r="A106" s="4"/>
      <c r="B106" s="5"/>
      <c r="C106" s="5"/>
      <c r="D106" s="5"/>
      <c r="E106" s="6"/>
      <c r="F106" s="7"/>
      <c r="G106" s="8"/>
      <c r="H106" s="7"/>
      <c r="I106" s="7"/>
      <c r="J106" s="6"/>
      <c r="K106" s="9" t="str">
        <f aca="false">IF(OR($J106="",$J106=0),"",$I106/$J106)</f>
        <v/>
      </c>
      <c r="L106" s="9" t="str">
        <f aca="false">IF(OR($E106="",$E106=0),"",$H106/$E106)</f>
        <v/>
      </c>
      <c r="M106" s="10" t="str">
        <f aca="false">IF(OR($L106="",$L106=0),"",($I106/30)/$L106)</f>
        <v/>
      </c>
      <c r="N106" s="8"/>
      <c r="O106" s="11" t="str">
        <f aca="false">IF(OR($I106="",$N106=""),"",($I106/1000)*$N106)</f>
        <v/>
      </c>
      <c r="P106" s="12" t="str">
        <f aca="false">IF($C106="","",IFERROR(ROUND(MIN(25,($N106/Instellingen!$B$3)*25)+MIN(25,($I106/Instellingen!$B$4)*25)+MIN(25,($J106/Instellingen!$B$5)*25)+MIN(25,(IF($M106="",0,$M106)/Instellingen!$B$6)*25),0),""))</f>
        <v/>
      </c>
      <c r="Q106" s="13" t="str">
        <f aca="false">IF($P106="","",IF($P106&gt;=Instellingen!$B$7,"Sterke niche",IF($P106&gt;=Instellingen!$B$8,"Belofte - opvolgen",IF($P106&gt;=Instellingen!$B$9,"Zwak - twijfel","Vermijden"))))</f>
        <v/>
      </c>
      <c r="R106" s="5"/>
      <c r="T106" s="1" t="str">
        <f aca="false">IF($C106="","",IF($P106=_xlfn.MAXIFS($P$3:$P$1000,$B$3:$B$1000,$B106),"★ Cash cow – handmatig onderzoeken",""))</f>
        <v/>
      </c>
    </row>
    <row r="107" customFormat="false" ht="14.25" hidden="false" customHeight="true" outlineLevel="0" collapsed="false">
      <c r="A107" s="4"/>
      <c r="B107" s="5"/>
      <c r="C107" s="5"/>
      <c r="D107" s="5"/>
      <c r="E107" s="6"/>
      <c r="F107" s="7"/>
      <c r="G107" s="8"/>
      <c r="H107" s="7"/>
      <c r="I107" s="7"/>
      <c r="J107" s="6"/>
      <c r="K107" s="9" t="str">
        <f aca="false">IF(OR($J107="",$J107=0),"",$I107/$J107)</f>
        <v/>
      </c>
      <c r="L107" s="9" t="str">
        <f aca="false">IF(OR($E107="",$E107=0),"",$H107/$E107)</f>
        <v/>
      </c>
      <c r="M107" s="10" t="str">
        <f aca="false">IF(OR($L107="",$L107=0),"",($I107/30)/$L107)</f>
        <v/>
      </c>
      <c r="N107" s="8"/>
      <c r="O107" s="11" t="str">
        <f aca="false">IF(OR($I107="",$N107=""),"",($I107/1000)*$N107)</f>
        <v/>
      </c>
      <c r="P107" s="12" t="str">
        <f aca="false">IF($C107="","",IFERROR(ROUND(MIN(25,($N107/Instellingen!$B$3)*25)+MIN(25,($I107/Instellingen!$B$4)*25)+MIN(25,($J107/Instellingen!$B$5)*25)+MIN(25,(IF($M107="",0,$M107)/Instellingen!$B$6)*25),0),""))</f>
        <v/>
      </c>
      <c r="Q107" s="13" t="str">
        <f aca="false">IF($P107="","",IF($P107&gt;=Instellingen!$B$7,"Sterke niche",IF($P107&gt;=Instellingen!$B$8,"Belofte - opvolgen",IF($P107&gt;=Instellingen!$B$9,"Zwak - twijfel","Vermijden"))))</f>
        <v/>
      </c>
      <c r="R107" s="5"/>
      <c r="T107" s="1" t="str">
        <f aca="false">IF($C107="","",IF($P107=_xlfn.MAXIFS($P$3:$P$1000,$B$3:$B$1000,$B107),"★ Cash cow – handmatig onderzoeken",""))</f>
        <v/>
      </c>
    </row>
    <row r="108" customFormat="false" ht="14.25" hidden="false" customHeight="true" outlineLevel="0" collapsed="false">
      <c r="A108" s="4"/>
      <c r="B108" s="5"/>
      <c r="C108" s="5"/>
      <c r="D108" s="5"/>
      <c r="E108" s="6"/>
      <c r="F108" s="7"/>
      <c r="G108" s="8"/>
      <c r="H108" s="7"/>
      <c r="I108" s="7"/>
      <c r="J108" s="6"/>
      <c r="K108" s="9" t="str">
        <f aca="false">IF(OR($J108="",$J108=0),"",$I108/$J108)</f>
        <v/>
      </c>
      <c r="L108" s="9" t="str">
        <f aca="false">IF(OR($E108="",$E108=0),"",$H108/$E108)</f>
        <v/>
      </c>
      <c r="M108" s="10" t="str">
        <f aca="false">IF(OR($L108="",$L108=0),"",($I108/30)/$L108)</f>
        <v/>
      </c>
      <c r="N108" s="8"/>
      <c r="O108" s="11" t="str">
        <f aca="false">IF(OR($I108="",$N108=""),"",($I108/1000)*$N108)</f>
        <v/>
      </c>
      <c r="P108" s="12" t="str">
        <f aca="false">IF($C108="","",IFERROR(ROUND(MIN(25,($N108/Instellingen!$B$3)*25)+MIN(25,($I108/Instellingen!$B$4)*25)+MIN(25,($J108/Instellingen!$B$5)*25)+MIN(25,(IF($M108="",0,$M108)/Instellingen!$B$6)*25),0),""))</f>
        <v/>
      </c>
      <c r="Q108" s="13" t="str">
        <f aca="false">IF($P108="","",IF($P108&gt;=Instellingen!$B$7,"Sterke niche",IF($P108&gt;=Instellingen!$B$8,"Belofte - opvolgen",IF($P108&gt;=Instellingen!$B$9,"Zwak - twijfel","Vermijden"))))</f>
        <v/>
      </c>
      <c r="R108" s="5"/>
      <c r="T108" s="1" t="str">
        <f aca="false">IF($C108="","",IF($P108=_xlfn.MAXIFS($P$3:$P$1000,$B$3:$B$1000,$B108),"★ Cash cow – handmatig onderzoeken",""))</f>
        <v/>
      </c>
    </row>
    <row r="109" customFormat="false" ht="14.25" hidden="false" customHeight="true" outlineLevel="0" collapsed="false">
      <c r="A109" s="4"/>
      <c r="B109" s="5"/>
      <c r="C109" s="5"/>
      <c r="D109" s="5"/>
      <c r="E109" s="6"/>
      <c r="F109" s="7"/>
      <c r="G109" s="8"/>
      <c r="H109" s="7"/>
      <c r="I109" s="7"/>
      <c r="J109" s="6"/>
      <c r="K109" s="9" t="str">
        <f aca="false">IF(OR($J109="",$J109=0),"",$I109/$J109)</f>
        <v/>
      </c>
      <c r="L109" s="9" t="str">
        <f aca="false">IF(OR($E109="",$E109=0),"",$H109/$E109)</f>
        <v/>
      </c>
      <c r="M109" s="10" t="str">
        <f aca="false">IF(OR($L109="",$L109=0),"",($I109/30)/$L109)</f>
        <v/>
      </c>
      <c r="N109" s="8"/>
      <c r="O109" s="11" t="str">
        <f aca="false">IF(OR($I109="",$N109=""),"",($I109/1000)*$N109)</f>
        <v/>
      </c>
      <c r="P109" s="12" t="str">
        <f aca="false">IF($C109="","",IFERROR(ROUND(MIN(25,($N109/Instellingen!$B$3)*25)+MIN(25,($I109/Instellingen!$B$4)*25)+MIN(25,($J109/Instellingen!$B$5)*25)+MIN(25,(IF($M109="",0,$M109)/Instellingen!$B$6)*25),0),""))</f>
        <v/>
      </c>
      <c r="Q109" s="13" t="str">
        <f aca="false">IF($P109="","",IF($P109&gt;=Instellingen!$B$7,"Sterke niche",IF($P109&gt;=Instellingen!$B$8,"Belofte - opvolgen",IF($P109&gt;=Instellingen!$B$9,"Zwak - twijfel","Vermijden"))))</f>
        <v/>
      </c>
      <c r="R109" s="5"/>
      <c r="T109" s="1" t="str">
        <f aca="false">IF($C109="","",IF($P109=_xlfn.MAXIFS($P$3:$P$1000,$B$3:$B$1000,$B109),"★ Cash cow – handmatig onderzoeken",""))</f>
        <v/>
      </c>
    </row>
    <row r="110" customFormat="false" ht="14.25" hidden="false" customHeight="true" outlineLevel="0" collapsed="false">
      <c r="A110" s="4"/>
      <c r="B110" s="5"/>
      <c r="C110" s="5"/>
      <c r="D110" s="5"/>
      <c r="E110" s="6"/>
      <c r="F110" s="7"/>
      <c r="G110" s="8"/>
      <c r="H110" s="7"/>
      <c r="I110" s="7"/>
      <c r="J110" s="6"/>
      <c r="K110" s="9" t="str">
        <f aca="false">IF(OR($J110="",$J110=0),"",$I110/$J110)</f>
        <v/>
      </c>
      <c r="L110" s="9" t="str">
        <f aca="false">IF(OR($E110="",$E110=0),"",$H110/$E110)</f>
        <v/>
      </c>
      <c r="M110" s="10" t="str">
        <f aca="false">IF(OR($L110="",$L110=0),"",($I110/30)/$L110)</f>
        <v/>
      </c>
      <c r="N110" s="8"/>
      <c r="O110" s="11" t="str">
        <f aca="false">IF(OR($I110="",$N110=""),"",($I110/1000)*$N110)</f>
        <v/>
      </c>
      <c r="P110" s="12" t="str">
        <f aca="false">IF($C110="","",IFERROR(ROUND(MIN(25,($N110/Instellingen!$B$3)*25)+MIN(25,($I110/Instellingen!$B$4)*25)+MIN(25,($J110/Instellingen!$B$5)*25)+MIN(25,(IF($M110="",0,$M110)/Instellingen!$B$6)*25),0),""))</f>
        <v/>
      </c>
      <c r="Q110" s="13" t="str">
        <f aca="false">IF($P110="","",IF($P110&gt;=Instellingen!$B$7,"Sterke niche",IF($P110&gt;=Instellingen!$B$8,"Belofte - opvolgen",IF($P110&gt;=Instellingen!$B$9,"Zwak - twijfel","Vermijden"))))</f>
        <v/>
      </c>
      <c r="R110" s="5"/>
      <c r="T110" s="1" t="str">
        <f aca="false">IF($C110="","",IF($P110=_xlfn.MAXIFS($P$3:$P$1000,$B$3:$B$1000,$B110),"★ Cash cow – handmatig onderzoeken",""))</f>
        <v/>
      </c>
    </row>
    <row r="111" customFormat="false" ht="14.25" hidden="false" customHeight="true" outlineLevel="0" collapsed="false">
      <c r="A111" s="4"/>
      <c r="B111" s="5"/>
      <c r="C111" s="5"/>
      <c r="D111" s="5"/>
      <c r="E111" s="6"/>
      <c r="F111" s="7"/>
      <c r="G111" s="8"/>
      <c r="H111" s="7"/>
      <c r="I111" s="7"/>
      <c r="J111" s="6"/>
      <c r="K111" s="9" t="str">
        <f aca="false">IF(OR($J111="",$J111=0),"",$I111/$J111)</f>
        <v/>
      </c>
      <c r="L111" s="9" t="str">
        <f aca="false">IF(OR($E111="",$E111=0),"",$H111/$E111)</f>
        <v/>
      </c>
      <c r="M111" s="10" t="str">
        <f aca="false">IF(OR($L111="",$L111=0),"",($I111/30)/$L111)</f>
        <v/>
      </c>
      <c r="N111" s="8"/>
      <c r="O111" s="11" t="str">
        <f aca="false">IF(OR($I111="",$N111=""),"",($I111/1000)*$N111)</f>
        <v/>
      </c>
      <c r="P111" s="12" t="str">
        <f aca="false">IF($C111="","",IFERROR(ROUND(MIN(25,($N111/Instellingen!$B$3)*25)+MIN(25,($I111/Instellingen!$B$4)*25)+MIN(25,($J111/Instellingen!$B$5)*25)+MIN(25,(IF($M111="",0,$M111)/Instellingen!$B$6)*25),0),""))</f>
        <v/>
      </c>
      <c r="Q111" s="13" t="str">
        <f aca="false">IF($P111="","",IF($P111&gt;=Instellingen!$B$7,"Sterke niche",IF($P111&gt;=Instellingen!$B$8,"Belofte - opvolgen",IF($P111&gt;=Instellingen!$B$9,"Zwak - twijfel","Vermijden"))))</f>
        <v/>
      </c>
      <c r="R111" s="5"/>
      <c r="T111" s="1" t="str">
        <f aca="false">IF($C111="","",IF($P111=_xlfn.MAXIFS($P$3:$P$1000,$B$3:$B$1000,$B111),"★ Cash cow – handmatig onderzoeken",""))</f>
        <v/>
      </c>
    </row>
    <row r="112" customFormat="false" ht="14.25" hidden="false" customHeight="true" outlineLevel="0" collapsed="false">
      <c r="A112" s="4"/>
      <c r="B112" s="5"/>
      <c r="C112" s="5"/>
      <c r="D112" s="5"/>
      <c r="E112" s="6"/>
      <c r="F112" s="7"/>
      <c r="G112" s="8"/>
      <c r="H112" s="7"/>
      <c r="I112" s="7"/>
      <c r="J112" s="6"/>
      <c r="K112" s="9" t="str">
        <f aca="false">IF(OR($J112="",$J112=0),"",$I112/$J112)</f>
        <v/>
      </c>
      <c r="L112" s="9" t="str">
        <f aca="false">IF(OR($E112="",$E112=0),"",$H112/$E112)</f>
        <v/>
      </c>
      <c r="M112" s="10" t="str">
        <f aca="false">IF(OR($L112="",$L112=0),"",($I112/30)/$L112)</f>
        <v/>
      </c>
      <c r="N112" s="8"/>
      <c r="O112" s="11" t="str">
        <f aca="false">IF(OR($I112="",$N112=""),"",($I112/1000)*$N112)</f>
        <v/>
      </c>
      <c r="P112" s="12" t="str">
        <f aca="false">IF($C112="","",IFERROR(ROUND(MIN(25,($N112/Instellingen!$B$3)*25)+MIN(25,($I112/Instellingen!$B$4)*25)+MIN(25,($J112/Instellingen!$B$5)*25)+MIN(25,(IF($M112="",0,$M112)/Instellingen!$B$6)*25),0),""))</f>
        <v/>
      </c>
      <c r="Q112" s="13" t="str">
        <f aca="false">IF($P112="","",IF($P112&gt;=Instellingen!$B$7,"Sterke niche",IF($P112&gt;=Instellingen!$B$8,"Belofte - opvolgen",IF($P112&gt;=Instellingen!$B$9,"Zwak - twijfel","Vermijden"))))</f>
        <v/>
      </c>
      <c r="R112" s="5"/>
      <c r="T112" s="1" t="str">
        <f aca="false">IF($C112="","",IF($P112=_xlfn.MAXIFS($P$3:$P$1000,$B$3:$B$1000,$B112),"★ Cash cow – handmatig onderzoeken",""))</f>
        <v/>
      </c>
    </row>
    <row r="113" customFormat="false" ht="14.25" hidden="false" customHeight="true" outlineLevel="0" collapsed="false">
      <c r="A113" s="4"/>
      <c r="B113" s="5"/>
      <c r="C113" s="5"/>
      <c r="D113" s="5"/>
      <c r="E113" s="6"/>
      <c r="F113" s="7"/>
      <c r="G113" s="8"/>
      <c r="H113" s="7"/>
      <c r="I113" s="7"/>
      <c r="J113" s="6"/>
      <c r="K113" s="9" t="str">
        <f aca="false">IF(OR($J113="",$J113=0),"",$I113/$J113)</f>
        <v/>
      </c>
      <c r="L113" s="9" t="str">
        <f aca="false">IF(OR($E113="",$E113=0),"",$H113/$E113)</f>
        <v/>
      </c>
      <c r="M113" s="10" t="str">
        <f aca="false">IF(OR($L113="",$L113=0),"",($I113/30)/$L113)</f>
        <v/>
      </c>
      <c r="N113" s="8"/>
      <c r="O113" s="11" t="str">
        <f aca="false">IF(OR($I113="",$N113=""),"",($I113/1000)*$N113)</f>
        <v/>
      </c>
      <c r="P113" s="12" t="str">
        <f aca="false">IF($C113="","",IFERROR(ROUND(MIN(25,($N113/Instellingen!$B$3)*25)+MIN(25,($I113/Instellingen!$B$4)*25)+MIN(25,($J113/Instellingen!$B$5)*25)+MIN(25,(IF($M113="",0,$M113)/Instellingen!$B$6)*25),0),""))</f>
        <v/>
      </c>
      <c r="Q113" s="13" t="str">
        <f aca="false">IF($P113="","",IF($P113&gt;=Instellingen!$B$7,"Sterke niche",IF($P113&gt;=Instellingen!$B$8,"Belofte - opvolgen",IF($P113&gt;=Instellingen!$B$9,"Zwak - twijfel","Vermijden"))))</f>
        <v/>
      </c>
      <c r="R113" s="5"/>
      <c r="T113" s="1" t="str">
        <f aca="false">IF($C113="","",IF($P113=_xlfn.MAXIFS($P$3:$P$1000,$B$3:$B$1000,$B113),"★ Cash cow – handmatig onderzoeken",""))</f>
        <v/>
      </c>
    </row>
    <row r="114" customFormat="false" ht="14.25" hidden="false" customHeight="true" outlineLevel="0" collapsed="false">
      <c r="A114" s="4"/>
      <c r="B114" s="5"/>
      <c r="C114" s="5"/>
      <c r="D114" s="5"/>
      <c r="E114" s="6"/>
      <c r="F114" s="7"/>
      <c r="G114" s="8"/>
      <c r="H114" s="7"/>
      <c r="I114" s="7"/>
      <c r="J114" s="6"/>
      <c r="K114" s="9" t="str">
        <f aca="false">IF(OR($J114="",$J114=0),"",$I114/$J114)</f>
        <v/>
      </c>
      <c r="L114" s="9" t="str">
        <f aca="false">IF(OR($E114="",$E114=0),"",$H114/$E114)</f>
        <v/>
      </c>
      <c r="M114" s="10" t="str">
        <f aca="false">IF(OR($L114="",$L114=0),"",($I114/30)/$L114)</f>
        <v/>
      </c>
      <c r="N114" s="8"/>
      <c r="O114" s="11" t="str">
        <f aca="false">IF(OR($I114="",$N114=""),"",($I114/1000)*$N114)</f>
        <v/>
      </c>
      <c r="P114" s="12" t="str">
        <f aca="false">IF($C114="","",IFERROR(ROUND(MIN(25,($N114/Instellingen!$B$3)*25)+MIN(25,($I114/Instellingen!$B$4)*25)+MIN(25,($J114/Instellingen!$B$5)*25)+MIN(25,(IF($M114="",0,$M114)/Instellingen!$B$6)*25),0),""))</f>
        <v/>
      </c>
      <c r="Q114" s="13" t="str">
        <f aca="false">IF($P114="","",IF($P114&gt;=Instellingen!$B$7,"Sterke niche",IF($P114&gt;=Instellingen!$B$8,"Belofte - opvolgen",IF($P114&gt;=Instellingen!$B$9,"Zwak - twijfel","Vermijden"))))</f>
        <v/>
      </c>
      <c r="R114" s="5"/>
      <c r="T114" s="1" t="str">
        <f aca="false">IF($C114="","",IF($P114=_xlfn.MAXIFS($P$3:$P$1000,$B$3:$B$1000,$B114),"★ Cash cow – handmatig onderzoeken",""))</f>
        <v/>
      </c>
    </row>
    <row r="115" customFormat="false" ht="14.25" hidden="false" customHeight="true" outlineLevel="0" collapsed="false">
      <c r="A115" s="4"/>
      <c r="B115" s="5"/>
      <c r="C115" s="5"/>
      <c r="D115" s="5"/>
      <c r="E115" s="6"/>
      <c r="F115" s="7"/>
      <c r="G115" s="8"/>
      <c r="H115" s="7"/>
      <c r="I115" s="7"/>
      <c r="J115" s="6"/>
      <c r="K115" s="9" t="str">
        <f aca="false">IF(OR($J115="",$J115=0),"",$I115/$J115)</f>
        <v/>
      </c>
      <c r="L115" s="9" t="str">
        <f aca="false">IF(OR($E115="",$E115=0),"",$H115/$E115)</f>
        <v/>
      </c>
      <c r="M115" s="10" t="str">
        <f aca="false">IF(OR($L115="",$L115=0),"",($I115/30)/$L115)</f>
        <v/>
      </c>
      <c r="N115" s="8"/>
      <c r="O115" s="11" t="str">
        <f aca="false">IF(OR($I115="",$N115=""),"",($I115/1000)*$N115)</f>
        <v/>
      </c>
      <c r="P115" s="12" t="str">
        <f aca="false">IF($C115="","",IFERROR(ROUND(MIN(25,($N115/Instellingen!$B$3)*25)+MIN(25,($I115/Instellingen!$B$4)*25)+MIN(25,($J115/Instellingen!$B$5)*25)+MIN(25,(IF($M115="",0,$M115)/Instellingen!$B$6)*25),0),""))</f>
        <v/>
      </c>
      <c r="Q115" s="13" t="str">
        <f aca="false">IF($P115="","",IF($P115&gt;=Instellingen!$B$7,"Sterke niche",IF($P115&gt;=Instellingen!$B$8,"Belofte - opvolgen",IF($P115&gt;=Instellingen!$B$9,"Zwak - twijfel","Vermijden"))))</f>
        <v/>
      </c>
      <c r="R115" s="5"/>
      <c r="T115" s="1" t="str">
        <f aca="false">IF($C115="","",IF($P115=_xlfn.MAXIFS($P$3:$P$1000,$B$3:$B$1000,$B115),"★ Cash cow – handmatig onderzoeken",""))</f>
        <v/>
      </c>
    </row>
    <row r="116" customFormat="false" ht="14.25" hidden="false" customHeight="true" outlineLevel="0" collapsed="false">
      <c r="A116" s="4"/>
      <c r="B116" s="5"/>
      <c r="C116" s="5"/>
      <c r="D116" s="5"/>
      <c r="E116" s="6"/>
      <c r="F116" s="7"/>
      <c r="G116" s="8"/>
      <c r="H116" s="7"/>
      <c r="I116" s="7"/>
      <c r="J116" s="6"/>
      <c r="K116" s="9" t="str">
        <f aca="false">IF(OR($J116="",$J116=0),"",$I116/$J116)</f>
        <v/>
      </c>
      <c r="L116" s="9" t="str">
        <f aca="false">IF(OR($E116="",$E116=0),"",$H116/$E116)</f>
        <v/>
      </c>
      <c r="M116" s="10" t="str">
        <f aca="false">IF(OR($L116="",$L116=0),"",($I116/30)/$L116)</f>
        <v/>
      </c>
      <c r="N116" s="8"/>
      <c r="O116" s="11" t="str">
        <f aca="false">IF(OR($I116="",$N116=""),"",($I116/1000)*$N116)</f>
        <v/>
      </c>
      <c r="P116" s="12" t="str">
        <f aca="false">IF($C116="","",IFERROR(ROUND(MIN(25,($N116/Instellingen!$B$3)*25)+MIN(25,($I116/Instellingen!$B$4)*25)+MIN(25,($J116/Instellingen!$B$5)*25)+MIN(25,(IF($M116="",0,$M116)/Instellingen!$B$6)*25),0),""))</f>
        <v/>
      </c>
      <c r="Q116" s="13" t="str">
        <f aca="false">IF($P116="","",IF($P116&gt;=Instellingen!$B$7,"Sterke niche",IF($P116&gt;=Instellingen!$B$8,"Belofte - opvolgen",IF($P116&gt;=Instellingen!$B$9,"Zwak - twijfel","Vermijden"))))</f>
        <v/>
      </c>
      <c r="R116" s="5"/>
      <c r="T116" s="1" t="str">
        <f aca="false">IF($C116="","",IF($P116=_xlfn.MAXIFS($P$3:$P$1000,$B$3:$B$1000,$B116),"★ Cash cow – handmatig onderzoeken",""))</f>
        <v/>
      </c>
    </row>
    <row r="117" customFormat="false" ht="14.25" hidden="false" customHeight="true" outlineLevel="0" collapsed="false">
      <c r="A117" s="4"/>
      <c r="B117" s="5"/>
      <c r="C117" s="5"/>
      <c r="D117" s="5"/>
      <c r="E117" s="6"/>
      <c r="F117" s="7"/>
      <c r="G117" s="8"/>
      <c r="H117" s="7"/>
      <c r="I117" s="7"/>
      <c r="J117" s="6"/>
      <c r="K117" s="9" t="str">
        <f aca="false">IF(OR($J117="",$J117=0),"",$I117/$J117)</f>
        <v/>
      </c>
      <c r="L117" s="9" t="str">
        <f aca="false">IF(OR($E117="",$E117=0),"",$H117/$E117)</f>
        <v/>
      </c>
      <c r="M117" s="10" t="str">
        <f aca="false">IF(OR($L117="",$L117=0),"",($I117/30)/$L117)</f>
        <v/>
      </c>
      <c r="N117" s="8"/>
      <c r="O117" s="11" t="str">
        <f aca="false">IF(OR($I117="",$N117=""),"",($I117/1000)*$N117)</f>
        <v/>
      </c>
      <c r="P117" s="12" t="str">
        <f aca="false">IF($C117="","",IFERROR(ROUND(MIN(25,($N117/Instellingen!$B$3)*25)+MIN(25,($I117/Instellingen!$B$4)*25)+MIN(25,($J117/Instellingen!$B$5)*25)+MIN(25,(IF($M117="",0,$M117)/Instellingen!$B$6)*25),0),""))</f>
        <v/>
      </c>
      <c r="Q117" s="13" t="str">
        <f aca="false">IF($P117="","",IF($P117&gt;=Instellingen!$B$7,"Sterke niche",IF($P117&gt;=Instellingen!$B$8,"Belofte - opvolgen",IF($P117&gt;=Instellingen!$B$9,"Zwak - twijfel","Vermijden"))))</f>
        <v/>
      </c>
      <c r="R117" s="5"/>
      <c r="T117" s="1" t="str">
        <f aca="false">IF($C117="","",IF($P117=_xlfn.MAXIFS($P$3:$P$1000,$B$3:$B$1000,$B117),"★ Cash cow – handmatig onderzoeken",""))</f>
        <v/>
      </c>
    </row>
    <row r="118" customFormat="false" ht="14.25" hidden="false" customHeight="true" outlineLevel="0" collapsed="false">
      <c r="A118" s="4"/>
      <c r="B118" s="5"/>
      <c r="C118" s="5"/>
      <c r="D118" s="5"/>
      <c r="E118" s="6"/>
      <c r="F118" s="7"/>
      <c r="G118" s="8"/>
      <c r="H118" s="7"/>
      <c r="I118" s="7"/>
      <c r="J118" s="6"/>
      <c r="K118" s="9" t="str">
        <f aca="false">IF(OR($J118="",$J118=0),"",$I118/$J118)</f>
        <v/>
      </c>
      <c r="L118" s="9" t="str">
        <f aca="false">IF(OR($E118="",$E118=0),"",$H118/$E118)</f>
        <v/>
      </c>
      <c r="M118" s="10" t="str">
        <f aca="false">IF(OR($L118="",$L118=0),"",($I118/30)/$L118)</f>
        <v/>
      </c>
      <c r="N118" s="8"/>
      <c r="O118" s="11" t="str">
        <f aca="false">IF(OR($I118="",$N118=""),"",($I118/1000)*$N118)</f>
        <v/>
      </c>
      <c r="P118" s="12" t="str">
        <f aca="false">IF($C118="","",IFERROR(ROUND(MIN(25,($N118/Instellingen!$B$3)*25)+MIN(25,($I118/Instellingen!$B$4)*25)+MIN(25,($J118/Instellingen!$B$5)*25)+MIN(25,(IF($M118="",0,$M118)/Instellingen!$B$6)*25),0),""))</f>
        <v/>
      </c>
      <c r="Q118" s="13" t="str">
        <f aca="false">IF($P118="","",IF($P118&gt;=Instellingen!$B$7,"Sterke niche",IF($P118&gt;=Instellingen!$B$8,"Belofte - opvolgen",IF($P118&gt;=Instellingen!$B$9,"Zwak - twijfel","Vermijden"))))</f>
        <v/>
      </c>
      <c r="R118" s="5"/>
      <c r="T118" s="1" t="str">
        <f aca="false">IF($C118="","",IF($P118=_xlfn.MAXIFS($P$3:$P$1000,$B$3:$B$1000,$B118),"★ Cash cow – handmatig onderzoeken",""))</f>
        <v/>
      </c>
    </row>
    <row r="119" customFormat="false" ht="14.25" hidden="false" customHeight="true" outlineLevel="0" collapsed="false">
      <c r="A119" s="4"/>
      <c r="B119" s="5"/>
      <c r="C119" s="5"/>
      <c r="D119" s="5"/>
      <c r="E119" s="6"/>
      <c r="F119" s="7"/>
      <c r="G119" s="8"/>
      <c r="H119" s="7"/>
      <c r="I119" s="7"/>
      <c r="J119" s="6"/>
      <c r="K119" s="9" t="str">
        <f aca="false">IF(OR($J119="",$J119=0),"",$I119/$J119)</f>
        <v/>
      </c>
      <c r="L119" s="9" t="str">
        <f aca="false">IF(OR($E119="",$E119=0),"",$H119/$E119)</f>
        <v/>
      </c>
      <c r="M119" s="10" t="str">
        <f aca="false">IF(OR($L119="",$L119=0),"",($I119/30)/$L119)</f>
        <v/>
      </c>
      <c r="N119" s="8"/>
      <c r="O119" s="11" t="str">
        <f aca="false">IF(OR($I119="",$N119=""),"",($I119/1000)*$N119)</f>
        <v/>
      </c>
      <c r="P119" s="12" t="str">
        <f aca="false">IF($C119="","",IFERROR(ROUND(MIN(25,($N119/Instellingen!$B$3)*25)+MIN(25,($I119/Instellingen!$B$4)*25)+MIN(25,($J119/Instellingen!$B$5)*25)+MIN(25,(IF($M119="",0,$M119)/Instellingen!$B$6)*25),0),""))</f>
        <v/>
      </c>
      <c r="Q119" s="13" t="str">
        <f aca="false">IF($P119="","",IF($P119&gt;=Instellingen!$B$7,"Sterke niche",IF($P119&gt;=Instellingen!$B$8,"Belofte - opvolgen",IF($P119&gt;=Instellingen!$B$9,"Zwak - twijfel","Vermijden"))))</f>
        <v/>
      </c>
      <c r="R119" s="5"/>
      <c r="T119" s="1" t="str">
        <f aca="false">IF($C119="","",IF($P119=_xlfn.MAXIFS($P$3:$P$1000,$B$3:$B$1000,$B119),"★ Cash cow – handmatig onderzoeken",""))</f>
        <v/>
      </c>
    </row>
    <row r="120" customFormat="false" ht="14.25" hidden="false" customHeight="true" outlineLevel="0" collapsed="false">
      <c r="A120" s="4"/>
      <c r="B120" s="5"/>
      <c r="C120" s="5"/>
      <c r="D120" s="5"/>
      <c r="E120" s="6"/>
      <c r="F120" s="7"/>
      <c r="G120" s="8"/>
      <c r="H120" s="7"/>
      <c r="I120" s="7"/>
      <c r="J120" s="6"/>
      <c r="K120" s="9" t="str">
        <f aca="false">IF(OR($J120="",$J120=0),"",$I120/$J120)</f>
        <v/>
      </c>
      <c r="L120" s="9" t="str">
        <f aca="false">IF(OR($E120="",$E120=0),"",$H120/$E120)</f>
        <v/>
      </c>
      <c r="M120" s="10" t="str">
        <f aca="false">IF(OR($L120="",$L120=0),"",($I120/30)/$L120)</f>
        <v/>
      </c>
      <c r="N120" s="8"/>
      <c r="O120" s="11" t="str">
        <f aca="false">IF(OR($I120="",$N120=""),"",($I120/1000)*$N120)</f>
        <v/>
      </c>
      <c r="P120" s="12" t="str">
        <f aca="false">IF($C120="","",IFERROR(ROUND(MIN(25,($N120/Instellingen!$B$3)*25)+MIN(25,($I120/Instellingen!$B$4)*25)+MIN(25,($J120/Instellingen!$B$5)*25)+MIN(25,(IF($M120="",0,$M120)/Instellingen!$B$6)*25),0),""))</f>
        <v/>
      </c>
      <c r="Q120" s="13" t="str">
        <f aca="false">IF($P120="","",IF($P120&gt;=Instellingen!$B$7,"Sterke niche",IF($P120&gt;=Instellingen!$B$8,"Belofte - opvolgen",IF($P120&gt;=Instellingen!$B$9,"Zwak - twijfel","Vermijden"))))</f>
        <v/>
      </c>
      <c r="R120" s="5"/>
      <c r="T120" s="1" t="str">
        <f aca="false">IF($C120="","",IF($P120=_xlfn.MAXIFS($P$3:$P$1000,$B$3:$B$1000,$B120),"★ Cash cow – handmatig onderzoeken",""))</f>
        <v/>
      </c>
    </row>
    <row r="121" customFormat="false" ht="14.25" hidden="false" customHeight="true" outlineLevel="0" collapsed="false">
      <c r="A121" s="4"/>
      <c r="B121" s="5"/>
      <c r="C121" s="5"/>
      <c r="D121" s="5"/>
      <c r="E121" s="6"/>
      <c r="F121" s="7"/>
      <c r="G121" s="8"/>
      <c r="H121" s="7"/>
      <c r="I121" s="7"/>
      <c r="J121" s="6"/>
      <c r="K121" s="9" t="str">
        <f aca="false">IF(OR($J121="",$J121=0),"",$I121/$J121)</f>
        <v/>
      </c>
      <c r="L121" s="9" t="str">
        <f aca="false">IF(OR($E121="",$E121=0),"",$H121/$E121)</f>
        <v/>
      </c>
      <c r="M121" s="10" t="str">
        <f aca="false">IF(OR($L121="",$L121=0),"",($I121/30)/$L121)</f>
        <v/>
      </c>
      <c r="N121" s="8"/>
      <c r="O121" s="11" t="str">
        <f aca="false">IF(OR($I121="",$N121=""),"",($I121/1000)*$N121)</f>
        <v/>
      </c>
      <c r="P121" s="12" t="str">
        <f aca="false">IF($C121="","",IFERROR(ROUND(MIN(25,($N121/Instellingen!$B$3)*25)+MIN(25,($I121/Instellingen!$B$4)*25)+MIN(25,($J121/Instellingen!$B$5)*25)+MIN(25,(IF($M121="",0,$M121)/Instellingen!$B$6)*25),0),""))</f>
        <v/>
      </c>
      <c r="Q121" s="13" t="str">
        <f aca="false">IF($P121="","",IF($P121&gt;=Instellingen!$B$7,"Sterke niche",IF($P121&gt;=Instellingen!$B$8,"Belofte - opvolgen",IF($P121&gt;=Instellingen!$B$9,"Zwak - twijfel","Vermijden"))))</f>
        <v/>
      </c>
      <c r="R121" s="5"/>
      <c r="T121" s="1" t="str">
        <f aca="false">IF($C121="","",IF($P121=_xlfn.MAXIFS($P$3:$P$1000,$B$3:$B$1000,$B121),"★ Cash cow – handmatig onderzoeken",""))</f>
        <v/>
      </c>
    </row>
    <row r="122" customFormat="false" ht="14.25" hidden="false" customHeight="true" outlineLevel="0" collapsed="false">
      <c r="A122" s="4"/>
      <c r="B122" s="5"/>
      <c r="C122" s="5"/>
      <c r="D122" s="5"/>
      <c r="E122" s="6"/>
      <c r="F122" s="7"/>
      <c r="G122" s="8"/>
      <c r="H122" s="7"/>
      <c r="I122" s="7"/>
      <c r="J122" s="6"/>
      <c r="K122" s="9" t="str">
        <f aca="false">IF(OR($J122="",$J122=0),"",$I122/$J122)</f>
        <v/>
      </c>
      <c r="L122" s="9" t="str">
        <f aca="false">IF(OR($E122="",$E122=0),"",$H122/$E122)</f>
        <v/>
      </c>
      <c r="M122" s="10" t="str">
        <f aca="false">IF(OR($L122="",$L122=0),"",($I122/30)/$L122)</f>
        <v/>
      </c>
      <c r="N122" s="8"/>
      <c r="O122" s="11" t="str">
        <f aca="false">IF(OR($I122="",$N122=""),"",($I122/1000)*$N122)</f>
        <v/>
      </c>
      <c r="P122" s="12" t="str">
        <f aca="false">IF($C122="","",IFERROR(ROUND(MIN(25,($N122/Instellingen!$B$3)*25)+MIN(25,($I122/Instellingen!$B$4)*25)+MIN(25,($J122/Instellingen!$B$5)*25)+MIN(25,(IF($M122="",0,$M122)/Instellingen!$B$6)*25),0),""))</f>
        <v/>
      </c>
      <c r="Q122" s="13" t="str">
        <f aca="false">IF($P122="","",IF($P122&gt;=Instellingen!$B$7,"Sterke niche",IF($P122&gt;=Instellingen!$B$8,"Belofte - opvolgen",IF($P122&gt;=Instellingen!$B$9,"Zwak - twijfel","Vermijden"))))</f>
        <v/>
      </c>
      <c r="R122" s="5"/>
      <c r="T122" s="1" t="str">
        <f aca="false">IF($C122="","",IF($P122=_xlfn.MAXIFS($P$3:$P$1000,$B$3:$B$1000,$B122),"★ Cash cow – handmatig onderzoeken",""))</f>
        <v/>
      </c>
    </row>
    <row r="123" customFormat="false" ht="14.25" hidden="false" customHeight="true" outlineLevel="0" collapsed="false">
      <c r="A123" s="4"/>
      <c r="B123" s="5"/>
      <c r="C123" s="5"/>
      <c r="D123" s="5"/>
      <c r="E123" s="6"/>
      <c r="F123" s="7"/>
      <c r="G123" s="8"/>
      <c r="H123" s="7"/>
      <c r="I123" s="7"/>
      <c r="J123" s="6"/>
      <c r="K123" s="9" t="str">
        <f aca="false">IF(OR($J123="",$J123=0),"",$I123/$J123)</f>
        <v/>
      </c>
      <c r="L123" s="9" t="str">
        <f aca="false">IF(OR($E123="",$E123=0),"",$H123/$E123)</f>
        <v/>
      </c>
      <c r="M123" s="10" t="str">
        <f aca="false">IF(OR($L123="",$L123=0),"",($I123/30)/$L123)</f>
        <v/>
      </c>
      <c r="N123" s="8"/>
      <c r="O123" s="11" t="str">
        <f aca="false">IF(OR($I123="",$N123=""),"",($I123/1000)*$N123)</f>
        <v/>
      </c>
      <c r="P123" s="12" t="str">
        <f aca="false">IF($C123="","",IFERROR(ROUND(MIN(25,($N123/Instellingen!$B$3)*25)+MIN(25,($I123/Instellingen!$B$4)*25)+MIN(25,($J123/Instellingen!$B$5)*25)+MIN(25,(IF($M123="",0,$M123)/Instellingen!$B$6)*25),0),""))</f>
        <v/>
      </c>
      <c r="Q123" s="13" t="str">
        <f aca="false">IF($P123="","",IF($P123&gt;=Instellingen!$B$7,"Sterke niche",IF($P123&gt;=Instellingen!$B$8,"Belofte - opvolgen",IF($P123&gt;=Instellingen!$B$9,"Zwak - twijfel","Vermijden"))))</f>
        <v/>
      </c>
      <c r="R123" s="5"/>
      <c r="T123" s="1" t="str">
        <f aca="false">IF($C123="","",IF($P123=_xlfn.MAXIFS($P$3:$P$1000,$B$3:$B$1000,$B123),"★ Cash cow – handmatig onderzoeken",""))</f>
        <v/>
      </c>
    </row>
    <row r="124" customFormat="false" ht="14.25" hidden="false" customHeight="true" outlineLevel="0" collapsed="false">
      <c r="A124" s="4"/>
      <c r="B124" s="5"/>
      <c r="C124" s="5"/>
      <c r="D124" s="5"/>
      <c r="E124" s="6"/>
      <c r="F124" s="7"/>
      <c r="G124" s="8"/>
      <c r="H124" s="7"/>
      <c r="I124" s="7"/>
      <c r="J124" s="6"/>
      <c r="K124" s="9" t="str">
        <f aca="false">IF(OR($J124="",$J124=0),"",$I124/$J124)</f>
        <v/>
      </c>
      <c r="L124" s="9" t="str">
        <f aca="false">IF(OR($E124="",$E124=0),"",$H124/$E124)</f>
        <v/>
      </c>
      <c r="M124" s="10" t="str">
        <f aca="false">IF(OR($L124="",$L124=0),"",($I124/30)/$L124)</f>
        <v/>
      </c>
      <c r="N124" s="8"/>
      <c r="O124" s="11" t="str">
        <f aca="false">IF(OR($I124="",$N124=""),"",($I124/1000)*$N124)</f>
        <v/>
      </c>
      <c r="P124" s="12" t="str">
        <f aca="false">IF($C124="","",IFERROR(ROUND(MIN(25,($N124/Instellingen!$B$3)*25)+MIN(25,($I124/Instellingen!$B$4)*25)+MIN(25,($J124/Instellingen!$B$5)*25)+MIN(25,(IF($M124="",0,$M124)/Instellingen!$B$6)*25),0),""))</f>
        <v/>
      </c>
      <c r="Q124" s="13" t="str">
        <f aca="false">IF($P124="","",IF($P124&gt;=Instellingen!$B$7,"Sterke niche",IF($P124&gt;=Instellingen!$B$8,"Belofte - opvolgen",IF($P124&gt;=Instellingen!$B$9,"Zwak - twijfel","Vermijden"))))</f>
        <v/>
      </c>
      <c r="R124" s="5"/>
      <c r="T124" s="1" t="str">
        <f aca="false">IF($C124="","",IF($P124=_xlfn.MAXIFS($P$3:$P$1000,$B$3:$B$1000,$B124),"★ Cash cow – handmatig onderzoeken",""))</f>
        <v/>
      </c>
    </row>
    <row r="125" customFormat="false" ht="14.25" hidden="false" customHeight="true" outlineLevel="0" collapsed="false">
      <c r="A125" s="4"/>
      <c r="B125" s="5"/>
      <c r="C125" s="5"/>
      <c r="D125" s="5"/>
      <c r="E125" s="6"/>
      <c r="F125" s="7"/>
      <c r="G125" s="8"/>
      <c r="H125" s="7"/>
      <c r="I125" s="7"/>
      <c r="J125" s="6"/>
      <c r="K125" s="9" t="str">
        <f aca="false">IF(OR($J125="",$J125=0),"",$I125/$J125)</f>
        <v/>
      </c>
      <c r="L125" s="9" t="str">
        <f aca="false">IF(OR($E125="",$E125=0),"",$H125/$E125)</f>
        <v/>
      </c>
      <c r="M125" s="10" t="str">
        <f aca="false">IF(OR($L125="",$L125=0),"",($I125/30)/$L125)</f>
        <v/>
      </c>
      <c r="N125" s="8"/>
      <c r="O125" s="11" t="str">
        <f aca="false">IF(OR($I125="",$N125=""),"",($I125/1000)*$N125)</f>
        <v/>
      </c>
      <c r="P125" s="12" t="str">
        <f aca="false">IF($C125="","",IFERROR(ROUND(MIN(25,($N125/Instellingen!$B$3)*25)+MIN(25,($I125/Instellingen!$B$4)*25)+MIN(25,($J125/Instellingen!$B$5)*25)+MIN(25,(IF($M125="",0,$M125)/Instellingen!$B$6)*25),0),""))</f>
        <v/>
      </c>
      <c r="Q125" s="13" t="str">
        <f aca="false">IF($P125="","",IF($P125&gt;=Instellingen!$B$7,"Sterke niche",IF($P125&gt;=Instellingen!$B$8,"Belofte - opvolgen",IF($P125&gt;=Instellingen!$B$9,"Zwak - twijfel","Vermijden"))))</f>
        <v/>
      </c>
      <c r="R125" s="5"/>
      <c r="T125" s="1" t="str">
        <f aca="false">IF($C125="","",IF($P125=_xlfn.MAXIFS($P$3:$P$1000,$B$3:$B$1000,$B125),"★ Cash cow – handmatig onderzoeken",""))</f>
        <v/>
      </c>
    </row>
    <row r="126" customFormat="false" ht="14.25" hidden="false" customHeight="true" outlineLevel="0" collapsed="false">
      <c r="A126" s="4"/>
      <c r="B126" s="5"/>
      <c r="C126" s="5"/>
      <c r="D126" s="5"/>
      <c r="E126" s="6"/>
      <c r="F126" s="7"/>
      <c r="G126" s="8"/>
      <c r="H126" s="7"/>
      <c r="I126" s="7"/>
      <c r="J126" s="6"/>
      <c r="K126" s="9" t="str">
        <f aca="false">IF(OR($J126="",$J126=0),"",$I126/$J126)</f>
        <v/>
      </c>
      <c r="L126" s="9" t="str">
        <f aca="false">IF(OR($E126="",$E126=0),"",$H126/$E126)</f>
        <v/>
      </c>
      <c r="M126" s="10" t="str">
        <f aca="false">IF(OR($L126="",$L126=0),"",($I126/30)/$L126)</f>
        <v/>
      </c>
      <c r="N126" s="8"/>
      <c r="O126" s="11" t="str">
        <f aca="false">IF(OR($I126="",$N126=""),"",($I126/1000)*$N126)</f>
        <v/>
      </c>
      <c r="P126" s="12" t="str">
        <f aca="false">IF($C126="","",IFERROR(ROUND(MIN(25,($N126/Instellingen!$B$3)*25)+MIN(25,($I126/Instellingen!$B$4)*25)+MIN(25,($J126/Instellingen!$B$5)*25)+MIN(25,(IF($M126="",0,$M126)/Instellingen!$B$6)*25),0),""))</f>
        <v/>
      </c>
      <c r="Q126" s="13" t="str">
        <f aca="false">IF($P126="","",IF($P126&gt;=Instellingen!$B$7,"Sterke niche",IF($P126&gt;=Instellingen!$B$8,"Belofte - opvolgen",IF($P126&gt;=Instellingen!$B$9,"Zwak - twijfel","Vermijden"))))</f>
        <v/>
      </c>
      <c r="R126" s="5"/>
      <c r="T126" s="1" t="str">
        <f aca="false">IF($C126="","",IF($P126=_xlfn.MAXIFS($P$3:$P$1000,$B$3:$B$1000,$B126),"★ Cash cow – handmatig onderzoeken",""))</f>
        <v/>
      </c>
    </row>
    <row r="127" customFormat="false" ht="14.25" hidden="false" customHeight="true" outlineLevel="0" collapsed="false">
      <c r="A127" s="4"/>
      <c r="B127" s="5"/>
      <c r="C127" s="5"/>
      <c r="D127" s="5"/>
      <c r="E127" s="6"/>
      <c r="F127" s="7"/>
      <c r="G127" s="8"/>
      <c r="H127" s="7"/>
      <c r="I127" s="7"/>
      <c r="J127" s="6"/>
      <c r="K127" s="9" t="str">
        <f aca="false">IF(OR($J127="",$J127=0),"",$I127/$J127)</f>
        <v/>
      </c>
      <c r="L127" s="9" t="str">
        <f aca="false">IF(OR($E127="",$E127=0),"",$H127/$E127)</f>
        <v/>
      </c>
      <c r="M127" s="10" t="str">
        <f aca="false">IF(OR($L127="",$L127=0),"",($I127/30)/$L127)</f>
        <v/>
      </c>
      <c r="N127" s="8"/>
      <c r="O127" s="11" t="str">
        <f aca="false">IF(OR($I127="",$N127=""),"",($I127/1000)*$N127)</f>
        <v/>
      </c>
      <c r="P127" s="12" t="str">
        <f aca="false">IF($C127="","",IFERROR(ROUND(MIN(25,($N127/Instellingen!$B$3)*25)+MIN(25,($I127/Instellingen!$B$4)*25)+MIN(25,($J127/Instellingen!$B$5)*25)+MIN(25,(IF($M127="",0,$M127)/Instellingen!$B$6)*25),0),""))</f>
        <v/>
      </c>
      <c r="Q127" s="13" t="str">
        <f aca="false">IF($P127="","",IF($P127&gt;=Instellingen!$B$7,"Sterke niche",IF($P127&gt;=Instellingen!$B$8,"Belofte - opvolgen",IF($P127&gt;=Instellingen!$B$9,"Zwak - twijfel","Vermijden"))))</f>
        <v/>
      </c>
      <c r="R127" s="5"/>
      <c r="T127" s="1" t="str">
        <f aca="false">IF($C127="","",IF($P127=_xlfn.MAXIFS($P$3:$P$1000,$B$3:$B$1000,$B127),"★ Cash cow – handmatig onderzoeken",""))</f>
        <v/>
      </c>
    </row>
    <row r="128" customFormat="false" ht="14.25" hidden="false" customHeight="true" outlineLevel="0" collapsed="false">
      <c r="A128" s="4"/>
      <c r="B128" s="5"/>
      <c r="C128" s="5"/>
      <c r="D128" s="5"/>
      <c r="E128" s="6"/>
      <c r="F128" s="7"/>
      <c r="G128" s="8"/>
      <c r="H128" s="7"/>
      <c r="I128" s="7"/>
      <c r="J128" s="6"/>
      <c r="K128" s="9" t="str">
        <f aca="false">IF(OR($J128="",$J128=0),"",$I128/$J128)</f>
        <v/>
      </c>
      <c r="L128" s="9" t="str">
        <f aca="false">IF(OR($E128="",$E128=0),"",$H128/$E128)</f>
        <v/>
      </c>
      <c r="M128" s="10" t="str">
        <f aca="false">IF(OR($L128="",$L128=0),"",($I128/30)/$L128)</f>
        <v/>
      </c>
      <c r="N128" s="8"/>
      <c r="O128" s="11" t="str">
        <f aca="false">IF(OR($I128="",$N128=""),"",($I128/1000)*$N128)</f>
        <v/>
      </c>
      <c r="P128" s="12" t="str">
        <f aca="false">IF($C128="","",IFERROR(ROUND(MIN(25,($N128/Instellingen!$B$3)*25)+MIN(25,($I128/Instellingen!$B$4)*25)+MIN(25,($J128/Instellingen!$B$5)*25)+MIN(25,(IF($M128="",0,$M128)/Instellingen!$B$6)*25),0),""))</f>
        <v/>
      </c>
      <c r="Q128" s="13" t="str">
        <f aca="false">IF($P128="","",IF($P128&gt;=Instellingen!$B$7,"Sterke niche",IF($P128&gt;=Instellingen!$B$8,"Belofte - opvolgen",IF($P128&gt;=Instellingen!$B$9,"Zwak - twijfel","Vermijden"))))</f>
        <v/>
      </c>
      <c r="R128" s="5"/>
      <c r="T128" s="1" t="str">
        <f aca="false">IF($C128="","",IF($P128=_xlfn.MAXIFS($P$3:$P$1000,$B$3:$B$1000,$B128),"★ Cash cow – handmatig onderzoeken",""))</f>
        <v/>
      </c>
    </row>
    <row r="129" customFormat="false" ht="14.25" hidden="false" customHeight="true" outlineLevel="0" collapsed="false">
      <c r="A129" s="4"/>
      <c r="B129" s="5"/>
      <c r="C129" s="5"/>
      <c r="D129" s="5"/>
      <c r="E129" s="6"/>
      <c r="F129" s="7"/>
      <c r="G129" s="8"/>
      <c r="H129" s="7"/>
      <c r="I129" s="7"/>
      <c r="J129" s="6"/>
      <c r="K129" s="9" t="str">
        <f aca="false">IF(OR($J129="",$J129=0),"",$I129/$J129)</f>
        <v/>
      </c>
      <c r="L129" s="9" t="str">
        <f aca="false">IF(OR($E129="",$E129=0),"",$H129/$E129)</f>
        <v/>
      </c>
      <c r="M129" s="10" t="str">
        <f aca="false">IF(OR($L129="",$L129=0),"",($I129/30)/$L129)</f>
        <v/>
      </c>
      <c r="N129" s="8"/>
      <c r="O129" s="11" t="str">
        <f aca="false">IF(OR($I129="",$N129=""),"",($I129/1000)*$N129)</f>
        <v/>
      </c>
      <c r="P129" s="12" t="str">
        <f aca="false">IF($C129="","",IFERROR(ROUND(MIN(25,($N129/Instellingen!$B$3)*25)+MIN(25,($I129/Instellingen!$B$4)*25)+MIN(25,($J129/Instellingen!$B$5)*25)+MIN(25,(IF($M129="",0,$M129)/Instellingen!$B$6)*25),0),""))</f>
        <v/>
      </c>
      <c r="Q129" s="13" t="str">
        <f aca="false">IF($P129="","",IF($P129&gt;=Instellingen!$B$7,"Sterke niche",IF($P129&gt;=Instellingen!$B$8,"Belofte - opvolgen",IF($P129&gt;=Instellingen!$B$9,"Zwak - twijfel","Vermijden"))))</f>
        <v/>
      </c>
      <c r="R129" s="5"/>
      <c r="T129" s="1" t="str">
        <f aca="false">IF($C129="","",IF($P129=_xlfn.MAXIFS($P$3:$P$1000,$B$3:$B$1000,$B129),"★ Cash cow – handmatig onderzoeken",""))</f>
        <v/>
      </c>
    </row>
    <row r="130" customFormat="false" ht="14.25" hidden="false" customHeight="true" outlineLevel="0" collapsed="false">
      <c r="A130" s="4"/>
      <c r="B130" s="5"/>
      <c r="C130" s="5"/>
      <c r="D130" s="5"/>
      <c r="E130" s="6"/>
      <c r="F130" s="7"/>
      <c r="G130" s="8"/>
      <c r="H130" s="7"/>
      <c r="I130" s="7"/>
      <c r="J130" s="6"/>
      <c r="K130" s="9" t="str">
        <f aca="false">IF(OR($J130="",$J130=0),"",$I130/$J130)</f>
        <v/>
      </c>
      <c r="L130" s="9" t="str">
        <f aca="false">IF(OR($E130="",$E130=0),"",$H130/$E130)</f>
        <v/>
      </c>
      <c r="M130" s="10" t="str">
        <f aca="false">IF(OR($L130="",$L130=0),"",($I130/30)/$L130)</f>
        <v/>
      </c>
      <c r="N130" s="8"/>
      <c r="O130" s="11" t="str">
        <f aca="false">IF(OR($I130="",$N130=""),"",($I130/1000)*$N130)</f>
        <v/>
      </c>
      <c r="P130" s="12" t="str">
        <f aca="false">IF($C130="","",IFERROR(ROUND(MIN(25,($N130/Instellingen!$B$3)*25)+MIN(25,($I130/Instellingen!$B$4)*25)+MIN(25,($J130/Instellingen!$B$5)*25)+MIN(25,(IF($M130="",0,$M130)/Instellingen!$B$6)*25),0),""))</f>
        <v/>
      </c>
      <c r="Q130" s="13" t="str">
        <f aca="false">IF($P130="","",IF($P130&gt;=Instellingen!$B$7,"Sterke niche",IF($P130&gt;=Instellingen!$B$8,"Belofte - opvolgen",IF($P130&gt;=Instellingen!$B$9,"Zwak - twijfel","Vermijden"))))</f>
        <v/>
      </c>
      <c r="R130" s="5"/>
      <c r="T130" s="1" t="str">
        <f aca="false">IF($C130="","",IF($P130=_xlfn.MAXIFS($P$3:$P$1000,$B$3:$B$1000,$B130),"★ Cash cow – handmatig onderzoeken",""))</f>
        <v/>
      </c>
    </row>
    <row r="131" customFormat="false" ht="14.25" hidden="false" customHeight="true" outlineLevel="0" collapsed="false">
      <c r="A131" s="4"/>
      <c r="B131" s="5"/>
      <c r="C131" s="5"/>
      <c r="D131" s="5"/>
      <c r="E131" s="6"/>
      <c r="F131" s="7"/>
      <c r="G131" s="8"/>
      <c r="H131" s="7"/>
      <c r="I131" s="7"/>
      <c r="J131" s="6"/>
      <c r="K131" s="9" t="str">
        <f aca="false">IF(OR($J131="",$J131=0),"",$I131/$J131)</f>
        <v/>
      </c>
      <c r="L131" s="9" t="str">
        <f aca="false">IF(OR($E131="",$E131=0),"",$H131/$E131)</f>
        <v/>
      </c>
      <c r="M131" s="10" t="str">
        <f aca="false">IF(OR($L131="",$L131=0),"",($I131/30)/$L131)</f>
        <v/>
      </c>
      <c r="N131" s="8"/>
      <c r="O131" s="11" t="str">
        <f aca="false">IF(OR($I131="",$N131=""),"",($I131/1000)*$N131)</f>
        <v/>
      </c>
      <c r="P131" s="12" t="str">
        <f aca="false">IF($C131="","",IFERROR(ROUND(MIN(25,($N131/Instellingen!$B$3)*25)+MIN(25,($I131/Instellingen!$B$4)*25)+MIN(25,($J131/Instellingen!$B$5)*25)+MIN(25,(IF($M131="",0,$M131)/Instellingen!$B$6)*25),0),""))</f>
        <v/>
      </c>
      <c r="Q131" s="13" t="str">
        <f aca="false">IF($P131="","",IF($P131&gt;=Instellingen!$B$7,"Sterke niche",IF($P131&gt;=Instellingen!$B$8,"Belofte - opvolgen",IF($P131&gt;=Instellingen!$B$9,"Zwak - twijfel","Vermijden"))))</f>
        <v/>
      </c>
      <c r="R131" s="5"/>
      <c r="T131" s="1" t="str">
        <f aca="false">IF($C131="","",IF($P131=_xlfn.MAXIFS($P$3:$P$1000,$B$3:$B$1000,$B131),"★ Cash cow – handmatig onderzoeken",""))</f>
        <v/>
      </c>
    </row>
    <row r="132" customFormat="false" ht="14.25" hidden="false" customHeight="true" outlineLevel="0" collapsed="false">
      <c r="A132" s="4"/>
      <c r="B132" s="5"/>
      <c r="C132" s="5"/>
      <c r="D132" s="5"/>
      <c r="E132" s="6"/>
      <c r="F132" s="7"/>
      <c r="G132" s="8"/>
      <c r="H132" s="7"/>
      <c r="I132" s="7"/>
      <c r="J132" s="6"/>
      <c r="K132" s="9" t="str">
        <f aca="false">IF(OR($J132="",$J132=0),"",$I132/$J132)</f>
        <v/>
      </c>
      <c r="L132" s="9" t="str">
        <f aca="false">IF(OR($E132="",$E132=0),"",$H132/$E132)</f>
        <v/>
      </c>
      <c r="M132" s="10" t="str">
        <f aca="false">IF(OR($L132="",$L132=0),"",($I132/30)/$L132)</f>
        <v/>
      </c>
      <c r="N132" s="8"/>
      <c r="O132" s="11" t="str">
        <f aca="false">IF(OR($I132="",$N132=""),"",($I132/1000)*$N132)</f>
        <v/>
      </c>
      <c r="P132" s="12" t="str">
        <f aca="false">IF($C132="","",IFERROR(ROUND(MIN(25,($N132/Instellingen!$B$3)*25)+MIN(25,($I132/Instellingen!$B$4)*25)+MIN(25,($J132/Instellingen!$B$5)*25)+MIN(25,(IF($M132="",0,$M132)/Instellingen!$B$6)*25),0),""))</f>
        <v/>
      </c>
      <c r="Q132" s="13" t="str">
        <f aca="false">IF($P132="","",IF($P132&gt;=Instellingen!$B$7,"Sterke niche",IF($P132&gt;=Instellingen!$B$8,"Belofte - opvolgen",IF($P132&gt;=Instellingen!$B$9,"Zwak - twijfel","Vermijden"))))</f>
        <v/>
      </c>
      <c r="R132" s="5"/>
      <c r="T132" s="1" t="str">
        <f aca="false">IF($C132="","",IF($P132=_xlfn.MAXIFS($P$3:$P$1000,$B$3:$B$1000,$B132),"★ Cash cow – handmatig onderzoeken",""))</f>
        <v/>
      </c>
    </row>
    <row r="133" customFormat="false" ht="14.25" hidden="false" customHeight="true" outlineLevel="0" collapsed="false">
      <c r="A133" s="4"/>
      <c r="B133" s="5"/>
      <c r="C133" s="5"/>
      <c r="D133" s="5"/>
      <c r="E133" s="6"/>
      <c r="F133" s="7"/>
      <c r="G133" s="8"/>
      <c r="H133" s="7"/>
      <c r="I133" s="7"/>
      <c r="J133" s="6"/>
      <c r="K133" s="9" t="str">
        <f aca="false">IF(OR($J133="",$J133=0),"",$I133/$J133)</f>
        <v/>
      </c>
      <c r="L133" s="9" t="str">
        <f aca="false">IF(OR($E133="",$E133=0),"",$H133/$E133)</f>
        <v/>
      </c>
      <c r="M133" s="10" t="str">
        <f aca="false">IF(OR($L133="",$L133=0),"",($I133/30)/$L133)</f>
        <v/>
      </c>
      <c r="N133" s="8"/>
      <c r="O133" s="11" t="str">
        <f aca="false">IF(OR($I133="",$N133=""),"",($I133/1000)*$N133)</f>
        <v/>
      </c>
      <c r="P133" s="12" t="str">
        <f aca="false">IF($C133="","",IFERROR(ROUND(MIN(25,($N133/Instellingen!$B$3)*25)+MIN(25,($I133/Instellingen!$B$4)*25)+MIN(25,($J133/Instellingen!$B$5)*25)+MIN(25,(IF($M133="",0,$M133)/Instellingen!$B$6)*25),0),""))</f>
        <v/>
      </c>
      <c r="Q133" s="13" t="str">
        <f aca="false">IF($P133="","",IF($P133&gt;=Instellingen!$B$7,"Sterke niche",IF($P133&gt;=Instellingen!$B$8,"Belofte - opvolgen",IF($P133&gt;=Instellingen!$B$9,"Zwak - twijfel","Vermijden"))))</f>
        <v/>
      </c>
      <c r="R133" s="5"/>
      <c r="T133" s="1" t="str">
        <f aca="false">IF($C133="","",IF($P133=_xlfn.MAXIFS($P$3:$P$1000,$B$3:$B$1000,$B133),"★ Cash cow – handmatig onderzoeken",""))</f>
        <v/>
      </c>
    </row>
    <row r="134" customFormat="false" ht="14.25" hidden="false" customHeight="true" outlineLevel="0" collapsed="false">
      <c r="A134" s="4"/>
      <c r="B134" s="5"/>
      <c r="C134" s="5"/>
      <c r="D134" s="5"/>
      <c r="E134" s="6"/>
      <c r="F134" s="7"/>
      <c r="G134" s="8"/>
      <c r="H134" s="7"/>
      <c r="I134" s="7"/>
      <c r="J134" s="6"/>
      <c r="K134" s="9" t="str">
        <f aca="false">IF(OR($J134="",$J134=0),"",$I134/$J134)</f>
        <v/>
      </c>
      <c r="L134" s="9" t="str">
        <f aca="false">IF(OR($E134="",$E134=0),"",$H134/$E134)</f>
        <v/>
      </c>
      <c r="M134" s="10" t="str">
        <f aca="false">IF(OR($L134="",$L134=0),"",($I134/30)/$L134)</f>
        <v/>
      </c>
      <c r="N134" s="8"/>
      <c r="O134" s="11" t="str">
        <f aca="false">IF(OR($I134="",$N134=""),"",($I134/1000)*$N134)</f>
        <v/>
      </c>
      <c r="P134" s="12" t="str">
        <f aca="false">IF($C134="","",IFERROR(ROUND(MIN(25,($N134/Instellingen!$B$3)*25)+MIN(25,($I134/Instellingen!$B$4)*25)+MIN(25,($J134/Instellingen!$B$5)*25)+MIN(25,(IF($M134="",0,$M134)/Instellingen!$B$6)*25),0),""))</f>
        <v/>
      </c>
      <c r="Q134" s="13" t="str">
        <f aca="false">IF($P134="","",IF($P134&gt;=Instellingen!$B$7,"Sterke niche",IF($P134&gt;=Instellingen!$B$8,"Belofte - opvolgen",IF($P134&gt;=Instellingen!$B$9,"Zwak - twijfel","Vermijden"))))</f>
        <v/>
      </c>
      <c r="R134" s="5"/>
      <c r="T134" s="1" t="str">
        <f aca="false">IF($C134="","",IF($P134=_xlfn.MAXIFS($P$3:$P$1000,$B$3:$B$1000,$B134),"★ Cash cow – handmatig onderzoeken",""))</f>
        <v/>
      </c>
    </row>
    <row r="135" customFormat="false" ht="14.25" hidden="false" customHeight="true" outlineLevel="0" collapsed="false">
      <c r="A135" s="4"/>
      <c r="B135" s="5"/>
      <c r="C135" s="5"/>
      <c r="D135" s="5"/>
      <c r="E135" s="6"/>
      <c r="F135" s="7"/>
      <c r="G135" s="8"/>
      <c r="H135" s="7"/>
      <c r="I135" s="7"/>
      <c r="J135" s="6"/>
      <c r="K135" s="9" t="str">
        <f aca="false">IF(OR($J135="",$J135=0),"",$I135/$J135)</f>
        <v/>
      </c>
      <c r="L135" s="9" t="str">
        <f aca="false">IF(OR($E135="",$E135=0),"",$H135/$E135)</f>
        <v/>
      </c>
      <c r="M135" s="10" t="str">
        <f aca="false">IF(OR($L135="",$L135=0),"",($I135/30)/$L135)</f>
        <v/>
      </c>
      <c r="N135" s="8"/>
      <c r="O135" s="11" t="str">
        <f aca="false">IF(OR($I135="",$N135=""),"",($I135/1000)*$N135)</f>
        <v/>
      </c>
      <c r="P135" s="12" t="str">
        <f aca="false">IF($C135="","",IFERROR(ROUND(MIN(25,($N135/Instellingen!$B$3)*25)+MIN(25,($I135/Instellingen!$B$4)*25)+MIN(25,($J135/Instellingen!$B$5)*25)+MIN(25,(IF($M135="",0,$M135)/Instellingen!$B$6)*25),0),""))</f>
        <v/>
      </c>
      <c r="Q135" s="13" t="str">
        <f aca="false">IF($P135="","",IF($P135&gt;=Instellingen!$B$7,"Sterke niche",IF($P135&gt;=Instellingen!$B$8,"Belofte - opvolgen",IF($P135&gt;=Instellingen!$B$9,"Zwak - twijfel","Vermijden"))))</f>
        <v/>
      </c>
      <c r="R135" s="5"/>
      <c r="T135" s="1" t="str">
        <f aca="false">IF($C135="","",IF($P135=_xlfn.MAXIFS($P$3:$P$1000,$B$3:$B$1000,$B135),"★ Cash cow – handmatig onderzoeken",""))</f>
        <v/>
      </c>
    </row>
    <row r="136" customFormat="false" ht="14.25" hidden="false" customHeight="true" outlineLevel="0" collapsed="false">
      <c r="A136" s="4"/>
      <c r="B136" s="5"/>
      <c r="C136" s="5"/>
      <c r="D136" s="5"/>
      <c r="E136" s="6"/>
      <c r="F136" s="7"/>
      <c r="G136" s="8"/>
      <c r="H136" s="7"/>
      <c r="I136" s="7"/>
      <c r="J136" s="6"/>
      <c r="K136" s="9" t="str">
        <f aca="false">IF(OR($J136="",$J136=0),"",$I136/$J136)</f>
        <v/>
      </c>
      <c r="L136" s="9" t="str">
        <f aca="false">IF(OR($E136="",$E136=0),"",$H136/$E136)</f>
        <v/>
      </c>
      <c r="M136" s="10" t="str">
        <f aca="false">IF(OR($L136="",$L136=0),"",($I136/30)/$L136)</f>
        <v/>
      </c>
      <c r="N136" s="8"/>
      <c r="O136" s="11" t="str">
        <f aca="false">IF(OR($I136="",$N136=""),"",($I136/1000)*$N136)</f>
        <v/>
      </c>
      <c r="P136" s="12" t="str">
        <f aca="false">IF($C136="","",IFERROR(ROUND(MIN(25,($N136/Instellingen!$B$3)*25)+MIN(25,($I136/Instellingen!$B$4)*25)+MIN(25,($J136/Instellingen!$B$5)*25)+MIN(25,(IF($M136="",0,$M136)/Instellingen!$B$6)*25),0),""))</f>
        <v/>
      </c>
      <c r="Q136" s="13" t="str">
        <f aca="false">IF($P136="","",IF($P136&gt;=Instellingen!$B$7,"Sterke niche",IF($P136&gt;=Instellingen!$B$8,"Belofte - opvolgen",IF($P136&gt;=Instellingen!$B$9,"Zwak - twijfel","Vermijden"))))</f>
        <v/>
      </c>
      <c r="R136" s="5"/>
      <c r="T136" s="1" t="str">
        <f aca="false">IF($C136="","",IF($P136=_xlfn.MAXIFS($P$3:$P$1000,$B$3:$B$1000,$B136),"★ Cash cow – handmatig onderzoeken",""))</f>
        <v/>
      </c>
    </row>
    <row r="137" customFormat="false" ht="14.25" hidden="false" customHeight="true" outlineLevel="0" collapsed="false">
      <c r="A137" s="4"/>
      <c r="B137" s="5"/>
      <c r="C137" s="5"/>
      <c r="D137" s="5"/>
      <c r="E137" s="6"/>
      <c r="F137" s="7"/>
      <c r="G137" s="8"/>
      <c r="H137" s="7"/>
      <c r="I137" s="7"/>
      <c r="J137" s="6"/>
      <c r="K137" s="9" t="str">
        <f aca="false">IF(OR($J137="",$J137=0),"",$I137/$J137)</f>
        <v/>
      </c>
      <c r="L137" s="9" t="str">
        <f aca="false">IF(OR($E137="",$E137=0),"",$H137/$E137)</f>
        <v/>
      </c>
      <c r="M137" s="10" t="str">
        <f aca="false">IF(OR($L137="",$L137=0),"",($I137/30)/$L137)</f>
        <v/>
      </c>
      <c r="N137" s="8"/>
      <c r="O137" s="11" t="str">
        <f aca="false">IF(OR($I137="",$N137=""),"",($I137/1000)*$N137)</f>
        <v/>
      </c>
      <c r="P137" s="12" t="str">
        <f aca="false">IF($C137="","",IFERROR(ROUND(MIN(25,($N137/Instellingen!$B$3)*25)+MIN(25,($I137/Instellingen!$B$4)*25)+MIN(25,($J137/Instellingen!$B$5)*25)+MIN(25,(IF($M137="",0,$M137)/Instellingen!$B$6)*25),0),""))</f>
        <v/>
      </c>
      <c r="Q137" s="13" t="str">
        <f aca="false">IF($P137="","",IF($P137&gt;=Instellingen!$B$7,"Sterke niche",IF($P137&gt;=Instellingen!$B$8,"Belofte - opvolgen",IF($P137&gt;=Instellingen!$B$9,"Zwak - twijfel","Vermijden"))))</f>
        <v/>
      </c>
      <c r="R137" s="5"/>
      <c r="T137" s="1" t="str">
        <f aca="false">IF($C137="","",IF($P137=_xlfn.MAXIFS($P$3:$P$1000,$B$3:$B$1000,$B137),"★ Cash cow – handmatig onderzoeken",""))</f>
        <v/>
      </c>
    </row>
    <row r="138" customFormat="false" ht="14.25" hidden="false" customHeight="true" outlineLevel="0" collapsed="false">
      <c r="A138" s="4"/>
      <c r="B138" s="5"/>
      <c r="C138" s="5"/>
      <c r="D138" s="5"/>
      <c r="E138" s="6"/>
      <c r="F138" s="7"/>
      <c r="G138" s="8"/>
      <c r="H138" s="7"/>
      <c r="I138" s="7"/>
      <c r="J138" s="6"/>
      <c r="K138" s="9" t="str">
        <f aca="false">IF(OR($J138="",$J138=0),"",$I138/$J138)</f>
        <v/>
      </c>
      <c r="L138" s="9" t="str">
        <f aca="false">IF(OR($E138="",$E138=0),"",$H138/$E138)</f>
        <v/>
      </c>
      <c r="M138" s="10" t="str">
        <f aca="false">IF(OR($L138="",$L138=0),"",($I138/30)/$L138)</f>
        <v/>
      </c>
      <c r="N138" s="8"/>
      <c r="O138" s="11" t="str">
        <f aca="false">IF(OR($I138="",$N138=""),"",($I138/1000)*$N138)</f>
        <v/>
      </c>
      <c r="P138" s="12" t="str">
        <f aca="false">IF($C138="","",IFERROR(ROUND(MIN(25,($N138/Instellingen!$B$3)*25)+MIN(25,($I138/Instellingen!$B$4)*25)+MIN(25,($J138/Instellingen!$B$5)*25)+MIN(25,(IF($M138="",0,$M138)/Instellingen!$B$6)*25),0),""))</f>
        <v/>
      </c>
      <c r="Q138" s="13" t="str">
        <f aca="false">IF($P138="","",IF($P138&gt;=Instellingen!$B$7,"Sterke niche",IF($P138&gt;=Instellingen!$B$8,"Belofte - opvolgen",IF($P138&gt;=Instellingen!$B$9,"Zwak - twijfel","Vermijden"))))</f>
        <v/>
      </c>
      <c r="R138" s="5"/>
      <c r="T138" s="1" t="str">
        <f aca="false">IF($C138="","",IF($P138=_xlfn.MAXIFS($P$3:$P$1000,$B$3:$B$1000,$B138),"★ Cash cow – handmatig onderzoeken",""))</f>
        <v/>
      </c>
    </row>
    <row r="139" customFormat="false" ht="14.25" hidden="false" customHeight="true" outlineLevel="0" collapsed="false">
      <c r="A139" s="4"/>
      <c r="B139" s="5"/>
      <c r="C139" s="5"/>
      <c r="D139" s="5"/>
      <c r="E139" s="6"/>
      <c r="F139" s="7"/>
      <c r="G139" s="8"/>
      <c r="H139" s="7"/>
      <c r="I139" s="7"/>
      <c r="J139" s="6"/>
      <c r="K139" s="9" t="str">
        <f aca="false">IF(OR($J139="",$J139=0),"",$I139/$J139)</f>
        <v/>
      </c>
      <c r="L139" s="9" t="str">
        <f aca="false">IF(OR($E139="",$E139=0),"",$H139/$E139)</f>
        <v/>
      </c>
      <c r="M139" s="10" t="str">
        <f aca="false">IF(OR($L139="",$L139=0),"",($I139/30)/$L139)</f>
        <v/>
      </c>
      <c r="N139" s="8"/>
      <c r="O139" s="11" t="str">
        <f aca="false">IF(OR($I139="",$N139=""),"",($I139/1000)*$N139)</f>
        <v/>
      </c>
      <c r="P139" s="12" t="str">
        <f aca="false">IF($C139="","",IFERROR(ROUND(MIN(25,($N139/Instellingen!$B$3)*25)+MIN(25,($I139/Instellingen!$B$4)*25)+MIN(25,($J139/Instellingen!$B$5)*25)+MIN(25,(IF($M139="",0,$M139)/Instellingen!$B$6)*25),0),""))</f>
        <v/>
      </c>
      <c r="Q139" s="13" t="str">
        <f aca="false">IF($P139="","",IF($P139&gt;=Instellingen!$B$7,"Sterke niche",IF($P139&gt;=Instellingen!$B$8,"Belofte - opvolgen",IF($P139&gt;=Instellingen!$B$9,"Zwak - twijfel","Vermijden"))))</f>
        <v/>
      </c>
      <c r="R139" s="5"/>
      <c r="T139" s="1" t="str">
        <f aca="false">IF($C139="","",IF($P139=_xlfn.MAXIFS($P$3:$P$1000,$B$3:$B$1000,$B139),"★ Cash cow – handmatig onderzoeken",""))</f>
        <v/>
      </c>
    </row>
    <row r="140" customFormat="false" ht="14.25" hidden="false" customHeight="true" outlineLevel="0" collapsed="false">
      <c r="A140" s="4"/>
      <c r="B140" s="5"/>
      <c r="C140" s="5"/>
      <c r="D140" s="5"/>
      <c r="E140" s="6"/>
      <c r="F140" s="7"/>
      <c r="G140" s="8"/>
      <c r="H140" s="7"/>
      <c r="I140" s="7"/>
      <c r="J140" s="6"/>
      <c r="K140" s="9" t="str">
        <f aca="false">IF(OR($J140="",$J140=0),"",$I140/$J140)</f>
        <v/>
      </c>
      <c r="L140" s="9" t="str">
        <f aca="false">IF(OR($E140="",$E140=0),"",$H140/$E140)</f>
        <v/>
      </c>
      <c r="M140" s="10" t="str">
        <f aca="false">IF(OR($L140="",$L140=0),"",($I140/30)/$L140)</f>
        <v/>
      </c>
      <c r="N140" s="8"/>
      <c r="O140" s="11" t="str">
        <f aca="false">IF(OR($I140="",$N140=""),"",($I140/1000)*$N140)</f>
        <v/>
      </c>
      <c r="P140" s="12" t="str">
        <f aca="false">IF($C140="","",IFERROR(ROUND(MIN(25,($N140/Instellingen!$B$3)*25)+MIN(25,($I140/Instellingen!$B$4)*25)+MIN(25,($J140/Instellingen!$B$5)*25)+MIN(25,(IF($M140="",0,$M140)/Instellingen!$B$6)*25),0),""))</f>
        <v/>
      </c>
      <c r="Q140" s="13" t="str">
        <f aca="false">IF($P140="","",IF($P140&gt;=Instellingen!$B$7,"Sterke niche",IF($P140&gt;=Instellingen!$B$8,"Belofte - opvolgen",IF($P140&gt;=Instellingen!$B$9,"Zwak - twijfel","Vermijden"))))</f>
        <v/>
      </c>
      <c r="R140" s="5"/>
      <c r="T140" s="1" t="str">
        <f aca="false">IF($C140="","",IF($P140=_xlfn.MAXIFS($P$3:$P$1000,$B$3:$B$1000,$B140),"★ Cash cow – handmatig onderzoeken",""))</f>
        <v/>
      </c>
    </row>
    <row r="141" customFormat="false" ht="14.25" hidden="false" customHeight="true" outlineLevel="0" collapsed="false">
      <c r="A141" s="4"/>
      <c r="B141" s="5"/>
      <c r="C141" s="5"/>
      <c r="D141" s="5"/>
      <c r="E141" s="6"/>
      <c r="F141" s="7"/>
      <c r="G141" s="8"/>
      <c r="H141" s="7"/>
      <c r="I141" s="7"/>
      <c r="J141" s="6"/>
      <c r="K141" s="9" t="str">
        <f aca="false">IF(OR($J141="",$J141=0),"",$I141/$J141)</f>
        <v/>
      </c>
      <c r="L141" s="9" t="str">
        <f aca="false">IF(OR($E141="",$E141=0),"",$H141/$E141)</f>
        <v/>
      </c>
      <c r="M141" s="10" t="str">
        <f aca="false">IF(OR($L141="",$L141=0),"",($I141/30)/$L141)</f>
        <v/>
      </c>
      <c r="N141" s="8"/>
      <c r="O141" s="11" t="str">
        <f aca="false">IF(OR($I141="",$N141=""),"",($I141/1000)*$N141)</f>
        <v/>
      </c>
      <c r="P141" s="12" t="str">
        <f aca="false">IF($C141="","",IFERROR(ROUND(MIN(25,($N141/Instellingen!$B$3)*25)+MIN(25,($I141/Instellingen!$B$4)*25)+MIN(25,($J141/Instellingen!$B$5)*25)+MIN(25,(IF($M141="",0,$M141)/Instellingen!$B$6)*25),0),""))</f>
        <v/>
      </c>
      <c r="Q141" s="13" t="str">
        <f aca="false">IF($P141="","",IF($P141&gt;=Instellingen!$B$7,"Sterke niche",IF($P141&gt;=Instellingen!$B$8,"Belofte - opvolgen",IF($P141&gt;=Instellingen!$B$9,"Zwak - twijfel","Vermijden"))))</f>
        <v/>
      </c>
      <c r="R141" s="5"/>
      <c r="T141" s="1" t="str">
        <f aca="false">IF($C141="","",IF($P141=_xlfn.MAXIFS($P$3:$P$1000,$B$3:$B$1000,$B141),"★ Cash cow – handmatig onderzoeken",""))</f>
        <v/>
      </c>
    </row>
    <row r="142" customFormat="false" ht="14.25" hidden="false" customHeight="true" outlineLevel="0" collapsed="false">
      <c r="A142" s="4"/>
      <c r="B142" s="5"/>
      <c r="C142" s="5"/>
      <c r="D142" s="5"/>
      <c r="E142" s="6"/>
      <c r="F142" s="7"/>
      <c r="G142" s="8"/>
      <c r="H142" s="7"/>
      <c r="I142" s="7"/>
      <c r="J142" s="6"/>
      <c r="K142" s="9" t="str">
        <f aca="false">IF(OR($J142="",$J142=0),"",$I142/$J142)</f>
        <v/>
      </c>
      <c r="L142" s="9" t="str">
        <f aca="false">IF(OR($E142="",$E142=0),"",$H142/$E142)</f>
        <v/>
      </c>
      <c r="M142" s="10" t="str">
        <f aca="false">IF(OR($L142="",$L142=0),"",($I142/30)/$L142)</f>
        <v/>
      </c>
      <c r="N142" s="8"/>
      <c r="O142" s="11" t="str">
        <f aca="false">IF(OR($I142="",$N142=""),"",($I142/1000)*$N142)</f>
        <v/>
      </c>
      <c r="P142" s="12" t="str">
        <f aca="false">IF($C142="","",IFERROR(ROUND(MIN(25,($N142/Instellingen!$B$3)*25)+MIN(25,($I142/Instellingen!$B$4)*25)+MIN(25,($J142/Instellingen!$B$5)*25)+MIN(25,(IF($M142="",0,$M142)/Instellingen!$B$6)*25),0),""))</f>
        <v/>
      </c>
      <c r="Q142" s="13" t="str">
        <f aca="false">IF($P142="","",IF($P142&gt;=Instellingen!$B$7,"Sterke niche",IF($P142&gt;=Instellingen!$B$8,"Belofte - opvolgen",IF($P142&gt;=Instellingen!$B$9,"Zwak - twijfel","Vermijden"))))</f>
        <v/>
      </c>
      <c r="R142" s="5"/>
      <c r="T142" s="1" t="str">
        <f aca="false">IF($C142="","",IF($P142=_xlfn.MAXIFS($P$3:$P$1000,$B$3:$B$1000,$B142),"★ Cash cow – handmatig onderzoeken",""))</f>
        <v/>
      </c>
    </row>
    <row r="143" customFormat="false" ht="14.25" hidden="false" customHeight="true" outlineLevel="0" collapsed="false">
      <c r="A143" s="4"/>
      <c r="B143" s="5"/>
      <c r="C143" s="5"/>
      <c r="D143" s="5"/>
      <c r="E143" s="6"/>
      <c r="F143" s="7"/>
      <c r="G143" s="8"/>
      <c r="H143" s="7"/>
      <c r="I143" s="7"/>
      <c r="J143" s="6"/>
      <c r="K143" s="9" t="str">
        <f aca="false">IF(OR($J143="",$J143=0),"",$I143/$J143)</f>
        <v/>
      </c>
      <c r="L143" s="9" t="str">
        <f aca="false">IF(OR($E143="",$E143=0),"",$H143/$E143)</f>
        <v/>
      </c>
      <c r="M143" s="10" t="str">
        <f aca="false">IF(OR($L143="",$L143=0),"",($I143/30)/$L143)</f>
        <v/>
      </c>
      <c r="N143" s="8"/>
      <c r="O143" s="11" t="str">
        <f aca="false">IF(OR($I143="",$N143=""),"",($I143/1000)*$N143)</f>
        <v/>
      </c>
      <c r="P143" s="12" t="str">
        <f aca="false">IF($C143="","",IFERROR(ROUND(MIN(25,($N143/Instellingen!$B$3)*25)+MIN(25,($I143/Instellingen!$B$4)*25)+MIN(25,($J143/Instellingen!$B$5)*25)+MIN(25,(IF($M143="",0,$M143)/Instellingen!$B$6)*25),0),""))</f>
        <v/>
      </c>
      <c r="Q143" s="13" t="str">
        <f aca="false">IF($P143="","",IF($P143&gt;=Instellingen!$B$7,"Sterke niche",IF($P143&gt;=Instellingen!$B$8,"Belofte - opvolgen",IF($P143&gt;=Instellingen!$B$9,"Zwak - twijfel","Vermijden"))))</f>
        <v/>
      </c>
      <c r="R143" s="5"/>
      <c r="T143" s="1" t="str">
        <f aca="false">IF($C143="","",IF($P143=_xlfn.MAXIFS($P$3:$P$1000,$B$3:$B$1000,$B143),"★ Cash cow – handmatig onderzoeken",""))</f>
        <v/>
      </c>
    </row>
    <row r="144" customFormat="false" ht="14.25" hidden="false" customHeight="true" outlineLevel="0" collapsed="false">
      <c r="A144" s="4"/>
      <c r="B144" s="5"/>
      <c r="C144" s="5"/>
      <c r="D144" s="5"/>
      <c r="E144" s="6"/>
      <c r="F144" s="7"/>
      <c r="G144" s="8"/>
      <c r="H144" s="7"/>
      <c r="I144" s="7"/>
      <c r="J144" s="6"/>
      <c r="K144" s="9" t="str">
        <f aca="false">IF(OR($J144="",$J144=0),"",$I144/$J144)</f>
        <v/>
      </c>
      <c r="L144" s="9" t="str">
        <f aca="false">IF(OR($E144="",$E144=0),"",$H144/$E144)</f>
        <v/>
      </c>
      <c r="M144" s="10" t="str">
        <f aca="false">IF(OR($L144="",$L144=0),"",($I144/30)/$L144)</f>
        <v/>
      </c>
      <c r="N144" s="8"/>
      <c r="O144" s="11" t="str">
        <f aca="false">IF(OR($I144="",$N144=""),"",($I144/1000)*$N144)</f>
        <v/>
      </c>
      <c r="P144" s="12" t="str">
        <f aca="false">IF($C144="","",IFERROR(ROUND(MIN(25,($N144/Instellingen!$B$3)*25)+MIN(25,($I144/Instellingen!$B$4)*25)+MIN(25,($J144/Instellingen!$B$5)*25)+MIN(25,(IF($M144="",0,$M144)/Instellingen!$B$6)*25),0),""))</f>
        <v/>
      </c>
      <c r="Q144" s="13" t="str">
        <f aca="false">IF($P144="","",IF($P144&gt;=Instellingen!$B$7,"Sterke niche",IF($P144&gt;=Instellingen!$B$8,"Belofte - opvolgen",IF($P144&gt;=Instellingen!$B$9,"Zwak - twijfel","Vermijden"))))</f>
        <v/>
      </c>
      <c r="R144" s="5"/>
      <c r="T144" s="1" t="str">
        <f aca="false">IF($C144="","",IF($P144=_xlfn.MAXIFS($P$3:$P$1000,$B$3:$B$1000,$B144),"★ Cash cow – handmatig onderzoeken",""))</f>
        <v/>
      </c>
    </row>
    <row r="145" customFormat="false" ht="14.25" hidden="false" customHeight="true" outlineLevel="0" collapsed="false">
      <c r="A145" s="4"/>
      <c r="B145" s="5"/>
      <c r="C145" s="5"/>
      <c r="D145" s="5"/>
      <c r="E145" s="6"/>
      <c r="F145" s="7"/>
      <c r="G145" s="8"/>
      <c r="H145" s="7"/>
      <c r="I145" s="7"/>
      <c r="J145" s="6"/>
      <c r="K145" s="9" t="str">
        <f aca="false">IF(OR($J145="",$J145=0),"",$I145/$J145)</f>
        <v/>
      </c>
      <c r="L145" s="9" t="str">
        <f aca="false">IF(OR($E145="",$E145=0),"",$H145/$E145)</f>
        <v/>
      </c>
      <c r="M145" s="10" t="str">
        <f aca="false">IF(OR($L145="",$L145=0),"",($I145/30)/$L145)</f>
        <v/>
      </c>
      <c r="N145" s="8"/>
      <c r="O145" s="11" t="str">
        <f aca="false">IF(OR($I145="",$N145=""),"",($I145/1000)*$N145)</f>
        <v/>
      </c>
      <c r="P145" s="12" t="str">
        <f aca="false">IF($C145="","",IFERROR(ROUND(MIN(25,($N145/Instellingen!$B$3)*25)+MIN(25,($I145/Instellingen!$B$4)*25)+MIN(25,($J145/Instellingen!$B$5)*25)+MIN(25,(IF($M145="",0,$M145)/Instellingen!$B$6)*25),0),""))</f>
        <v/>
      </c>
      <c r="Q145" s="13" t="str">
        <f aca="false">IF($P145="","",IF($P145&gt;=Instellingen!$B$7,"Sterke niche",IF($P145&gt;=Instellingen!$B$8,"Belofte - opvolgen",IF($P145&gt;=Instellingen!$B$9,"Zwak - twijfel","Vermijden"))))</f>
        <v/>
      </c>
      <c r="R145" s="5"/>
      <c r="T145" s="1" t="str">
        <f aca="false">IF($C145="","",IF($P145=_xlfn.MAXIFS($P$3:$P$1000,$B$3:$B$1000,$B145),"★ Cash cow – handmatig onderzoeken",""))</f>
        <v/>
      </c>
    </row>
    <row r="146" customFormat="false" ht="14.25" hidden="false" customHeight="true" outlineLevel="0" collapsed="false">
      <c r="A146" s="4"/>
      <c r="B146" s="5"/>
      <c r="C146" s="5"/>
      <c r="D146" s="5"/>
      <c r="E146" s="6"/>
      <c r="F146" s="7"/>
      <c r="G146" s="8"/>
      <c r="H146" s="7"/>
      <c r="I146" s="7"/>
      <c r="J146" s="6"/>
      <c r="K146" s="9" t="str">
        <f aca="false">IF(OR($J146="",$J146=0),"",$I146/$J146)</f>
        <v/>
      </c>
      <c r="L146" s="9" t="str">
        <f aca="false">IF(OR($E146="",$E146=0),"",$H146/$E146)</f>
        <v/>
      </c>
      <c r="M146" s="10" t="str">
        <f aca="false">IF(OR($L146="",$L146=0),"",($I146/30)/$L146)</f>
        <v/>
      </c>
      <c r="N146" s="8"/>
      <c r="O146" s="11" t="str">
        <f aca="false">IF(OR($I146="",$N146=""),"",($I146/1000)*$N146)</f>
        <v/>
      </c>
      <c r="P146" s="12" t="str">
        <f aca="false">IF($C146="","",IFERROR(ROUND(MIN(25,($N146/Instellingen!$B$3)*25)+MIN(25,($I146/Instellingen!$B$4)*25)+MIN(25,($J146/Instellingen!$B$5)*25)+MIN(25,(IF($M146="",0,$M146)/Instellingen!$B$6)*25),0),""))</f>
        <v/>
      </c>
      <c r="Q146" s="13" t="str">
        <f aca="false">IF($P146="","",IF($P146&gt;=Instellingen!$B$7,"Sterke niche",IF($P146&gt;=Instellingen!$B$8,"Belofte - opvolgen",IF($P146&gt;=Instellingen!$B$9,"Zwak - twijfel","Vermijden"))))</f>
        <v/>
      </c>
      <c r="R146" s="5"/>
      <c r="T146" s="1" t="str">
        <f aca="false">IF($C146="","",IF($P146=_xlfn.MAXIFS($P$3:$P$1000,$B$3:$B$1000,$B146),"★ Cash cow – handmatig onderzoeken",""))</f>
        <v/>
      </c>
    </row>
    <row r="147" customFormat="false" ht="14.25" hidden="false" customHeight="true" outlineLevel="0" collapsed="false">
      <c r="A147" s="4"/>
      <c r="B147" s="5"/>
      <c r="C147" s="5"/>
      <c r="D147" s="5"/>
      <c r="E147" s="6"/>
      <c r="F147" s="7"/>
      <c r="G147" s="8"/>
      <c r="H147" s="7"/>
      <c r="I147" s="7"/>
      <c r="J147" s="6"/>
      <c r="K147" s="9" t="str">
        <f aca="false">IF(OR($J147="",$J147=0),"",$I147/$J147)</f>
        <v/>
      </c>
      <c r="L147" s="9" t="str">
        <f aca="false">IF(OR($E147="",$E147=0),"",$H147/$E147)</f>
        <v/>
      </c>
      <c r="M147" s="10" t="str">
        <f aca="false">IF(OR($L147="",$L147=0),"",($I147/30)/$L147)</f>
        <v/>
      </c>
      <c r="N147" s="8"/>
      <c r="O147" s="11" t="str">
        <f aca="false">IF(OR($I147="",$N147=""),"",($I147/1000)*$N147)</f>
        <v/>
      </c>
      <c r="P147" s="12" t="str">
        <f aca="false">IF($C147="","",IFERROR(ROUND(MIN(25,($N147/Instellingen!$B$3)*25)+MIN(25,($I147/Instellingen!$B$4)*25)+MIN(25,($J147/Instellingen!$B$5)*25)+MIN(25,(IF($M147="",0,$M147)/Instellingen!$B$6)*25),0),""))</f>
        <v/>
      </c>
      <c r="Q147" s="13" t="str">
        <f aca="false">IF($P147="","",IF($P147&gt;=Instellingen!$B$7,"Sterke niche",IF($P147&gt;=Instellingen!$B$8,"Belofte - opvolgen",IF($P147&gt;=Instellingen!$B$9,"Zwak - twijfel","Vermijden"))))</f>
        <v/>
      </c>
      <c r="R147" s="5"/>
      <c r="T147" s="1" t="str">
        <f aca="false">IF($C147="","",IF($P147=_xlfn.MAXIFS($P$3:$P$1000,$B$3:$B$1000,$B147),"★ Cash cow – handmatig onderzoeken",""))</f>
        <v/>
      </c>
    </row>
    <row r="148" customFormat="false" ht="14.25" hidden="false" customHeight="true" outlineLevel="0" collapsed="false">
      <c r="A148" s="4"/>
      <c r="B148" s="5"/>
      <c r="C148" s="5"/>
      <c r="D148" s="5"/>
      <c r="E148" s="6"/>
      <c r="F148" s="7"/>
      <c r="G148" s="8"/>
      <c r="H148" s="7"/>
      <c r="I148" s="7"/>
      <c r="J148" s="6"/>
      <c r="K148" s="9" t="str">
        <f aca="false">IF(OR($J148="",$J148=0),"",$I148/$J148)</f>
        <v/>
      </c>
      <c r="L148" s="9" t="str">
        <f aca="false">IF(OR($E148="",$E148=0),"",$H148/$E148)</f>
        <v/>
      </c>
      <c r="M148" s="10" t="str">
        <f aca="false">IF(OR($L148="",$L148=0),"",($I148/30)/$L148)</f>
        <v/>
      </c>
      <c r="N148" s="8"/>
      <c r="O148" s="11" t="str">
        <f aca="false">IF(OR($I148="",$N148=""),"",($I148/1000)*$N148)</f>
        <v/>
      </c>
      <c r="P148" s="12" t="str">
        <f aca="false">IF($C148="","",IFERROR(ROUND(MIN(25,($N148/Instellingen!$B$3)*25)+MIN(25,($I148/Instellingen!$B$4)*25)+MIN(25,($J148/Instellingen!$B$5)*25)+MIN(25,(IF($M148="",0,$M148)/Instellingen!$B$6)*25),0),""))</f>
        <v/>
      </c>
      <c r="Q148" s="13" t="str">
        <f aca="false">IF($P148="","",IF($P148&gt;=Instellingen!$B$7,"Sterke niche",IF($P148&gt;=Instellingen!$B$8,"Belofte - opvolgen",IF($P148&gt;=Instellingen!$B$9,"Zwak - twijfel","Vermijden"))))</f>
        <v/>
      </c>
      <c r="R148" s="5"/>
      <c r="T148" s="1" t="str">
        <f aca="false">IF($C148="","",IF($P148=_xlfn.MAXIFS($P$3:$P$1000,$B$3:$B$1000,$B148),"★ Cash cow – handmatig onderzoeken",""))</f>
        <v/>
      </c>
    </row>
    <row r="149" customFormat="false" ht="14.25" hidden="false" customHeight="true" outlineLevel="0" collapsed="false">
      <c r="A149" s="4"/>
      <c r="B149" s="5"/>
      <c r="C149" s="5"/>
      <c r="D149" s="5"/>
      <c r="E149" s="6"/>
      <c r="F149" s="7"/>
      <c r="G149" s="8"/>
      <c r="H149" s="7"/>
      <c r="I149" s="7"/>
      <c r="J149" s="6"/>
      <c r="K149" s="9" t="str">
        <f aca="false">IF(OR($J149="",$J149=0),"",$I149/$J149)</f>
        <v/>
      </c>
      <c r="L149" s="9" t="str">
        <f aca="false">IF(OR($E149="",$E149=0),"",$H149/$E149)</f>
        <v/>
      </c>
      <c r="M149" s="10" t="str">
        <f aca="false">IF(OR($L149="",$L149=0),"",($I149/30)/$L149)</f>
        <v/>
      </c>
      <c r="N149" s="8"/>
      <c r="O149" s="11" t="str">
        <f aca="false">IF(OR($I149="",$N149=""),"",($I149/1000)*$N149)</f>
        <v/>
      </c>
      <c r="P149" s="12" t="str">
        <f aca="false">IF($C149="","",IFERROR(ROUND(MIN(25,($N149/Instellingen!$B$3)*25)+MIN(25,($I149/Instellingen!$B$4)*25)+MIN(25,($J149/Instellingen!$B$5)*25)+MIN(25,(IF($M149="",0,$M149)/Instellingen!$B$6)*25),0),""))</f>
        <v/>
      </c>
      <c r="Q149" s="13" t="str">
        <f aca="false">IF($P149="","",IF($P149&gt;=Instellingen!$B$7,"Sterke niche",IF($P149&gt;=Instellingen!$B$8,"Belofte - opvolgen",IF($P149&gt;=Instellingen!$B$9,"Zwak - twijfel","Vermijden"))))</f>
        <v/>
      </c>
      <c r="R149" s="5"/>
      <c r="T149" s="1" t="str">
        <f aca="false">IF($C149="","",IF($P149=_xlfn.MAXIFS($P$3:$P$1000,$B$3:$B$1000,$B149),"★ Cash cow – handmatig onderzoeken",""))</f>
        <v/>
      </c>
    </row>
    <row r="150" customFormat="false" ht="14.25" hidden="false" customHeight="true" outlineLevel="0" collapsed="false">
      <c r="A150" s="4"/>
      <c r="B150" s="5"/>
      <c r="C150" s="5"/>
      <c r="D150" s="5"/>
      <c r="E150" s="6"/>
      <c r="F150" s="7"/>
      <c r="G150" s="8"/>
      <c r="H150" s="7"/>
      <c r="I150" s="7"/>
      <c r="J150" s="6"/>
      <c r="K150" s="9" t="str">
        <f aca="false">IF(OR($J150="",$J150=0),"",$I150/$J150)</f>
        <v/>
      </c>
      <c r="L150" s="9" t="str">
        <f aca="false">IF(OR($E150="",$E150=0),"",$H150/$E150)</f>
        <v/>
      </c>
      <c r="M150" s="10" t="str">
        <f aca="false">IF(OR($L150="",$L150=0),"",($I150/30)/$L150)</f>
        <v/>
      </c>
      <c r="N150" s="8"/>
      <c r="O150" s="11" t="str">
        <f aca="false">IF(OR($I150="",$N150=""),"",($I150/1000)*$N150)</f>
        <v/>
      </c>
      <c r="P150" s="12" t="str">
        <f aca="false">IF($C150="","",IFERROR(ROUND(MIN(25,($N150/Instellingen!$B$3)*25)+MIN(25,($I150/Instellingen!$B$4)*25)+MIN(25,($J150/Instellingen!$B$5)*25)+MIN(25,(IF($M150="",0,$M150)/Instellingen!$B$6)*25),0),""))</f>
        <v/>
      </c>
      <c r="Q150" s="13" t="str">
        <f aca="false">IF($P150="","",IF($P150&gt;=Instellingen!$B$7,"Sterke niche",IF($P150&gt;=Instellingen!$B$8,"Belofte - opvolgen",IF($P150&gt;=Instellingen!$B$9,"Zwak - twijfel","Vermijden"))))</f>
        <v/>
      </c>
      <c r="R150" s="5"/>
      <c r="T150" s="1" t="str">
        <f aca="false">IF($C150="","",IF($P150=_xlfn.MAXIFS($P$3:$P$1000,$B$3:$B$1000,$B150),"★ Cash cow – handmatig onderzoeken",""))</f>
        <v/>
      </c>
    </row>
    <row r="151" customFormat="false" ht="14.25" hidden="false" customHeight="true" outlineLevel="0" collapsed="false">
      <c r="A151" s="4"/>
      <c r="B151" s="5"/>
      <c r="C151" s="5"/>
      <c r="D151" s="5"/>
      <c r="E151" s="6"/>
      <c r="F151" s="7"/>
      <c r="G151" s="8"/>
      <c r="H151" s="7"/>
      <c r="I151" s="7"/>
      <c r="J151" s="6"/>
      <c r="K151" s="9" t="str">
        <f aca="false">IF(OR($J151="",$J151=0),"",$I151/$J151)</f>
        <v/>
      </c>
      <c r="L151" s="9" t="str">
        <f aca="false">IF(OR($E151="",$E151=0),"",$H151/$E151)</f>
        <v/>
      </c>
      <c r="M151" s="10" t="str">
        <f aca="false">IF(OR($L151="",$L151=0),"",($I151/30)/$L151)</f>
        <v/>
      </c>
      <c r="N151" s="8"/>
      <c r="O151" s="11" t="str">
        <f aca="false">IF(OR($I151="",$N151=""),"",($I151/1000)*$N151)</f>
        <v/>
      </c>
      <c r="P151" s="12" t="str">
        <f aca="false">IF($C151="","",IFERROR(ROUND(MIN(25,($N151/Instellingen!$B$3)*25)+MIN(25,($I151/Instellingen!$B$4)*25)+MIN(25,($J151/Instellingen!$B$5)*25)+MIN(25,(IF($M151="",0,$M151)/Instellingen!$B$6)*25),0),""))</f>
        <v/>
      </c>
      <c r="Q151" s="13" t="str">
        <f aca="false">IF($P151="","",IF($P151&gt;=Instellingen!$B$7,"Sterke niche",IF($P151&gt;=Instellingen!$B$8,"Belofte - opvolgen",IF($P151&gt;=Instellingen!$B$9,"Zwak - twijfel","Vermijden"))))</f>
        <v/>
      </c>
      <c r="R151" s="5"/>
      <c r="T151" s="1" t="str">
        <f aca="false">IF($C151="","",IF($P151=_xlfn.MAXIFS($P$3:$P$1000,$B$3:$B$1000,$B151),"★ Cash cow – handmatig onderzoeken",""))</f>
        <v/>
      </c>
    </row>
    <row r="152" customFormat="false" ht="14.25" hidden="false" customHeight="true" outlineLevel="0" collapsed="false">
      <c r="A152" s="4"/>
      <c r="B152" s="5"/>
      <c r="C152" s="5"/>
      <c r="D152" s="5"/>
      <c r="E152" s="6"/>
      <c r="F152" s="7"/>
      <c r="G152" s="8"/>
      <c r="H152" s="7"/>
      <c r="I152" s="7"/>
      <c r="J152" s="6"/>
      <c r="K152" s="9" t="str">
        <f aca="false">IF(OR($J152="",$J152=0),"",$I152/$J152)</f>
        <v/>
      </c>
      <c r="L152" s="9" t="str">
        <f aca="false">IF(OR($E152="",$E152=0),"",$H152/$E152)</f>
        <v/>
      </c>
      <c r="M152" s="10" t="str">
        <f aca="false">IF(OR($L152="",$L152=0),"",($I152/30)/$L152)</f>
        <v/>
      </c>
      <c r="N152" s="8"/>
      <c r="O152" s="11" t="str">
        <f aca="false">IF(OR($I152="",$N152=""),"",($I152/1000)*$N152)</f>
        <v/>
      </c>
      <c r="P152" s="12" t="str">
        <f aca="false">IF($C152="","",IFERROR(ROUND(MIN(25,($N152/Instellingen!$B$3)*25)+MIN(25,($I152/Instellingen!$B$4)*25)+MIN(25,($J152/Instellingen!$B$5)*25)+MIN(25,(IF($M152="",0,$M152)/Instellingen!$B$6)*25),0),""))</f>
        <v/>
      </c>
      <c r="Q152" s="13" t="str">
        <f aca="false">IF($P152="","",IF($P152&gt;=Instellingen!$B$7,"Sterke niche",IF($P152&gt;=Instellingen!$B$8,"Belofte - opvolgen",IF($P152&gt;=Instellingen!$B$9,"Zwak - twijfel","Vermijden"))))</f>
        <v/>
      </c>
      <c r="R152" s="5"/>
      <c r="T152" s="1" t="str">
        <f aca="false">IF($C152="","",IF($P152=_xlfn.MAXIFS($P$3:$P$1000,$B$3:$B$1000,$B152),"★ Cash cow – handmatig onderzoeken",""))</f>
        <v/>
      </c>
    </row>
    <row r="153" customFormat="false" ht="14.25" hidden="false" customHeight="true" outlineLevel="0" collapsed="false">
      <c r="A153" s="4"/>
      <c r="B153" s="5"/>
      <c r="C153" s="5"/>
      <c r="D153" s="5"/>
      <c r="E153" s="6"/>
      <c r="F153" s="7"/>
      <c r="G153" s="8"/>
      <c r="H153" s="7"/>
      <c r="I153" s="7"/>
      <c r="J153" s="6"/>
      <c r="K153" s="9" t="str">
        <f aca="false">IF(OR($J153="",$J153=0),"",$I153/$J153)</f>
        <v/>
      </c>
      <c r="L153" s="9" t="str">
        <f aca="false">IF(OR($E153="",$E153=0),"",$H153/$E153)</f>
        <v/>
      </c>
      <c r="M153" s="10" t="str">
        <f aca="false">IF(OR($L153="",$L153=0),"",($I153/30)/$L153)</f>
        <v/>
      </c>
      <c r="N153" s="8"/>
      <c r="O153" s="11" t="str">
        <f aca="false">IF(OR($I153="",$N153=""),"",($I153/1000)*$N153)</f>
        <v/>
      </c>
      <c r="P153" s="12" t="str">
        <f aca="false">IF($C153="","",IFERROR(ROUND(MIN(25,($N153/Instellingen!$B$3)*25)+MIN(25,($I153/Instellingen!$B$4)*25)+MIN(25,($J153/Instellingen!$B$5)*25)+MIN(25,(IF($M153="",0,$M153)/Instellingen!$B$6)*25),0),""))</f>
        <v/>
      </c>
      <c r="Q153" s="13" t="str">
        <f aca="false">IF($P153="","",IF($P153&gt;=Instellingen!$B$7,"Sterke niche",IF($P153&gt;=Instellingen!$B$8,"Belofte - opvolgen",IF($P153&gt;=Instellingen!$B$9,"Zwak - twijfel","Vermijden"))))</f>
        <v/>
      </c>
      <c r="R153" s="5"/>
      <c r="T153" s="1" t="str">
        <f aca="false">IF($C153="","",IF($P153=_xlfn.MAXIFS($P$3:$P$1000,$B$3:$B$1000,$B153),"★ Cash cow – handmatig onderzoeken",""))</f>
        <v/>
      </c>
    </row>
    <row r="154" customFormat="false" ht="14.25" hidden="false" customHeight="true" outlineLevel="0" collapsed="false">
      <c r="A154" s="4"/>
      <c r="B154" s="5"/>
      <c r="C154" s="5"/>
      <c r="D154" s="5"/>
      <c r="E154" s="6"/>
      <c r="F154" s="7"/>
      <c r="G154" s="8"/>
      <c r="H154" s="7"/>
      <c r="I154" s="7"/>
      <c r="J154" s="6"/>
      <c r="K154" s="9" t="str">
        <f aca="false">IF(OR($J154="",$J154=0),"",$I154/$J154)</f>
        <v/>
      </c>
      <c r="L154" s="9" t="str">
        <f aca="false">IF(OR($E154="",$E154=0),"",$H154/$E154)</f>
        <v/>
      </c>
      <c r="M154" s="10" t="str">
        <f aca="false">IF(OR($L154="",$L154=0),"",($I154/30)/$L154)</f>
        <v/>
      </c>
      <c r="N154" s="8"/>
      <c r="O154" s="11" t="str">
        <f aca="false">IF(OR($I154="",$N154=""),"",($I154/1000)*$N154)</f>
        <v/>
      </c>
      <c r="P154" s="12" t="str">
        <f aca="false">IF($C154="","",IFERROR(ROUND(MIN(25,($N154/Instellingen!$B$3)*25)+MIN(25,($I154/Instellingen!$B$4)*25)+MIN(25,($J154/Instellingen!$B$5)*25)+MIN(25,(IF($M154="",0,$M154)/Instellingen!$B$6)*25),0),""))</f>
        <v/>
      </c>
      <c r="Q154" s="13" t="str">
        <f aca="false">IF($P154="","",IF($P154&gt;=Instellingen!$B$7,"Sterke niche",IF($P154&gt;=Instellingen!$B$8,"Belofte - opvolgen",IF($P154&gt;=Instellingen!$B$9,"Zwak - twijfel","Vermijden"))))</f>
        <v/>
      </c>
      <c r="R154" s="5"/>
      <c r="T154" s="1" t="str">
        <f aca="false">IF($C154="","",IF($P154=_xlfn.MAXIFS($P$3:$P$1000,$B$3:$B$1000,$B154),"★ Cash cow – handmatig onderzoeken",""))</f>
        <v/>
      </c>
    </row>
    <row r="155" customFormat="false" ht="14.25" hidden="false" customHeight="true" outlineLevel="0" collapsed="false">
      <c r="A155" s="4"/>
      <c r="B155" s="5"/>
      <c r="C155" s="5"/>
      <c r="D155" s="5"/>
      <c r="E155" s="6"/>
      <c r="F155" s="7"/>
      <c r="G155" s="8"/>
      <c r="H155" s="7"/>
      <c r="I155" s="7"/>
      <c r="J155" s="6"/>
      <c r="K155" s="9" t="str">
        <f aca="false">IF(OR($J155="",$J155=0),"",$I155/$J155)</f>
        <v/>
      </c>
      <c r="L155" s="9" t="str">
        <f aca="false">IF(OR($E155="",$E155=0),"",$H155/$E155)</f>
        <v/>
      </c>
      <c r="M155" s="10" t="str">
        <f aca="false">IF(OR($L155="",$L155=0),"",($I155/30)/$L155)</f>
        <v/>
      </c>
      <c r="N155" s="8"/>
      <c r="O155" s="11" t="str">
        <f aca="false">IF(OR($I155="",$N155=""),"",($I155/1000)*$N155)</f>
        <v/>
      </c>
      <c r="P155" s="12" t="str">
        <f aca="false">IF($C155="","",IFERROR(ROUND(MIN(25,($N155/Instellingen!$B$3)*25)+MIN(25,($I155/Instellingen!$B$4)*25)+MIN(25,($J155/Instellingen!$B$5)*25)+MIN(25,(IF($M155="",0,$M155)/Instellingen!$B$6)*25),0),""))</f>
        <v/>
      </c>
      <c r="Q155" s="13" t="str">
        <f aca="false">IF($P155="","",IF($P155&gt;=Instellingen!$B$7,"Sterke niche",IF($P155&gt;=Instellingen!$B$8,"Belofte - opvolgen",IF($P155&gt;=Instellingen!$B$9,"Zwak - twijfel","Vermijden"))))</f>
        <v/>
      </c>
      <c r="R155" s="5"/>
      <c r="T155" s="1" t="str">
        <f aca="false">IF($C155="","",IF($P155=_xlfn.MAXIFS($P$3:$P$1000,$B$3:$B$1000,$B155),"★ Cash cow – handmatig onderzoeken",""))</f>
        <v/>
      </c>
    </row>
    <row r="156" customFormat="false" ht="14.25" hidden="false" customHeight="true" outlineLevel="0" collapsed="false">
      <c r="A156" s="4"/>
      <c r="B156" s="5"/>
      <c r="C156" s="5"/>
      <c r="D156" s="5"/>
      <c r="E156" s="6"/>
      <c r="F156" s="7"/>
      <c r="G156" s="8"/>
      <c r="H156" s="7"/>
      <c r="I156" s="7"/>
      <c r="J156" s="6"/>
      <c r="K156" s="9" t="str">
        <f aca="false">IF(OR($J156="",$J156=0),"",$I156/$J156)</f>
        <v/>
      </c>
      <c r="L156" s="9" t="str">
        <f aca="false">IF(OR($E156="",$E156=0),"",$H156/$E156)</f>
        <v/>
      </c>
      <c r="M156" s="10" t="str">
        <f aca="false">IF(OR($L156="",$L156=0),"",($I156/30)/$L156)</f>
        <v/>
      </c>
      <c r="N156" s="8"/>
      <c r="O156" s="11" t="str">
        <f aca="false">IF(OR($I156="",$N156=""),"",($I156/1000)*$N156)</f>
        <v/>
      </c>
      <c r="P156" s="12" t="str">
        <f aca="false">IF($C156="","",IFERROR(ROUND(MIN(25,($N156/Instellingen!$B$3)*25)+MIN(25,($I156/Instellingen!$B$4)*25)+MIN(25,($J156/Instellingen!$B$5)*25)+MIN(25,(IF($M156="",0,$M156)/Instellingen!$B$6)*25),0),""))</f>
        <v/>
      </c>
      <c r="Q156" s="13" t="str">
        <f aca="false">IF($P156="","",IF($P156&gt;=Instellingen!$B$7,"Sterke niche",IF($P156&gt;=Instellingen!$B$8,"Belofte - opvolgen",IF($P156&gt;=Instellingen!$B$9,"Zwak - twijfel","Vermijden"))))</f>
        <v/>
      </c>
      <c r="R156" s="5"/>
      <c r="T156" s="1" t="str">
        <f aca="false">IF($C156="","",IF($P156=_xlfn.MAXIFS($P$3:$P$1000,$B$3:$B$1000,$B156),"★ Cash cow – handmatig onderzoeken",""))</f>
        <v/>
      </c>
    </row>
    <row r="157" customFormat="false" ht="14.25" hidden="false" customHeight="true" outlineLevel="0" collapsed="false">
      <c r="A157" s="4"/>
      <c r="B157" s="5"/>
      <c r="C157" s="5"/>
      <c r="D157" s="5"/>
      <c r="E157" s="6"/>
      <c r="F157" s="7"/>
      <c r="G157" s="8"/>
      <c r="H157" s="7"/>
      <c r="I157" s="7"/>
      <c r="J157" s="6"/>
      <c r="K157" s="9" t="str">
        <f aca="false">IF(OR($J157="",$J157=0),"",$I157/$J157)</f>
        <v/>
      </c>
      <c r="L157" s="9" t="str">
        <f aca="false">IF(OR($E157="",$E157=0),"",$H157/$E157)</f>
        <v/>
      </c>
      <c r="M157" s="10" t="str">
        <f aca="false">IF(OR($L157="",$L157=0),"",($I157/30)/$L157)</f>
        <v/>
      </c>
      <c r="N157" s="8"/>
      <c r="O157" s="11" t="str">
        <f aca="false">IF(OR($I157="",$N157=""),"",($I157/1000)*$N157)</f>
        <v/>
      </c>
      <c r="P157" s="12" t="str">
        <f aca="false">IF($C157="","",IFERROR(ROUND(MIN(25,($N157/Instellingen!$B$3)*25)+MIN(25,($I157/Instellingen!$B$4)*25)+MIN(25,($J157/Instellingen!$B$5)*25)+MIN(25,(IF($M157="",0,$M157)/Instellingen!$B$6)*25),0),""))</f>
        <v/>
      </c>
      <c r="Q157" s="13" t="str">
        <f aca="false">IF($P157="","",IF($P157&gt;=Instellingen!$B$7,"Sterke niche",IF($P157&gt;=Instellingen!$B$8,"Belofte - opvolgen",IF($P157&gt;=Instellingen!$B$9,"Zwak - twijfel","Vermijden"))))</f>
        <v/>
      </c>
      <c r="R157" s="5"/>
      <c r="T157" s="1" t="str">
        <f aca="false">IF($C157="","",IF($P157=_xlfn.MAXIFS($P$3:$P$1000,$B$3:$B$1000,$B157),"★ Cash cow – handmatig onderzoeken",""))</f>
        <v/>
      </c>
    </row>
    <row r="158" customFormat="false" ht="14.25" hidden="false" customHeight="true" outlineLevel="0" collapsed="false">
      <c r="A158" s="4"/>
      <c r="B158" s="5"/>
      <c r="C158" s="5"/>
      <c r="D158" s="5"/>
      <c r="E158" s="6"/>
      <c r="F158" s="7"/>
      <c r="G158" s="8"/>
      <c r="H158" s="7"/>
      <c r="I158" s="7"/>
      <c r="J158" s="6"/>
      <c r="K158" s="9" t="str">
        <f aca="false">IF(OR($J158="",$J158=0),"",$I158/$J158)</f>
        <v/>
      </c>
      <c r="L158" s="9" t="str">
        <f aca="false">IF(OR($E158="",$E158=0),"",$H158/$E158)</f>
        <v/>
      </c>
      <c r="M158" s="10" t="str">
        <f aca="false">IF(OR($L158="",$L158=0),"",($I158/30)/$L158)</f>
        <v/>
      </c>
      <c r="N158" s="8"/>
      <c r="O158" s="11" t="str">
        <f aca="false">IF(OR($I158="",$N158=""),"",($I158/1000)*$N158)</f>
        <v/>
      </c>
      <c r="P158" s="12" t="str">
        <f aca="false">IF($C158="","",IFERROR(ROUND(MIN(25,($N158/Instellingen!$B$3)*25)+MIN(25,($I158/Instellingen!$B$4)*25)+MIN(25,($J158/Instellingen!$B$5)*25)+MIN(25,(IF($M158="",0,$M158)/Instellingen!$B$6)*25),0),""))</f>
        <v/>
      </c>
      <c r="Q158" s="13" t="str">
        <f aca="false">IF($P158="","",IF($P158&gt;=Instellingen!$B$7,"Sterke niche",IF($P158&gt;=Instellingen!$B$8,"Belofte - opvolgen",IF($P158&gt;=Instellingen!$B$9,"Zwak - twijfel","Vermijden"))))</f>
        <v/>
      </c>
      <c r="R158" s="5"/>
      <c r="T158" s="1" t="str">
        <f aca="false">IF($C158="","",IF($P158=_xlfn.MAXIFS($P$3:$P$1000,$B$3:$B$1000,$B158),"★ Cash cow – handmatig onderzoeken",""))</f>
        <v/>
      </c>
    </row>
    <row r="159" customFormat="false" ht="14.25" hidden="false" customHeight="true" outlineLevel="0" collapsed="false">
      <c r="A159" s="4"/>
      <c r="B159" s="5"/>
      <c r="C159" s="5"/>
      <c r="D159" s="5"/>
      <c r="E159" s="6"/>
      <c r="F159" s="7"/>
      <c r="G159" s="8"/>
      <c r="H159" s="7"/>
      <c r="I159" s="7"/>
      <c r="J159" s="6"/>
      <c r="K159" s="9" t="str">
        <f aca="false">IF(OR($J159="",$J159=0),"",$I159/$J159)</f>
        <v/>
      </c>
      <c r="L159" s="9" t="str">
        <f aca="false">IF(OR($E159="",$E159=0),"",$H159/$E159)</f>
        <v/>
      </c>
      <c r="M159" s="10" t="str">
        <f aca="false">IF(OR($L159="",$L159=0),"",($I159/30)/$L159)</f>
        <v/>
      </c>
      <c r="N159" s="8"/>
      <c r="O159" s="11" t="str">
        <f aca="false">IF(OR($I159="",$N159=""),"",($I159/1000)*$N159)</f>
        <v/>
      </c>
      <c r="P159" s="12" t="str">
        <f aca="false">IF($C159="","",IFERROR(ROUND(MIN(25,($N159/Instellingen!$B$3)*25)+MIN(25,($I159/Instellingen!$B$4)*25)+MIN(25,($J159/Instellingen!$B$5)*25)+MIN(25,(IF($M159="",0,$M159)/Instellingen!$B$6)*25),0),""))</f>
        <v/>
      </c>
      <c r="Q159" s="13" t="str">
        <f aca="false">IF($P159="","",IF($P159&gt;=Instellingen!$B$7,"Sterke niche",IF($P159&gt;=Instellingen!$B$8,"Belofte - opvolgen",IF($P159&gt;=Instellingen!$B$9,"Zwak - twijfel","Vermijden"))))</f>
        <v/>
      </c>
      <c r="R159" s="5"/>
      <c r="T159" s="1" t="str">
        <f aca="false">IF($C159="","",IF($P159=_xlfn.MAXIFS($P$3:$P$1000,$B$3:$B$1000,$B159),"★ Cash cow – handmatig onderzoeken",""))</f>
        <v/>
      </c>
    </row>
    <row r="160" customFormat="false" ht="14.25" hidden="false" customHeight="true" outlineLevel="0" collapsed="false">
      <c r="A160" s="4"/>
      <c r="B160" s="5"/>
      <c r="C160" s="5"/>
      <c r="D160" s="5"/>
      <c r="E160" s="6"/>
      <c r="F160" s="7"/>
      <c r="G160" s="8"/>
      <c r="H160" s="7"/>
      <c r="I160" s="7"/>
      <c r="J160" s="6"/>
      <c r="K160" s="9" t="str">
        <f aca="false">IF(OR($J160="",$J160=0),"",$I160/$J160)</f>
        <v/>
      </c>
      <c r="L160" s="9" t="str">
        <f aca="false">IF(OR($E160="",$E160=0),"",$H160/$E160)</f>
        <v/>
      </c>
      <c r="M160" s="10" t="str">
        <f aca="false">IF(OR($L160="",$L160=0),"",($I160/30)/$L160)</f>
        <v/>
      </c>
      <c r="N160" s="8"/>
      <c r="O160" s="11" t="str">
        <f aca="false">IF(OR($I160="",$N160=""),"",($I160/1000)*$N160)</f>
        <v/>
      </c>
      <c r="P160" s="12" t="str">
        <f aca="false">IF($C160="","",IFERROR(ROUND(MIN(25,($N160/Instellingen!$B$3)*25)+MIN(25,($I160/Instellingen!$B$4)*25)+MIN(25,($J160/Instellingen!$B$5)*25)+MIN(25,(IF($M160="",0,$M160)/Instellingen!$B$6)*25),0),""))</f>
        <v/>
      </c>
      <c r="Q160" s="13" t="str">
        <f aca="false">IF($P160="","",IF($P160&gt;=Instellingen!$B$7,"Sterke niche",IF($P160&gt;=Instellingen!$B$8,"Belofte - opvolgen",IF($P160&gt;=Instellingen!$B$9,"Zwak - twijfel","Vermijden"))))</f>
        <v/>
      </c>
      <c r="R160" s="5"/>
      <c r="T160" s="1" t="str">
        <f aca="false">IF($C160="","",IF($P160=_xlfn.MAXIFS($P$3:$P$1000,$B$3:$B$1000,$B160),"★ Cash cow – handmatig onderzoeken",""))</f>
        <v/>
      </c>
    </row>
    <row r="161" customFormat="false" ht="14.25" hidden="false" customHeight="true" outlineLevel="0" collapsed="false">
      <c r="A161" s="4"/>
      <c r="B161" s="5"/>
      <c r="C161" s="5"/>
      <c r="D161" s="5"/>
      <c r="E161" s="6"/>
      <c r="F161" s="7"/>
      <c r="G161" s="8"/>
      <c r="H161" s="7"/>
      <c r="I161" s="7"/>
      <c r="J161" s="6"/>
      <c r="K161" s="9" t="str">
        <f aca="false">IF(OR($J161="",$J161=0),"",$I161/$J161)</f>
        <v/>
      </c>
      <c r="L161" s="9" t="str">
        <f aca="false">IF(OR($E161="",$E161=0),"",$H161/$E161)</f>
        <v/>
      </c>
      <c r="M161" s="10" t="str">
        <f aca="false">IF(OR($L161="",$L161=0),"",($I161/30)/$L161)</f>
        <v/>
      </c>
      <c r="N161" s="8"/>
      <c r="O161" s="11" t="str">
        <f aca="false">IF(OR($I161="",$N161=""),"",($I161/1000)*$N161)</f>
        <v/>
      </c>
      <c r="P161" s="12" t="str">
        <f aca="false">IF($C161="","",IFERROR(ROUND(MIN(25,($N161/Instellingen!$B$3)*25)+MIN(25,($I161/Instellingen!$B$4)*25)+MIN(25,($J161/Instellingen!$B$5)*25)+MIN(25,(IF($M161="",0,$M161)/Instellingen!$B$6)*25),0),""))</f>
        <v/>
      </c>
      <c r="Q161" s="13" t="str">
        <f aca="false">IF($P161="","",IF($P161&gt;=Instellingen!$B$7,"Sterke niche",IF($P161&gt;=Instellingen!$B$8,"Belofte - opvolgen",IF($P161&gt;=Instellingen!$B$9,"Zwak - twijfel","Vermijden"))))</f>
        <v/>
      </c>
      <c r="R161" s="5"/>
      <c r="T161" s="1" t="str">
        <f aca="false">IF($C161="","",IF($P161=_xlfn.MAXIFS($P$3:$P$1000,$B$3:$B$1000,$B161),"★ Cash cow – handmatig onderzoeken",""))</f>
        <v/>
      </c>
    </row>
    <row r="162" customFormat="false" ht="14.25" hidden="false" customHeight="true" outlineLevel="0" collapsed="false">
      <c r="A162" s="4"/>
      <c r="B162" s="5"/>
      <c r="C162" s="5"/>
      <c r="D162" s="5"/>
      <c r="E162" s="6"/>
      <c r="F162" s="7"/>
      <c r="G162" s="8"/>
      <c r="H162" s="7"/>
      <c r="I162" s="7"/>
      <c r="J162" s="6"/>
      <c r="K162" s="9" t="str">
        <f aca="false">IF(OR($J162="",$J162=0),"",$I162/$J162)</f>
        <v/>
      </c>
      <c r="L162" s="9" t="str">
        <f aca="false">IF(OR($E162="",$E162=0),"",$H162/$E162)</f>
        <v/>
      </c>
      <c r="M162" s="10" t="str">
        <f aca="false">IF(OR($L162="",$L162=0),"",($I162/30)/$L162)</f>
        <v/>
      </c>
      <c r="N162" s="8"/>
      <c r="O162" s="11" t="str">
        <f aca="false">IF(OR($I162="",$N162=""),"",($I162/1000)*$N162)</f>
        <v/>
      </c>
      <c r="P162" s="12" t="str">
        <f aca="false">IF($C162="","",IFERROR(ROUND(MIN(25,($N162/Instellingen!$B$3)*25)+MIN(25,($I162/Instellingen!$B$4)*25)+MIN(25,($J162/Instellingen!$B$5)*25)+MIN(25,(IF($M162="",0,$M162)/Instellingen!$B$6)*25),0),""))</f>
        <v/>
      </c>
      <c r="Q162" s="13" t="str">
        <f aca="false">IF($P162="","",IF($P162&gt;=Instellingen!$B$7,"Sterke niche",IF($P162&gt;=Instellingen!$B$8,"Belofte - opvolgen",IF($P162&gt;=Instellingen!$B$9,"Zwak - twijfel","Vermijden"))))</f>
        <v/>
      </c>
      <c r="R162" s="5"/>
      <c r="T162" s="1" t="str">
        <f aca="false">IF($C162="","",IF($P162=_xlfn.MAXIFS($P$3:$P$1000,$B$3:$B$1000,$B162),"★ Cash cow – handmatig onderzoeken",""))</f>
        <v/>
      </c>
    </row>
    <row r="163" customFormat="false" ht="14.25" hidden="false" customHeight="true" outlineLevel="0" collapsed="false">
      <c r="A163" s="4"/>
      <c r="B163" s="5"/>
      <c r="C163" s="5"/>
      <c r="D163" s="5"/>
      <c r="E163" s="6"/>
      <c r="F163" s="7"/>
      <c r="G163" s="8"/>
      <c r="H163" s="7"/>
      <c r="I163" s="7"/>
      <c r="J163" s="6"/>
      <c r="K163" s="9" t="str">
        <f aca="false">IF(OR($J163="",$J163=0),"",$I163/$J163)</f>
        <v/>
      </c>
      <c r="L163" s="9" t="str">
        <f aca="false">IF(OR($E163="",$E163=0),"",$H163/$E163)</f>
        <v/>
      </c>
      <c r="M163" s="10" t="str">
        <f aca="false">IF(OR($L163="",$L163=0),"",($I163/30)/$L163)</f>
        <v/>
      </c>
      <c r="N163" s="8"/>
      <c r="O163" s="11" t="str">
        <f aca="false">IF(OR($I163="",$N163=""),"",($I163/1000)*$N163)</f>
        <v/>
      </c>
      <c r="P163" s="12" t="str">
        <f aca="false">IF($C163="","",IFERROR(ROUND(MIN(25,($N163/Instellingen!$B$3)*25)+MIN(25,($I163/Instellingen!$B$4)*25)+MIN(25,($J163/Instellingen!$B$5)*25)+MIN(25,(IF($M163="",0,$M163)/Instellingen!$B$6)*25),0),""))</f>
        <v/>
      </c>
      <c r="Q163" s="13" t="str">
        <f aca="false">IF($P163="","",IF($P163&gt;=Instellingen!$B$7,"Sterke niche",IF($P163&gt;=Instellingen!$B$8,"Belofte - opvolgen",IF($P163&gt;=Instellingen!$B$9,"Zwak - twijfel","Vermijden"))))</f>
        <v/>
      </c>
      <c r="R163" s="5"/>
      <c r="T163" s="1" t="str">
        <f aca="false">IF($C163="","",IF($P163=_xlfn.MAXIFS($P$3:$P$1000,$B$3:$B$1000,$B163),"★ Cash cow – handmatig onderzoeken",""))</f>
        <v/>
      </c>
    </row>
    <row r="164" customFormat="false" ht="14.25" hidden="false" customHeight="true" outlineLevel="0" collapsed="false">
      <c r="A164" s="4"/>
      <c r="B164" s="5"/>
      <c r="C164" s="5"/>
      <c r="D164" s="5"/>
      <c r="E164" s="6"/>
      <c r="F164" s="7"/>
      <c r="G164" s="8"/>
      <c r="H164" s="7"/>
      <c r="I164" s="7"/>
      <c r="J164" s="6"/>
      <c r="K164" s="9" t="str">
        <f aca="false">IF(OR($J164="",$J164=0),"",$I164/$J164)</f>
        <v/>
      </c>
      <c r="L164" s="9" t="str">
        <f aca="false">IF(OR($E164="",$E164=0),"",$H164/$E164)</f>
        <v/>
      </c>
      <c r="M164" s="10" t="str">
        <f aca="false">IF(OR($L164="",$L164=0),"",($I164/30)/$L164)</f>
        <v/>
      </c>
      <c r="N164" s="8"/>
      <c r="O164" s="11" t="str">
        <f aca="false">IF(OR($I164="",$N164=""),"",($I164/1000)*$N164)</f>
        <v/>
      </c>
      <c r="P164" s="12" t="str">
        <f aca="false">IF($C164="","",IFERROR(ROUND(MIN(25,($N164/Instellingen!$B$3)*25)+MIN(25,($I164/Instellingen!$B$4)*25)+MIN(25,($J164/Instellingen!$B$5)*25)+MIN(25,(IF($M164="",0,$M164)/Instellingen!$B$6)*25),0),""))</f>
        <v/>
      </c>
      <c r="Q164" s="13" t="str">
        <f aca="false">IF($P164="","",IF($P164&gt;=Instellingen!$B$7,"Sterke niche",IF($P164&gt;=Instellingen!$B$8,"Belofte - opvolgen",IF($P164&gt;=Instellingen!$B$9,"Zwak - twijfel","Vermijden"))))</f>
        <v/>
      </c>
      <c r="R164" s="5"/>
      <c r="T164" s="1" t="str">
        <f aca="false">IF($C164="","",IF($P164=_xlfn.MAXIFS($P$3:$P$1000,$B$3:$B$1000,$B164),"★ Cash cow – handmatig onderzoeken",""))</f>
        <v/>
      </c>
    </row>
    <row r="165" customFormat="false" ht="14.25" hidden="false" customHeight="true" outlineLevel="0" collapsed="false">
      <c r="A165" s="4"/>
      <c r="B165" s="5"/>
      <c r="C165" s="5"/>
      <c r="D165" s="5"/>
      <c r="E165" s="6"/>
      <c r="F165" s="7"/>
      <c r="G165" s="8"/>
      <c r="H165" s="7"/>
      <c r="I165" s="7"/>
      <c r="J165" s="6"/>
      <c r="K165" s="9" t="str">
        <f aca="false">IF(OR($J165="",$J165=0),"",$I165/$J165)</f>
        <v/>
      </c>
      <c r="L165" s="9" t="str">
        <f aca="false">IF(OR($E165="",$E165=0),"",$H165/$E165)</f>
        <v/>
      </c>
      <c r="M165" s="10" t="str">
        <f aca="false">IF(OR($L165="",$L165=0),"",($I165/30)/$L165)</f>
        <v/>
      </c>
      <c r="N165" s="8"/>
      <c r="O165" s="11" t="str">
        <f aca="false">IF(OR($I165="",$N165=""),"",($I165/1000)*$N165)</f>
        <v/>
      </c>
      <c r="P165" s="12" t="str">
        <f aca="false">IF($C165="","",IFERROR(ROUND(MIN(25,($N165/Instellingen!$B$3)*25)+MIN(25,($I165/Instellingen!$B$4)*25)+MIN(25,($J165/Instellingen!$B$5)*25)+MIN(25,(IF($M165="",0,$M165)/Instellingen!$B$6)*25),0),""))</f>
        <v/>
      </c>
      <c r="Q165" s="13" t="str">
        <f aca="false">IF($P165="","",IF($P165&gt;=Instellingen!$B$7,"Sterke niche",IF($P165&gt;=Instellingen!$B$8,"Belofte - opvolgen",IF($P165&gt;=Instellingen!$B$9,"Zwak - twijfel","Vermijden"))))</f>
        <v/>
      </c>
      <c r="R165" s="5"/>
      <c r="T165" s="1" t="str">
        <f aca="false">IF($C165="","",IF($P165=_xlfn.MAXIFS($P$3:$P$1000,$B$3:$B$1000,$B165),"★ Cash cow – handmatig onderzoeken",""))</f>
        <v/>
      </c>
    </row>
    <row r="166" customFormat="false" ht="14.25" hidden="false" customHeight="true" outlineLevel="0" collapsed="false">
      <c r="A166" s="4"/>
      <c r="B166" s="5"/>
      <c r="C166" s="5"/>
      <c r="D166" s="5"/>
      <c r="E166" s="6"/>
      <c r="F166" s="7"/>
      <c r="G166" s="8"/>
      <c r="H166" s="7"/>
      <c r="I166" s="7"/>
      <c r="J166" s="6"/>
      <c r="K166" s="9" t="str">
        <f aca="false">IF(OR($J166="",$J166=0),"",$I166/$J166)</f>
        <v/>
      </c>
      <c r="L166" s="9" t="str">
        <f aca="false">IF(OR($E166="",$E166=0),"",$H166/$E166)</f>
        <v/>
      </c>
      <c r="M166" s="10" t="str">
        <f aca="false">IF(OR($L166="",$L166=0),"",($I166/30)/$L166)</f>
        <v/>
      </c>
      <c r="N166" s="8"/>
      <c r="O166" s="11" t="str">
        <f aca="false">IF(OR($I166="",$N166=""),"",($I166/1000)*$N166)</f>
        <v/>
      </c>
      <c r="P166" s="12" t="str">
        <f aca="false">IF($C166="","",IFERROR(ROUND(MIN(25,($N166/Instellingen!$B$3)*25)+MIN(25,($I166/Instellingen!$B$4)*25)+MIN(25,($J166/Instellingen!$B$5)*25)+MIN(25,(IF($M166="",0,$M166)/Instellingen!$B$6)*25),0),""))</f>
        <v/>
      </c>
      <c r="Q166" s="13" t="str">
        <f aca="false">IF($P166="","",IF($P166&gt;=Instellingen!$B$7,"Sterke niche",IF($P166&gt;=Instellingen!$B$8,"Belofte - opvolgen",IF($P166&gt;=Instellingen!$B$9,"Zwak - twijfel","Vermijden"))))</f>
        <v/>
      </c>
      <c r="R166" s="5"/>
      <c r="T166" s="1" t="str">
        <f aca="false">IF($C166="","",IF($P166=_xlfn.MAXIFS($P$3:$P$1000,$B$3:$B$1000,$B166),"★ Cash cow – handmatig onderzoeken",""))</f>
        <v/>
      </c>
    </row>
    <row r="167" customFormat="false" ht="14.25" hidden="false" customHeight="true" outlineLevel="0" collapsed="false">
      <c r="A167" s="4"/>
      <c r="B167" s="5"/>
      <c r="C167" s="5"/>
      <c r="D167" s="5"/>
      <c r="E167" s="6"/>
      <c r="F167" s="7"/>
      <c r="G167" s="8"/>
      <c r="H167" s="7"/>
      <c r="I167" s="7"/>
      <c r="J167" s="6"/>
      <c r="K167" s="9" t="str">
        <f aca="false">IF(OR($J167="",$J167=0),"",$I167/$J167)</f>
        <v/>
      </c>
      <c r="L167" s="9" t="str">
        <f aca="false">IF(OR($E167="",$E167=0),"",$H167/$E167)</f>
        <v/>
      </c>
      <c r="M167" s="10" t="str">
        <f aca="false">IF(OR($L167="",$L167=0),"",($I167/30)/$L167)</f>
        <v/>
      </c>
      <c r="N167" s="8"/>
      <c r="O167" s="11" t="str">
        <f aca="false">IF(OR($I167="",$N167=""),"",($I167/1000)*$N167)</f>
        <v/>
      </c>
      <c r="P167" s="12" t="str">
        <f aca="false">IF($C167="","",IFERROR(ROUND(MIN(25,($N167/Instellingen!$B$3)*25)+MIN(25,($I167/Instellingen!$B$4)*25)+MIN(25,($J167/Instellingen!$B$5)*25)+MIN(25,(IF($M167="",0,$M167)/Instellingen!$B$6)*25),0),""))</f>
        <v/>
      </c>
      <c r="Q167" s="13" t="str">
        <f aca="false">IF($P167="","",IF($P167&gt;=Instellingen!$B$7,"Sterke niche",IF($P167&gt;=Instellingen!$B$8,"Belofte - opvolgen",IF($P167&gt;=Instellingen!$B$9,"Zwak - twijfel","Vermijden"))))</f>
        <v/>
      </c>
      <c r="R167" s="5"/>
      <c r="T167" s="1" t="str">
        <f aca="false">IF($C167="","",IF($P167=_xlfn.MAXIFS($P$3:$P$1000,$B$3:$B$1000,$B167),"★ Cash cow – handmatig onderzoeken",""))</f>
        <v/>
      </c>
    </row>
    <row r="168" customFormat="false" ht="14.25" hidden="false" customHeight="true" outlineLevel="0" collapsed="false">
      <c r="A168" s="4"/>
      <c r="B168" s="5"/>
      <c r="C168" s="5"/>
      <c r="D168" s="5"/>
      <c r="E168" s="6"/>
      <c r="F168" s="7"/>
      <c r="G168" s="8"/>
      <c r="H168" s="7"/>
      <c r="I168" s="7"/>
      <c r="J168" s="6"/>
      <c r="K168" s="9" t="str">
        <f aca="false">IF(OR($J168="",$J168=0),"",$I168/$J168)</f>
        <v/>
      </c>
      <c r="L168" s="9" t="str">
        <f aca="false">IF(OR($E168="",$E168=0),"",$H168/$E168)</f>
        <v/>
      </c>
      <c r="M168" s="10" t="str">
        <f aca="false">IF(OR($L168="",$L168=0),"",($I168/30)/$L168)</f>
        <v/>
      </c>
      <c r="N168" s="8"/>
      <c r="O168" s="11" t="str">
        <f aca="false">IF(OR($I168="",$N168=""),"",($I168/1000)*$N168)</f>
        <v/>
      </c>
      <c r="P168" s="12" t="str">
        <f aca="false">IF($C168="","",IFERROR(ROUND(MIN(25,($N168/Instellingen!$B$3)*25)+MIN(25,($I168/Instellingen!$B$4)*25)+MIN(25,($J168/Instellingen!$B$5)*25)+MIN(25,(IF($M168="",0,$M168)/Instellingen!$B$6)*25),0),""))</f>
        <v/>
      </c>
      <c r="Q168" s="13" t="str">
        <f aca="false">IF($P168="","",IF($P168&gt;=Instellingen!$B$7,"Sterke niche",IF($P168&gt;=Instellingen!$B$8,"Belofte - opvolgen",IF($P168&gt;=Instellingen!$B$9,"Zwak - twijfel","Vermijden"))))</f>
        <v/>
      </c>
      <c r="R168" s="5"/>
      <c r="T168" s="1" t="str">
        <f aca="false">IF($C168="","",IF($P168=_xlfn.MAXIFS($P$3:$P$1000,$B$3:$B$1000,$B168),"★ Cash cow – handmatig onderzoeken",""))</f>
        <v/>
      </c>
    </row>
    <row r="169" customFormat="false" ht="14.25" hidden="false" customHeight="true" outlineLevel="0" collapsed="false">
      <c r="A169" s="4"/>
      <c r="B169" s="5"/>
      <c r="C169" s="5"/>
      <c r="D169" s="5"/>
      <c r="E169" s="6"/>
      <c r="F169" s="7"/>
      <c r="G169" s="8"/>
      <c r="H169" s="7"/>
      <c r="I169" s="7"/>
      <c r="J169" s="6"/>
      <c r="K169" s="9" t="str">
        <f aca="false">IF(OR($J169="",$J169=0),"",$I169/$J169)</f>
        <v/>
      </c>
      <c r="L169" s="9" t="str">
        <f aca="false">IF(OR($E169="",$E169=0),"",$H169/$E169)</f>
        <v/>
      </c>
      <c r="M169" s="10" t="str">
        <f aca="false">IF(OR($L169="",$L169=0),"",($I169/30)/$L169)</f>
        <v/>
      </c>
      <c r="N169" s="8"/>
      <c r="O169" s="11" t="str">
        <f aca="false">IF(OR($I169="",$N169=""),"",($I169/1000)*$N169)</f>
        <v/>
      </c>
      <c r="P169" s="12" t="str">
        <f aca="false">IF($C169="","",IFERROR(ROUND(MIN(25,($N169/Instellingen!$B$3)*25)+MIN(25,($I169/Instellingen!$B$4)*25)+MIN(25,($J169/Instellingen!$B$5)*25)+MIN(25,(IF($M169="",0,$M169)/Instellingen!$B$6)*25),0),""))</f>
        <v/>
      </c>
      <c r="Q169" s="13" t="str">
        <f aca="false">IF($P169="","",IF($P169&gt;=Instellingen!$B$7,"Sterke niche",IF($P169&gt;=Instellingen!$B$8,"Belofte - opvolgen",IF($P169&gt;=Instellingen!$B$9,"Zwak - twijfel","Vermijden"))))</f>
        <v/>
      </c>
      <c r="R169" s="5"/>
      <c r="T169" s="1" t="str">
        <f aca="false">IF($C169="","",IF($P169=_xlfn.MAXIFS($P$3:$P$1000,$B$3:$B$1000,$B169),"★ Cash cow – handmatig onderzoeken",""))</f>
        <v/>
      </c>
    </row>
    <row r="170" customFormat="false" ht="14.25" hidden="false" customHeight="true" outlineLevel="0" collapsed="false">
      <c r="A170" s="4"/>
      <c r="B170" s="5"/>
      <c r="C170" s="5"/>
      <c r="D170" s="5"/>
      <c r="E170" s="6"/>
      <c r="F170" s="7"/>
      <c r="G170" s="8"/>
      <c r="H170" s="7"/>
      <c r="I170" s="7"/>
      <c r="J170" s="6"/>
      <c r="K170" s="9" t="str">
        <f aca="false">IF(OR($J170="",$J170=0),"",$I170/$J170)</f>
        <v/>
      </c>
      <c r="L170" s="9" t="str">
        <f aca="false">IF(OR($E170="",$E170=0),"",$H170/$E170)</f>
        <v/>
      </c>
      <c r="M170" s="10" t="str">
        <f aca="false">IF(OR($L170="",$L170=0),"",($I170/30)/$L170)</f>
        <v/>
      </c>
      <c r="N170" s="8"/>
      <c r="O170" s="11" t="str">
        <f aca="false">IF(OR($I170="",$N170=""),"",($I170/1000)*$N170)</f>
        <v/>
      </c>
      <c r="P170" s="12" t="str">
        <f aca="false">IF($C170="","",IFERROR(ROUND(MIN(25,($N170/Instellingen!$B$3)*25)+MIN(25,($I170/Instellingen!$B$4)*25)+MIN(25,($J170/Instellingen!$B$5)*25)+MIN(25,(IF($M170="",0,$M170)/Instellingen!$B$6)*25),0),""))</f>
        <v/>
      </c>
      <c r="Q170" s="13" t="str">
        <f aca="false">IF($P170="","",IF($P170&gt;=Instellingen!$B$7,"Sterke niche",IF($P170&gt;=Instellingen!$B$8,"Belofte - opvolgen",IF($P170&gt;=Instellingen!$B$9,"Zwak - twijfel","Vermijden"))))</f>
        <v/>
      </c>
      <c r="R170" s="5"/>
      <c r="T170" s="1" t="str">
        <f aca="false">IF($C170="","",IF($P170=_xlfn.MAXIFS($P$3:$P$1000,$B$3:$B$1000,$B170),"★ Cash cow – handmatig onderzoeken",""))</f>
        <v/>
      </c>
    </row>
    <row r="171" customFormat="false" ht="14.25" hidden="false" customHeight="true" outlineLevel="0" collapsed="false">
      <c r="A171" s="4"/>
      <c r="B171" s="5"/>
      <c r="C171" s="5"/>
      <c r="D171" s="5"/>
      <c r="E171" s="6"/>
      <c r="F171" s="7"/>
      <c r="G171" s="8"/>
      <c r="H171" s="7"/>
      <c r="I171" s="7"/>
      <c r="J171" s="6"/>
      <c r="K171" s="9" t="str">
        <f aca="false">IF(OR($J171="",$J171=0),"",$I171/$J171)</f>
        <v/>
      </c>
      <c r="L171" s="9" t="str">
        <f aca="false">IF(OR($E171="",$E171=0),"",$H171/$E171)</f>
        <v/>
      </c>
      <c r="M171" s="10" t="str">
        <f aca="false">IF(OR($L171="",$L171=0),"",($I171/30)/$L171)</f>
        <v/>
      </c>
      <c r="N171" s="8"/>
      <c r="O171" s="11" t="str">
        <f aca="false">IF(OR($I171="",$N171=""),"",($I171/1000)*$N171)</f>
        <v/>
      </c>
      <c r="P171" s="12" t="str">
        <f aca="false">IF($C171="","",IFERROR(ROUND(MIN(25,($N171/Instellingen!$B$3)*25)+MIN(25,($I171/Instellingen!$B$4)*25)+MIN(25,($J171/Instellingen!$B$5)*25)+MIN(25,(IF($M171="",0,$M171)/Instellingen!$B$6)*25),0),""))</f>
        <v/>
      </c>
      <c r="Q171" s="13" t="str">
        <f aca="false">IF($P171="","",IF($P171&gt;=Instellingen!$B$7,"Sterke niche",IF($P171&gt;=Instellingen!$B$8,"Belofte - opvolgen",IF($P171&gt;=Instellingen!$B$9,"Zwak - twijfel","Vermijden"))))</f>
        <v/>
      </c>
      <c r="R171" s="5"/>
      <c r="T171" s="1" t="str">
        <f aca="false">IF($C171="","",IF($P171=_xlfn.MAXIFS($P$3:$P$1000,$B$3:$B$1000,$B171),"★ Cash cow – handmatig onderzoeken",""))</f>
        <v/>
      </c>
    </row>
    <row r="172" customFormat="false" ht="14.25" hidden="false" customHeight="true" outlineLevel="0" collapsed="false">
      <c r="A172" s="4"/>
      <c r="B172" s="5"/>
      <c r="C172" s="5"/>
      <c r="D172" s="5"/>
      <c r="E172" s="6"/>
      <c r="F172" s="7"/>
      <c r="G172" s="8"/>
      <c r="H172" s="7"/>
      <c r="I172" s="7"/>
      <c r="J172" s="6"/>
      <c r="K172" s="9" t="str">
        <f aca="false">IF(OR($J172="",$J172=0),"",$I172/$J172)</f>
        <v/>
      </c>
      <c r="L172" s="9" t="str">
        <f aca="false">IF(OR($E172="",$E172=0),"",$H172/$E172)</f>
        <v/>
      </c>
      <c r="M172" s="10" t="str">
        <f aca="false">IF(OR($L172="",$L172=0),"",($I172/30)/$L172)</f>
        <v/>
      </c>
      <c r="N172" s="8"/>
      <c r="O172" s="11" t="str">
        <f aca="false">IF(OR($I172="",$N172=""),"",($I172/1000)*$N172)</f>
        <v/>
      </c>
      <c r="P172" s="12" t="str">
        <f aca="false">IF($C172="","",IFERROR(ROUND(MIN(25,($N172/Instellingen!$B$3)*25)+MIN(25,($I172/Instellingen!$B$4)*25)+MIN(25,($J172/Instellingen!$B$5)*25)+MIN(25,(IF($M172="",0,$M172)/Instellingen!$B$6)*25),0),""))</f>
        <v/>
      </c>
      <c r="Q172" s="13" t="str">
        <f aca="false">IF($P172="","",IF($P172&gt;=Instellingen!$B$7,"Sterke niche",IF($P172&gt;=Instellingen!$B$8,"Belofte - opvolgen",IF($P172&gt;=Instellingen!$B$9,"Zwak - twijfel","Vermijden"))))</f>
        <v/>
      </c>
      <c r="R172" s="5"/>
      <c r="T172" s="1" t="str">
        <f aca="false">IF($C172="","",IF($P172=_xlfn.MAXIFS($P$3:$P$1000,$B$3:$B$1000,$B172),"★ Cash cow – handmatig onderzoeken",""))</f>
        <v/>
      </c>
    </row>
    <row r="173" customFormat="false" ht="14.25" hidden="false" customHeight="true" outlineLevel="0" collapsed="false">
      <c r="A173" s="4"/>
      <c r="B173" s="5"/>
      <c r="C173" s="5"/>
      <c r="D173" s="5"/>
      <c r="E173" s="6"/>
      <c r="F173" s="7"/>
      <c r="G173" s="8"/>
      <c r="H173" s="7"/>
      <c r="I173" s="7"/>
      <c r="J173" s="6"/>
      <c r="K173" s="9" t="str">
        <f aca="false">IF(OR($J173="",$J173=0),"",$I173/$J173)</f>
        <v/>
      </c>
      <c r="L173" s="9" t="str">
        <f aca="false">IF(OR($E173="",$E173=0),"",$H173/$E173)</f>
        <v/>
      </c>
      <c r="M173" s="10" t="str">
        <f aca="false">IF(OR($L173="",$L173=0),"",($I173/30)/$L173)</f>
        <v/>
      </c>
      <c r="N173" s="8"/>
      <c r="O173" s="11" t="str">
        <f aca="false">IF(OR($I173="",$N173=""),"",($I173/1000)*$N173)</f>
        <v/>
      </c>
      <c r="P173" s="12" t="str">
        <f aca="false">IF($C173="","",IFERROR(ROUND(MIN(25,($N173/Instellingen!$B$3)*25)+MIN(25,($I173/Instellingen!$B$4)*25)+MIN(25,($J173/Instellingen!$B$5)*25)+MIN(25,(IF($M173="",0,$M173)/Instellingen!$B$6)*25),0),""))</f>
        <v/>
      </c>
      <c r="Q173" s="13" t="str">
        <f aca="false">IF($P173="","",IF($P173&gt;=Instellingen!$B$7,"Sterke niche",IF($P173&gt;=Instellingen!$B$8,"Belofte - opvolgen",IF($P173&gt;=Instellingen!$B$9,"Zwak - twijfel","Vermijden"))))</f>
        <v/>
      </c>
      <c r="R173" s="5"/>
      <c r="T173" s="1" t="str">
        <f aca="false">IF($C173="","",IF($P173=_xlfn.MAXIFS($P$3:$P$1000,$B$3:$B$1000,$B173),"★ Cash cow – handmatig onderzoeken",""))</f>
        <v/>
      </c>
    </row>
    <row r="174" customFormat="false" ht="14.25" hidden="false" customHeight="true" outlineLevel="0" collapsed="false">
      <c r="A174" s="4"/>
      <c r="B174" s="5"/>
      <c r="C174" s="5"/>
      <c r="D174" s="5"/>
      <c r="E174" s="6"/>
      <c r="F174" s="7"/>
      <c r="G174" s="8"/>
      <c r="H174" s="7"/>
      <c r="I174" s="7"/>
      <c r="J174" s="6"/>
      <c r="K174" s="9" t="str">
        <f aca="false">IF(OR($J174="",$J174=0),"",$I174/$J174)</f>
        <v/>
      </c>
      <c r="L174" s="9" t="str">
        <f aca="false">IF(OR($E174="",$E174=0),"",$H174/$E174)</f>
        <v/>
      </c>
      <c r="M174" s="10" t="str">
        <f aca="false">IF(OR($L174="",$L174=0),"",($I174/30)/$L174)</f>
        <v/>
      </c>
      <c r="N174" s="8"/>
      <c r="O174" s="11" t="str">
        <f aca="false">IF(OR($I174="",$N174=""),"",($I174/1000)*$N174)</f>
        <v/>
      </c>
      <c r="P174" s="12" t="str">
        <f aca="false">IF($C174="","",IFERROR(ROUND(MIN(25,($N174/Instellingen!$B$3)*25)+MIN(25,($I174/Instellingen!$B$4)*25)+MIN(25,($J174/Instellingen!$B$5)*25)+MIN(25,(IF($M174="",0,$M174)/Instellingen!$B$6)*25),0),""))</f>
        <v/>
      </c>
      <c r="Q174" s="13" t="str">
        <f aca="false">IF($P174="","",IF($P174&gt;=Instellingen!$B$7,"Sterke niche",IF($P174&gt;=Instellingen!$B$8,"Belofte - opvolgen",IF($P174&gt;=Instellingen!$B$9,"Zwak - twijfel","Vermijden"))))</f>
        <v/>
      </c>
      <c r="R174" s="5"/>
      <c r="T174" s="1" t="str">
        <f aca="false">IF($C174="","",IF($P174=_xlfn.MAXIFS($P$3:$P$1000,$B$3:$B$1000,$B174),"★ Cash cow – handmatig onderzoeken",""))</f>
        <v/>
      </c>
    </row>
    <row r="175" customFormat="false" ht="14.25" hidden="false" customHeight="true" outlineLevel="0" collapsed="false">
      <c r="A175" s="4"/>
      <c r="B175" s="5"/>
      <c r="C175" s="5"/>
      <c r="D175" s="5"/>
      <c r="E175" s="6"/>
      <c r="F175" s="7"/>
      <c r="G175" s="8"/>
      <c r="H175" s="7"/>
      <c r="I175" s="7"/>
      <c r="J175" s="6"/>
      <c r="K175" s="9" t="str">
        <f aca="false">IF(OR($J175="",$J175=0),"",$I175/$J175)</f>
        <v/>
      </c>
      <c r="L175" s="9" t="str">
        <f aca="false">IF(OR($E175="",$E175=0),"",$H175/$E175)</f>
        <v/>
      </c>
      <c r="M175" s="10" t="str">
        <f aca="false">IF(OR($L175="",$L175=0),"",($I175/30)/$L175)</f>
        <v/>
      </c>
      <c r="N175" s="8"/>
      <c r="O175" s="11" t="str">
        <f aca="false">IF(OR($I175="",$N175=""),"",($I175/1000)*$N175)</f>
        <v/>
      </c>
      <c r="P175" s="12" t="str">
        <f aca="false">IF($C175="","",IFERROR(ROUND(MIN(25,($N175/Instellingen!$B$3)*25)+MIN(25,($I175/Instellingen!$B$4)*25)+MIN(25,($J175/Instellingen!$B$5)*25)+MIN(25,(IF($M175="",0,$M175)/Instellingen!$B$6)*25),0),""))</f>
        <v/>
      </c>
      <c r="Q175" s="13" t="str">
        <f aca="false">IF($P175="","",IF($P175&gt;=Instellingen!$B$7,"Sterke niche",IF($P175&gt;=Instellingen!$B$8,"Belofte - opvolgen",IF($P175&gt;=Instellingen!$B$9,"Zwak - twijfel","Vermijden"))))</f>
        <v/>
      </c>
      <c r="R175" s="5"/>
      <c r="T175" s="1" t="str">
        <f aca="false">IF($C175="","",IF($P175=_xlfn.MAXIFS($P$3:$P$1000,$B$3:$B$1000,$B175),"★ Cash cow – handmatig onderzoeken",""))</f>
        <v/>
      </c>
    </row>
    <row r="176" customFormat="false" ht="14.25" hidden="false" customHeight="true" outlineLevel="0" collapsed="false">
      <c r="A176" s="4"/>
      <c r="B176" s="5"/>
      <c r="C176" s="5"/>
      <c r="D176" s="5"/>
      <c r="E176" s="6"/>
      <c r="F176" s="7"/>
      <c r="G176" s="8"/>
      <c r="H176" s="7"/>
      <c r="I176" s="7"/>
      <c r="J176" s="6"/>
      <c r="K176" s="9" t="str">
        <f aca="false">IF(OR($J176="",$J176=0),"",$I176/$J176)</f>
        <v/>
      </c>
      <c r="L176" s="9" t="str">
        <f aca="false">IF(OR($E176="",$E176=0),"",$H176/$E176)</f>
        <v/>
      </c>
      <c r="M176" s="10" t="str">
        <f aca="false">IF(OR($L176="",$L176=0),"",($I176/30)/$L176)</f>
        <v/>
      </c>
      <c r="N176" s="8"/>
      <c r="O176" s="11" t="str">
        <f aca="false">IF(OR($I176="",$N176=""),"",($I176/1000)*$N176)</f>
        <v/>
      </c>
      <c r="P176" s="12" t="str">
        <f aca="false">IF($C176="","",IFERROR(ROUND(MIN(25,($N176/Instellingen!$B$3)*25)+MIN(25,($I176/Instellingen!$B$4)*25)+MIN(25,($J176/Instellingen!$B$5)*25)+MIN(25,(IF($M176="",0,$M176)/Instellingen!$B$6)*25),0),""))</f>
        <v/>
      </c>
      <c r="Q176" s="13" t="str">
        <f aca="false">IF($P176="","",IF($P176&gt;=Instellingen!$B$7,"Sterke niche",IF($P176&gt;=Instellingen!$B$8,"Belofte - opvolgen",IF($P176&gt;=Instellingen!$B$9,"Zwak - twijfel","Vermijden"))))</f>
        <v/>
      </c>
      <c r="R176" s="5"/>
      <c r="T176" s="1" t="str">
        <f aca="false">IF($C176="","",IF($P176=_xlfn.MAXIFS($P$3:$P$1000,$B$3:$B$1000,$B176),"★ Cash cow – handmatig onderzoeken",""))</f>
        <v/>
      </c>
    </row>
    <row r="177" customFormat="false" ht="14.25" hidden="false" customHeight="true" outlineLevel="0" collapsed="false">
      <c r="A177" s="4"/>
      <c r="B177" s="5"/>
      <c r="C177" s="5"/>
      <c r="D177" s="5"/>
      <c r="E177" s="6"/>
      <c r="F177" s="7"/>
      <c r="G177" s="8"/>
      <c r="H177" s="7"/>
      <c r="I177" s="7"/>
      <c r="J177" s="6"/>
      <c r="K177" s="9" t="str">
        <f aca="false">IF(OR($J177="",$J177=0),"",$I177/$J177)</f>
        <v/>
      </c>
      <c r="L177" s="9" t="str">
        <f aca="false">IF(OR($E177="",$E177=0),"",$H177/$E177)</f>
        <v/>
      </c>
      <c r="M177" s="10" t="str">
        <f aca="false">IF(OR($L177="",$L177=0),"",($I177/30)/$L177)</f>
        <v/>
      </c>
      <c r="N177" s="8"/>
      <c r="O177" s="11" t="str">
        <f aca="false">IF(OR($I177="",$N177=""),"",($I177/1000)*$N177)</f>
        <v/>
      </c>
      <c r="P177" s="12" t="str">
        <f aca="false">IF($C177="","",IFERROR(ROUND(MIN(25,($N177/Instellingen!$B$3)*25)+MIN(25,($I177/Instellingen!$B$4)*25)+MIN(25,($J177/Instellingen!$B$5)*25)+MIN(25,(IF($M177="",0,$M177)/Instellingen!$B$6)*25),0),""))</f>
        <v/>
      </c>
      <c r="Q177" s="13" t="str">
        <f aca="false">IF($P177="","",IF($P177&gt;=Instellingen!$B$7,"Sterke niche",IF($P177&gt;=Instellingen!$B$8,"Belofte - opvolgen",IF($P177&gt;=Instellingen!$B$9,"Zwak - twijfel","Vermijden"))))</f>
        <v/>
      </c>
      <c r="R177" s="5"/>
      <c r="T177" s="1" t="str">
        <f aca="false">IF($C177="","",IF($P177=_xlfn.MAXIFS($P$3:$P$1000,$B$3:$B$1000,$B177),"★ Cash cow – handmatig onderzoeken",""))</f>
        <v/>
      </c>
    </row>
    <row r="178" customFormat="false" ht="14.25" hidden="false" customHeight="true" outlineLevel="0" collapsed="false">
      <c r="A178" s="4"/>
      <c r="B178" s="5"/>
      <c r="C178" s="5"/>
      <c r="D178" s="5"/>
      <c r="E178" s="6"/>
      <c r="F178" s="7"/>
      <c r="G178" s="8"/>
      <c r="H178" s="7"/>
      <c r="I178" s="7"/>
      <c r="J178" s="6"/>
      <c r="K178" s="9" t="str">
        <f aca="false">IF(OR($J178="",$J178=0),"",$I178/$J178)</f>
        <v/>
      </c>
      <c r="L178" s="9" t="str">
        <f aca="false">IF(OR($E178="",$E178=0),"",$H178/$E178)</f>
        <v/>
      </c>
      <c r="M178" s="10" t="str">
        <f aca="false">IF(OR($L178="",$L178=0),"",($I178/30)/$L178)</f>
        <v/>
      </c>
      <c r="N178" s="8"/>
      <c r="O178" s="11" t="str">
        <f aca="false">IF(OR($I178="",$N178=""),"",($I178/1000)*$N178)</f>
        <v/>
      </c>
      <c r="P178" s="12" t="str">
        <f aca="false">IF($C178="","",IFERROR(ROUND(MIN(25,($N178/Instellingen!$B$3)*25)+MIN(25,($I178/Instellingen!$B$4)*25)+MIN(25,($J178/Instellingen!$B$5)*25)+MIN(25,(IF($M178="",0,$M178)/Instellingen!$B$6)*25),0),""))</f>
        <v/>
      </c>
      <c r="Q178" s="13" t="str">
        <f aca="false">IF($P178="","",IF($P178&gt;=Instellingen!$B$7,"Sterke niche",IF($P178&gt;=Instellingen!$B$8,"Belofte - opvolgen",IF($P178&gt;=Instellingen!$B$9,"Zwak - twijfel","Vermijden"))))</f>
        <v/>
      </c>
      <c r="R178" s="5"/>
      <c r="T178" s="1" t="str">
        <f aca="false">IF($C178="","",IF($P178=_xlfn.MAXIFS($P$3:$P$1000,$B$3:$B$1000,$B178),"★ Cash cow – handmatig onderzoeken",""))</f>
        <v/>
      </c>
    </row>
    <row r="179" customFormat="false" ht="14.25" hidden="false" customHeight="true" outlineLevel="0" collapsed="false">
      <c r="A179" s="4"/>
      <c r="B179" s="5"/>
      <c r="C179" s="5"/>
      <c r="D179" s="5"/>
      <c r="E179" s="6"/>
      <c r="F179" s="7"/>
      <c r="G179" s="8"/>
      <c r="H179" s="7"/>
      <c r="I179" s="7"/>
      <c r="J179" s="6"/>
      <c r="K179" s="9" t="str">
        <f aca="false">IF(OR($J179="",$J179=0),"",$I179/$J179)</f>
        <v/>
      </c>
      <c r="L179" s="9" t="str">
        <f aca="false">IF(OR($E179="",$E179=0),"",$H179/$E179)</f>
        <v/>
      </c>
      <c r="M179" s="10" t="str">
        <f aca="false">IF(OR($L179="",$L179=0),"",($I179/30)/$L179)</f>
        <v/>
      </c>
      <c r="N179" s="8"/>
      <c r="O179" s="11" t="str">
        <f aca="false">IF(OR($I179="",$N179=""),"",($I179/1000)*$N179)</f>
        <v/>
      </c>
      <c r="P179" s="12" t="str">
        <f aca="false">IF($C179="","",IFERROR(ROUND(MIN(25,($N179/Instellingen!$B$3)*25)+MIN(25,($I179/Instellingen!$B$4)*25)+MIN(25,($J179/Instellingen!$B$5)*25)+MIN(25,(IF($M179="",0,$M179)/Instellingen!$B$6)*25),0),""))</f>
        <v/>
      </c>
      <c r="Q179" s="13" t="str">
        <f aca="false">IF($P179="","",IF($P179&gt;=Instellingen!$B$7,"Sterke niche",IF($P179&gt;=Instellingen!$B$8,"Belofte - opvolgen",IF($P179&gt;=Instellingen!$B$9,"Zwak - twijfel","Vermijden"))))</f>
        <v/>
      </c>
      <c r="R179" s="5"/>
      <c r="T179" s="1" t="str">
        <f aca="false">IF($C179="","",IF($P179=_xlfn.MAXIFS($P$3:$P$1000,$B$3:$B$1000,$B179),"★ Cash cow – handmatig onderzoeken",""))</f>
        <v/>
      </c>
    </row>
    <row r="180" customFormat="false" ht="14.25" hidden="false" customHeight="true" outlineLevel="0" collapsed="false">
      <c r="A180" s="4"/>
      <c r="B180" s="5"/>
      <c r="C180" s="5"/>
      <c r="D180" s="5"/>
      <c r="E180" s="6"/>
      <c r="F180" s="7"/>
      <c r="G180" s="8"/>
      <c r="H180" s="7"/>
      <c r="I180" s="7"/>
      <c r="J180" s="6"/>
      <c r="K180" s="9" t="str">
        <f aca="false">IF(OR($J180="",$J180=0),"",$I180/$J180)</f>
        <v/>
      </c>
      <c r="L180" s="9" t="str">
        <f aca="false">IF(OR($E180="",$E180=0),"",$H180/$E180)</f>
        <v/>
      </c>
      <c r="M180" s="10" t="str">
        <f aca="false">IF(OR($L180="",$L180=0),"",($I180/30)/$L180)</f>
        <v/>
      </c>
      <c r="N180" s="8"/>
      <c r="O180" s="11" t="str">
        <f aca="false">IF(OR($I180="",$N180=""),"",($I180/1000)*$N180)</f>
        <v/>
      </c>
      <c r="P180" s="12" t="str">
        <f aca="false">IF($C180="","",IFERROR(ROUND(MIN(25,($N180/Instellingen!$B$3)*25)+MIN(25,($I180/Instellingen!$B$4)*25)+MIN(25,($J180/Instellingen!$B$5)*25)+MIN(25,(IF($M180="",0,$M180)/Instellingen!$B$6)*25),0),""))</f>
        <v/>
      </c>
      <c r="Q180" s="13" t="str">
        <f aca="false">IF($P180="","",IF($P180&gt;=Instellingen!$B$7,"Sterke niche",IF($P180&gt;=Instellingen!$B$8,"Belofte - opvolgen",IF($P180&gt;=Instellingen!$B$9,"Zwak - twijfel","Vermijden"))))</f>
        <v/>
      </c>
      <c r="R180" s="5"/>
      <c r="T180" s="1" t="str">
        <f aca="false">IF($C180="","",IF($P180=_xlfn.MAXIFS($P$3:$P$1000,$B$3:$B$1000,$B180),"★ Cash cow – handmatig onderzoeken",""))</f>
        <v/>
      </c>
    </row>
    <row r="181" customFormat="false" ht="14.25" hidden="false" customHeight="true" outlineLevel="0" collapsed="false">
      <c r="A181" s="4"/>
      <c r="B181" s="5"/>
      <c r="C181" s="5"/>
      <c r="D181" s="5"/>
      <c r="E181" s="6"/>
      <c r="F181" s="7"/>
      <c r="G181" s="8"/>
      <c r="H181" s="7"/>
      <c r="I181" s="7"/>
      <c r="J181" s="6"/>
      <c r="K181" s="9" t="str">
        <f aca="false">IF(OR($J181="",$J181=0),"",$I181/$J181)</f>
        <v/>
      </c>
      <c r="L181" s="9" t="str">
        <f aca="false">IF(OR($E181="",$E181=0),"",$H181/$E181)</f>
        <v/>
      </c>
      <c r="M181" s="10" t="str">
        <f aca="false">IF(OR($L181="",$L181=0),"",($I181/30)/$L181)</f>
        <v/>
      </c>
      <c r="N181" s="8"/>
      <c r="O181" s="11" t="str">
        <f aca="false">IF(OR($I181="",$N181=""),"",($I181/1000)*$N181)</f>
        <v/>
      </c>
      <c r="P181" s="12" t="str">
        <f aca="false">IF($C181="","",IFERROR(ROUND(MIN(25,($N181/Instellingen!$B$3)*25)+MIN(25,($I181/Instellingen!$B$4)*25)+MIN(25,($J181/Instellingen!$B$5)*25)+MIN(25,(IF($M181="",0,$M181)/Instellingen!$B$6)*25),0),""))</f>
        <v/>
      </c>
      <c r="Q181" s="13" t="str">
        <f aca="false">IF($P181="","",IF($P181&gt;=Instellingen!$B$7,"Sterke niche",IF($P181&gt;=Instellingen!$B$8,"Belofte - opvolgen",IF($P181&gt;=Instellingen!$B$9,"Zwak - twijfel","Vermijden"))))</f>
        <v/>
      </c>
      <c r="R181" s="5"/>
      <c r="T181" s="1" t="str">
        <f aca="false">IF($C181="","",IF($P181=_xlfn.MAXIFS($P$3:$P$1000,$B$3:$B$1000,$B181),"★ Cash cow – handmatig onderzoeken",""))</f>
        <v/>
      </c>
    </row>
    <row r="182" customFormat="false" ht="14.25" hidden="false" customHeight="true" outlineLevel="0" collapsed="false">
      <c r="A182" s="4"/>
      <c r="B182" s="5"/>
      <c r="C182" s="5"/>
      <c r="D182" s="5"/>
      <c r="E182" s="6"/>
      <c r="F182" s="7"/>
      <c r="G182" s="8"/>
      <c r="H182" s="7"/>
      <c r="I182" s="7"/>
      <c r="J182" s="6"/>
      <c r="K182" s="9" t="str">
        <f aca="false">IF(OR($J182="",$J182=0),"",$I182/$J182)</f>
        <v/>
      </c>
      <c r="L182" s="9" t="str">
        <f aca="false">IF(OR($E182="",$E182=0),"",$H182/$E182)</f>
        <v/>
      </c>
      <c r="M182" s="10" t="str">
        <f aca="false">IF(OR($L182="",$L182=0),"",($I182/30)/$L182)</f>
        <v/>
      </c>
      <c r="N182" s="8"/>
      <c r="O182" s="11" t="str">
        <f aca="false">IF(OR($I182="",$N182=""),"",($I182/1000)*$N182)</f>
        <v/>
      </c>
      <c r="P182" s="12" t="str">
        <f aca="false">IF($C182="","",IFERROR(ROUND(MIN(25,($N182/Instellingen!$B$3)*25)+MIN(25,($I182/Instellingen!$B$4)*25)+MIN(25,($J182/Instellingen!$B$5)*25)+MIN(25,(IF($M182="",0,$M182)/Instellingen!$B$6)*25),0),""))</f>
        <v/>
      </c>
      <c r="Q182" s="13" t="str">
        <f aca="false">IF($P182="","",IF($P182&gt;=Instellingen!$B$7,"Sterke niche",IF($P182&gt;=Instellingen!$B$8,"Belofte - opvolgen",IF($P182&gt;=Instellingen!$B$9,"Zwak - twijfel","Vermijden"))))</f>
        <v/>
      </c>
      <c r="R182" s="5"/>
      <c r="T182" s="1" t="str">
        <f aca="false">IF($C182="","",IF($P182=_xlfn.MAXIFS($P$3:$P$1000,$B$3:$B$1000,$B182),"★ Cash cow – handmatig onderzoeken",""))</f>
        <v/>
      </c>
    </row>
    <row r="183" customFormat="false" ht="14.25" hidden="false" customHeight="true" outlineLevel="0" collapsed="false">
      <c r="A183" s="4"/>
      <c r="B183" s="5"/>
      <c r="C183" s="5"/>
      <c r="D183" s="5"/>
      <c r="E183" s="6"/>
      <c r="F183" s="7"/>
      <c r="G183" s="8"/>
      <c r="H183" s="7"/>
      <c r="I183" s="7"/>
      <c r="J183" s="6"/>
      <c r="K183" s="9" t="str">
        <f aca="false">IF(OR($J183="",$J183=0),"",$I183/$J183)</f>
        <v/>
      </c>
      <c r="L183" s="9" t="str">
        <f aca="false">IF(OR($E183="",$E183=0),"",$H183/$E183)</f>
        <v/>
      </c>
      <c r="M183" s="10" t="str">
        <f aca="false">IF(OR($L183="",$L183=0),"",($I183/30)/$L183)</f>
        <v/>
      </c>
      <c r="N183" s="8"/>
      <c r="O183" s="11" t="str">
        <f aca="false">IF(OR($I183="",$N183=""),"",($I183/1000)*$N183)</f>
        <v/>
      </c>
      <c r="P183" s="12" t="str">
        <f aca="false">IF($C183="","",IFERROR(ROUND(MIN(25,($N183/Instellingen!$B$3)*25)+MIN(25,($I183/Instellingen!$B$4)*25)+MIN(25,($J183/Instellingen!$B$5)*25)+MIN(25,(IF($M183="",0,$M183)/Instellingen!$B$6)*25),0),""))</f>
        <v/>
      </c>
      <c r="Q183" s="13" t="str">
        <f aca="false">IF($P183="","",IF($P183&gt;=Instellingen!$B$7,"Sterke niche",IF($P183&gt;=Instellingen!$B$8,"Belofte - opvolgen",IF($P183&gt;=Instellingen!$B$9,"Zwak - twijfel","Vermijden"))))</f>
        <v/>
      </c>
      <c r="R183" s="5"/>
      <c r="T183" s="1" t="str">
        <f aca="false">IF($C183="","",IF($P183=_xlfn.MAXIFS($P$3:$P$1000,$B$3:$B$1000,$B183),"★ Cash cow – handmatig onderzoeken",""))</f>
        <v/>
      </c>
    </row>
    <row r="184" customFormat="false" ht="14.25" hidden="false" customHeight="true" outlineLevel="0" collapsed="false">
      <c r="A184" s="4"/>
      <c r="B184" s="5"/>
      <c r="C184" s="5"/>
      <c r="D184" s="5"/>
      <c r="E184" s="6"/>
      <c r="F184" s="7"/>
      <c r="G184" s="8"/>
      <c r="H184" s="7"/>
      <c r="I184" s="7"/>
      <c r="J184" s="6"/>
      <c r="K184" s="9" t="str">
        <f aca="false">IF(OR($J184="",$J184=0),"",$I184/$J184)</f>
        <v/>
      </c>
      <c r="L184" s="9" t="str">
        <f aca="false">IF(OR($E184="",$E184=0),"",$H184/$E184)</f>
        <v/>
      </c>
      <c r="M184" s="10" t="str">
        <f aca="false">IF(OR($L184="",$L184=0),"",($I184/30)/$L184)</f>
        <v/>
      </c>
      <c r="N184" s="8"/>
      <c r="O184" s="11" t="str">
        <f aca="false">IF(OR($I184="",$N184=""),"",($I184/1000)*$N184)</f>
        <v/>
      </c>
      <c r="P184" s="12" t="str">
        <f aca="false">IF($C184="","",IFERROR(ROUND(MIN(25,($N184/Instellingen!$B$3)*25)+MIN(25,($I184/Instellingen!$B$4)*25)+MIN(25,($J184/Instellingen!$B$5)*25)+MIN(25,(IF($M184="",0,$M184)/Instellingen!$B$6)*25),0),""))</f>
        <v/>
      </c>
      <c r="Q184" s="13" t="str">
        <f aca="false">IF($P184="","",IF($P184&gt;=Instellingen!$B$7,"Sterke niche",IF($P184&gt;=Instellingen!$B$8,"Belofte - opvolgen",IF($P184&gt;=Instellingen!$B$9,"Zwak - twijfel","Vermijden"))))</f>
        <v/>
      </c>
      <c r="R184" s="5"/>
      <c r="T184" s="1" t="str">
        <f aca="false">IF($C184="","",IF($P184=_xlfn.MAXIFS($P$3:$P$1000,$B$3:$B$1000,$B184),"★ Cash cow – handmatig onderzoeken",""))</f>
        <v/>
      </c>
    </row>
    <row r="185" customFormat="false" ht="14.25" hidden="false" customHeight="true" outlineLevel="0" collapsed="false">
      <c r="A185" s="4"/>
      <c r="B185" s="5"/>
      <c r="C185" s="5"/>
      <c r="D185" s="5"/>
      <c r="E185" s="6"/>
      <c r="F185" s="7"/>
      <c r="G185" s="8"/>
      <c r="H185" s="7"/>
      <c r="I185" s="7"/>
      <c r="J185" s="6"/>
      <c r="K185" s="9" t="str">
        <f aca="false">IF(OR($J185="",$J185=0),"",$I185/$J185)</f>
        <v/>
      </c>
      <c r="L185" s="9" t="str">
        <f aca="false">IF(OR($E185="",$E185=0),"",$H185/$E185)</f>
        <v/>
      </c>
      <c r="M185" s="10" t="str">
        <f aca="false">IF(OR($L185="",$L185=0),"",($I185/30)/$L185)</f>
        <v/>
      </c>
      <c r="N185" s="8"/>
      <c r="O185" s="11" t="str">
        <f aca="false">IF(OR($I185="",$N185=""),"",($I185/1000)*$N185)</f>
        <v/>
      </c>
      <c r="P185" s="12" t="str">
        <f aca="false">IF($C185="","",IFERROR(ROUND(MIN(25,($N185/Instellingen!$B$3)*25)+MIN(25,($I185/Instellingen!$B$4)*25)+MIN(25,($J185/Instellingen!$B$5)*25)+MIN(25,(IF($M185="",0,$M185)/Instellingen!$B$6)*25),0),""))</f>
        <v/>
      </c>
      <c r="Q185" s="13" t="str">
        <f aca="false">IF($P185="","",IF($P185&gt;=Instellingen!$B$7,"Sterke niche",IF($P185&gt;=Instellingen!$B$8,"Belofte - opvolgen",IF($P185&gt;=Instellingen!$B$9,"Zwak - twijfel","Vermijden"))))</f>
        <v/>
      </c>
      <c r="R185" s="5"/>
      <c r="T185" s="1" t="str">
        <f aca="false">IF($C185="","",IF($P185=_xlfn.MAXIFS($P$3:$P$1000,$B$3:$B$1000,$B185),"★ Cash cow – handmatig onderzoeken",""))</f>
        <v/>
      </c>
    </row>
    <row r="186" customFormat="false" ht="14.25" hidden="false" customHeight="true" outlineLevel="0" collapsed="false">
      <c r="A186" s="4"/>
      <c r="B186" s="5"/>
      <c r="C186" s="5"/>
      <c r="D186" s="5"/>
      <c r="E186" s="6"/>
      <c r="F186" s="7"/>
      <c r="G186" s="8"/>
      <c r="H186" s="7"/>
      <c r="I186" s="7"/>
      <c r="J186" s="6"/>
      <c r="K186" s="9" t="str">
        <f aca="false">IF(OR($J186="",$J186=0),"",$I186/$J186)</f>
        <v/>
      </c>
      <c r="L186" s="9" t="str">
        <f aca="false">IF(OR($E186="",$E186=0),"",$H186/$E186)</f>
        <v/>
      </c>
      <c r="M186" s="10" t="str">
        <f aca="false">IF(OR($L186="",$L186=0),"",($I186/30)/$L186)</f>
        <v/>
      </c>
      <c r="N186" s="8"/>
      <c r="O186" s="11" t="str">
        <f aca="false">IF(OR($I186="",$N186=""),"",($I186/1000)*$N186)</f>
        <v/>
      </c>
      <c r="P186" s="12" t="str">
        <f aca="false">IF($C186="","",IFERROR(ROUND(MIN(25,($N186/Instellingen!$B$3)*25)+MIN(25,($I186/Instellingen!$B$4)*25)+MIN(25,($J186/Instellingen!$B$5)*25)+MIN(25,(IF($M186="",0,$M186)/Instellingen!$B$6)*25),0),""))</f>
        <v/>
      </c>
      <c r="Q186" s="13" t="str">
        <f aca="false">IF($P186="","",IF($P186&gt;=Instellingen!$B$7,"Sterke niche",IF($P186&gt;=Instellingen!$B$8,"Belofte - opvolgen",IF($P186&gt;=Instellingen!$B$9,"Zwak - twijfel","Vermijden"))))</f>
        <v/>
      </c>
      <c r="R186" s="5"/>
      <c r="T186" s="1" t="str">
        <f aca="false">IF($C186="","",IF($P186=_xlfn.MAXIFS($P$3:$P$1000,$B$3:$B$1000,$B186),"★ Cash cow – handmatig onderzoeken",""))</f>
        <v/>
      </c>
    </row>
    <row r="187" customFormat="false" ht="14.25" hidden="false" customHeight="true" outlineLevel="0" collapsed="false">
      <c r="A187" s="4"/>
      <c r="B187" s="5"/>
      <c r="C187" s="5"/>
      <c r="D187" s="5"/>
      <c r="E187" s="6"/>
      <c r="F187" s="7"/>
      <c r="G187" s="8"/>
      <c r="H187" s="7"/>
      <c r="I187" s="7"/>
      <c r="J187" s="6"/>
      <c r="K187" s="9" t="str">
        <f aca="false">IF(OR($J187="",$J187=0),"",$I187/$J187)</f>
        <v/>
      </c>
      <c r="L187" s="9" t="str">
        <f aca="false">IF(OR($E187="",$E187=0),"",$H187/$E187)</f>
        <v/>
      </c>
      <c r="M187" s="10" t="str">
        <f aca="false">IF(OR($L187="",$L187=0),"",($I187/30)/$L187)</f>
        <v/>
      </c>
      <c r="N187" s="8"/>
      <c r="O187" s="11" t="str">
        <f aca="false">IF(OR($I187="",$N187=""),"",($I187/1000)*$N187)</f>
        <v/>
      </c>
      <c r="P187" s="12" t="str">
        <f aca="false">IF($C187="","",IFERROR(ROUND(MIN(25,($N187/Instellingen!$B$3)*25)+MIN(25,($I187/Instellingen!$B$4)*25)+MIN(25,($J187/Instellingen!$B$5)*25)+MIN(25,(IF($M187="",0,$M187)/Instellingen!$B$6)*25),0),""))</f>
        <v/>
      </c>
      <c r="Q187" s="13" t="str">
        <f aca="false">IF($P187="","",IF($P187&gt;=Instellingen!$B$7,"Sterke niche",IF($P187&gt;=Instellingen!$B$8,"Belofte - opvolgen",IF($P187&gt;=Instellingen!$B$9,"Zwak - twijfel","Vermijden"))))</f>
        <v/>
      </c>
      <c r="R187" s="5"/>
      <c r="T187" s="1" t="str">
        <f aca="false">IF($C187="","",IF($P187=_xlfn.MAXIFS($P$3:$P$1000,$B$3:$B$1000,$B187),"★ Cash cow – handmatig onderzoeken",""))</f>
        <v/>
      </c>
    </row>
    <row r="188" customFormat="false" ht="14.25" hidden="false" customHeight="true" outlineLevel="0" collapsed="false">
      <c r="A188" s="4"/>
      <c r="B188" s="5"/>
      <c r="C188" s="5"/>
      <c r="D188" s="5"/>
      <c r="E188" s="6"/>
      <c r="F188" s="7"/>
      <c r="G188" s="8"/>
      <c r="H188" s="7"/>
      <c r="I188" s="7"/>
      <c r="J188" s="6"/>
      <c r="K188" s="9" t="str">
        <f aca="false">IF(OR($J188="",$J188=0),"",$I188/$J188)</f>
        <v/>
      </c>
      <c r="L188" s="9" t="str">
        <f aca="false">IF(OR($E188="",$E188=0),"",$H188/$E188)</f>
        <v/>
      </c>
      <c r="M188" s="10" t="str">
        <f aca="false">IF(OR($L188="",$L188=0),"",($I188/30)/$L188)</f>
        <v/>
      </c>
      <c r="N188" s="8"/>
      <c r="O188" s="11" t="str">
        <f aca="false">IF(OR($I188="",$N188=""),"",($I188/1000)*$N188)</f>
        <v/>
      </c>
      <c r="P188" s="12" t="str">
        <f aca="false">IF($C188="","",IFERROR(ROUND(MIN(25,($N188/Instellingen!$B$3)*25)+MIN(25,($I188/Instellingen!$B$4)*25)+MIN(25,($J188/Instellingen!$B$5)*25)+MIN(25,(IF($M188="",0,$M188)/Instellingen!$B$6)*25),0),""))</f>
        <v/>
      </c>
      <c r="Q188" s="13" t="str">
        <f aca="false">IF($P188="","",IF($P188&gt;=Instellingen!$B$7,"Sterke niche",IF($P188&gt;=Instellingen!$B$8,"Belofte - opvolgen",IF($P188&gt;=Instellingen!$B$9,"Zwak - twijfel","Vermijden"))))</f>
        <v/>
      </c>
      <c r="R188" s="5"/>
      <c r="T188" s="1" t="str">
        <f aca="false">IF($C188="","",IF($P188=_xlfn.MAXIFS($P$3:$P$1000,$B$3:$B$1000,$B188),"★ Cash cow – handmatig onderzoeken",""))</f>
        <v/>
      </c>
    </row>
    <row r="189" customFormat="false" ht="14.25" hidden="false" customHeight="true" outlineLevel="0" collapsed="false">
      <c r="A189" s="4"/>
      <c r="B189" s="5"/>
      <c r="C189" s="5"/>
      <c r="D189" s="5"/>
      <c r="E189" s="6"/>
      <c r="F189" s="7"/>
      <c r="G189" s="8"/>
      <c r="H189" s="7"/>
      <c r="I189" s="7"/>
      <c r="J189" s="6"/>
      <c r="K189" s="9" t="str">
        <f aca="false">IF(OR($J189="",$J189=0),"",$I189/$J189)</f>
        <v/>
      </c>
      <c r="L189" s="9" t="str">
        <f aca="false">IF(OR($E189="",$E189=0),"",$H189/$E189)</f>
        <v/>
      </c>
      <c r="M189" s="10" t="str">
        <f aca="false">IF(OR($L189="",$L189=0),"",($I189/30)/$L189)</f>
        <v/>
      </c>
      <c r="N189" s="8"/>
      <c r="O189" s="11" t="str">
        <f aca="false">IF(OR($I189="",$N189=""),"",($I189/1000)*$N189)</f>
        <v/>
      </c>
      <c r="P189" s="12" t="str">
        <f aca="false">IF($C189="","",IFERROR(ROUND(MIN(25,($N189/Instellingen!$B$3)*25)+MIN(25,($I189/Instellingen!$B$4)*25)+MIN(25,($J189/Instellingen!$B$5)*25)+MIN(25,(IF($M189="",0,$M189)/Instellingen!$B$6)*25),0),""))</f>
        <v/>
      </c>
      <c r="Q189" s="13" t="str">
        <f aca="false">IF($P189="","",IF($P189&gt;=Instellingen!$B$7,"Sterke niche",IF($P189&gt;=Instellingen!$B$8,"Belofte - opvolgen",IF($P189&gt;=Instellingen!$B$9,"Zwak - twijfel","Vermijden"))))</f>
        <v/>
      </c>
      <c r="R189" s="5"/>
      <c r="T189" s="1" t="str">
        <f aca="false">IF($C189="","",IF($P189=_xlfn.MAXIFS($P$3:$P$1000,$B$3:$B$1000,$B189),"★ Cash cow – handmatig onderzoeken",""))</f>
        <v/>
      </c>
    </row>
    <row r="190" customFormat="false" ht="14.25" hidden="false" customHeight="true" outlineLevel="0" collapsed="false">
      <c r="A190" s="4"/>
      <c r="B190" s="5"/>
      <c r="C190" s="5"/>
      <c r="D190" s="5"/>
      <c r="E190" s="6"/>
      <c r="F190" s="7"/>
      <c r="G190" s="8"/>
      <c r="H190" s="7"/>
      <c r="I190" s="7"/>
      <c r="J190" s="6"/>
      <c r="K190" s="9" t="str">
        <f aca="false">IF(OR($J190="",$J190=0),"",$I190/$J190)</f>
        <v/>
      </c>
      <c r="L190" s="9" t="str">
        <f aca="false">IF(OR($E190="",$E190=0),"",$H190/$E190)</f>
        <v/>
      </c>
      <c r="M190" s="10" t="str">
        <f aca="false">IF(OR($L190="",$L190=0),"",($I190/30)/$L190)</f>
        <v/>
      </c>
      <c r="N190" s="8"/>
      <c r="O190" s="11" t="str">
        <f aca="false">IF(OR($I190="",$N190=""),"",($I190/1000)*$N190)</f>
        <v/>
      </c>
      <c r="P190" s="12" t="str">
        <f aca="false">IF($C190="","",IFERROR(ROUND(MIN(25,($N190/Instellingen!$B$3)*25)+MIN(25,($I190/Instellingen!$B$4)*25)+MIN(25,($J190/Instellingen!$B$5)*25)+MIN(25,(IF($M190="",0,$M190)/Instellingen!$B$6)*25),0),""))</f>
        <v/>
      </c>
      <c r="Q190" s="13" t="str">
        <f aca="false">IF($P190="","",IF($P190&gt;=Instellingen!$B$7,"Sterke niche",IF($P190&gt;=Instellingen!$B$8,"Belofte - opvolgen",IF($P190&gt;=Instellingen!$B$9,"Zwak - twijfel","Vermijden"))))</f>
        <v/>
      </c>
      <c r="R190" s="5"/>
      <c r="T190" s="1" t="str">
        <f aca="false">IF($C190="","",IF($P190=_xlfn.MAXIFS($P$3:$P$1000,$B$3:$B$1000,$B190),"★ Cash cow – handmatig onderzoeken",""))</f>
        <v/>
      </c>
    </row>
    <row r="191" customFormat="false" ht="14.25" hidden="false" customHeight="true" outlineLevel="0" collapsed="false">
      <c r="A191" s="4"/>
      <c r="B191" s="5"/>
      <c r="C191" s="5"/>
      <c r="D191" s="5"/>
      <c r="E191" s="6"/>
      <c r="F191" s="7"/>
      <c r="G191" s="8"/>
      <c r="H191" s="7"/>
      <c r="I191" s="7"/>
      <c r="J191" s="6"/>
      <c r="K191" s="9" t="str">
        <f aca="false">IF(OR($J191="",$J191=0),"",$I191/$J191)</f>
        <v/>
      </c>
      <c r="L191" s="9" t="str">
        <f aca="false">IF(OR($E191="",$E191=0),"",$H191/$E191)</f>
        <v/>
      </c>
      <c r="M191" s="10" t="str">
        <f aca="false">IF(OR($L191="",$L191=0),"",($I191/30)/$L191)</f>
        <v/>
      </c>
      <c r="N191" s="8"/>
      <c r="O191" s="11" t="str">
        <f aca="false">IF(OR($I191="",$N191=""),"",($I191/1000)*$N191)</f>
        <v/>
      </c>
      <c r="P191" s="12" t="str">
        <f aca="false">IF($C191="","",IFERROR(ROUND(MIN(25,($N191/Instellingen!$B$3)*25)+MIN(25,($I191/Instellingen!$B$4)*25)+MIN(25,($J191/Instellingen!$B$5)*25)+MIN(25,(IF($M191="",0,$M191)/Instellingen!$B$6)*25),0),""))</f>
        <v/>
      </c>
      <c r="Q191" s="13" t="str">
        <f aca="false">IF($P191="","",IF($P191&gt;=Instellingen!$B$7,"Sterke niche",IF($P191&gt;=Instellingen!$B$8,"Belofte - opvolgen",IF($P191&gt;=Instellingen!$B$9,"Zwak - twijfel","Vermijden"))))</f>
        <v/>
      </c>
      <c r="R191" s="5"/>
      <c r="T191" s="1" t="str">
        <f aca="false">IF($C191="","",IF($P191=_xlfn.MAXIFS($P$3:$P$1000,$B$3:$B$1000,$B191),"★ Cash cow – handmatig onderzoeken",""))</f>
        <v/>
      </c>
    </row>
    <row r="192" customFormat="false" ht="14.25" hidden="false" customHeight="true" outlineLevel="0" collapsed="false">
      <c r="A192" s="4"/>
      <c r="B192" s="5"/>
      <c r="C192" s="5"/>
      <c r="D192" s="5"/>
      <c r="E192" s="6"/>
      <c r="F192" s="7"/>
      <c r="G192" s="8"/>
      <c r="H192" s="7"/>
      <c r="I192" s="7"/>
      <c r="J192" s="6"/>
      <c r="K192" s="9" t="str">
        <f aca="false">IF(OR($J192="",$J192=0),"",$I192/$J192)</f>
        <v/>
      </c>
      <c r="L192" s="9" t="str">
        <f aca="false">IF(OR($E192="",$E192=0),"",$H192/$E192)</f>
        <v/>
      </c>
      <c r="M192" s="10" t="str">
        <f aca="false">IF(OR($L192="",$L192=0),"",($I192/30)/$L192)</f>
        <v/>
      </c>
      <c r="N192" s="8"/>
      <c r="O192" s="11" t="str">
        <f aca="false">IF(OR($I192="",$N192=""),"",($I192/1000)*$N192)</f>
        <v/>
      </c>
      <c r="P192" s="12" t="str">
        <f aca="false">IF($C192="","",IFERROR(ROUND(MIN(25,($N192/Instellingen!$B$3)*25)+MIN(25,($I192/Instellingen!$B$4)*25)+MIN(25,($J192/Instellingen!$B$5)*25)+MIN(25,(IF($M192="",0,$M192)/Instellingen!$B$6)*25),0),""))</f>
        <v/>
      </c>
      <c r="Q192" s="13" t="str">
        <f aca="false">IF($P192="","",IF($P192&gt;=Instellingen!$B$7,"Sterke niche",IF($P192&gt;=Instellingen!$B$8,"Belofte - opvolgen",IF($P192&gt;=Instellingen!$B$9,"Zwak - twijfel","Vermijden"))))</f>
        <v/>
      </c>
      <c r="R192" s="5"/>
      <c r="T192" s="1" t="str">
        <f aca="false">IF($C192="","",IF($P192=_xlfn.MAXIFS($P$3:$P$1000,$B$3:$B$1000,$B192),"★ Cash cow – handmatig onderzoeken",""))</f>
        <v/>
      </c>
    </row>
    <row r="193" customFormat="false" ht="14.25" hidden="false" customHeight="true" outlineLevel="0" collapsed="false">
      <c r="A193" s="4"/>
      <c r="B193" s="5"/>
      <c r="C193" s="5"/>
      <c r="D193" s="5"/>
      <c r="E193" s="6"/>
      <c r="F193" s="7"/>
      <c r="G193" s="8"/>
      <c r="H193" s="7"/>
      <c r="I193" s="7"/>
      <c r="J193" s="6"/>
      <c r="K193" s="9" t="str">
        <f aca="false">IF(OR($J193="",$J193=0),"",$I193/$J193)</f>
        <v/>
      </c>
      <c r="L193" s="9" t="str">
        <f aca="false">IF(OR($E193="",$E193=0),"",$H193/$E193)</f>
        <v/>
      </c>
      <c r="M193" s="10" t="str">
        <f aca="false">IF(OR($L193="",$L193=0),"",($I193/30)/$L193)</f>
        <v/>
      </c>
      <c r="N193" s="8"/>
      <c r="O193" s="11" t="str">
        <f aca="false">IF(OR($I193="",$N193=""),"",($I193/1000)*$N193)</f>
        <v/>
      </c>
      <c r="P193" s="12" t="str">
        <f aca="false">IF($C193="","",IFERROR(ROUND(MIN(25,($N193/Instellingen!$B$3)*25)+MIN(25,($I193/Instellingen!$B$4)*25)+MIN(25,($J193/Instellingen!$B$5)*25)+MIN(25,(IF($M193="",0,$M193)/Instellingen!$B$6)*25),0),""))</f>
        <v/>
      </c>
      <c r="Q193" s="13" t="str">
        <f aca="false">IF($P193="","",IF($P193&gt;=Instellingen!$B$7,"Sterke niche",IF($P193&gt;=Instellingen!$B$8,"Belofte - opvolgen",IF($P193&gt;=Instellingen!$B$9,"Zwak - twijfel","Vermijden"))))</f>
        <v/>
      </c>
      <c r="R193" s="5"/>
      <c r="T193" s="1" t="str">
        <f aca="false">IF($C193="","",IF($P193=_xlfn.MAXIFS($P$3:$P$1000,$B$3:$B$1000,$B193),"★ Cash cow – handmatig onderzoeken",""))</f>
        <v/>
      </c>
    </row>
    <row r="194" customFormat="false" ht="14.25" hidden="false" customHeight="true" outlineLevel="0" collapsed="false">
      <c r="A194" s="4"/>
      <c r="B194" s="5"/>
      <c r="C194" s="5"/>
      <c r="D194" s="5"/>
      <c r="E194" s="6"/>
      <c r="F194" s="7"/>
      <c r="G194" s="8"/>
      <c r="H194" s="7"/>
      <c r="I194" s="7"/>
      <c r="J194" s="6"/>
      <c r="K194" s="9" t="str">
        <f aca="false">IF(OR($J194="",$J194=0),"",$I194/$J194)</f>
        <v/>
      </c>
      <c r="L194" s="9" t="str">
        <f aca="false">IF(OR($E194="",$E194=0),"",$H194/$E194)</f>
        <v/>
      </c>
      <c r="M194" s="10" t="str">
        <f aca="false">IF(OR($L194="",$L194=0),"",($I194/30)/$L194)</f>
        <v/>
      </c>
      <c r="N194" s="8"/>
      <c r="O194" s="11" t="str">
        <f aca="false">IF(OR($I194="",$N194=""),"",($I194/1000)*$N194)</f>
        <v/>
      </c>
      <c r="P194" s="12" t="str">
        <f aca="false">IF($C194="","",IFERROR(ROUND(MIN(25,($N194/Instellingen!$B$3)*25)+MIN(25,($I194/Instellingen!$B$4)*25)+MIN(25,($J194/Instellingen!$B$5)*25)+MIN(25,(IF($M194="",0,$M194)/Instellingen!$B$6)*25),0),""))</f>
        <v/>
      </c>
      <c r="Q194" s="13" t="str">
        <f aca="false">IF($P194="","",IF($P194&gt;=Instellingen!$B$7,"Sterke niche",IF($P194&gt;=Instellingen!$B$8,"Belofte - opvolgen",IF($P194&gt;=Instellingen!$B$9,"Zwak - twijfel","Vermijden"))))</f>
        <v/>
      </c>
      <c r="R194" s="5"/>
      <c r="T194" s="1" t="str">
        <f aca="false">IF($C194="","",IF($P194=_xlfn.MAXIFS($P$3:$P$1000,$B$3:$B$1000,$B194),"★ Cash cow – handmatig onderzoeken",""))</f>
        <v/>
      </c>
    </row>
    <row r="195" customFormat="false" ht="14.25" hidden="false" customHeight="true" outlineLevel="0" collapsed="false">
      <c r="A195" s="4"/>
      <c r="B195" s="5"/>
      <c r="C195" s="5"/>
      <c r="D195" s="5"/>
      <c r="E195" s="6"/>
      <c r="F195" s="7"/>
      <c r="G195" s="8"/>
      <c r="H195" s="7"/>
      <c r="I195" s="7"/>
      <c r="J195" s="6"/>
      <c r="K195" s="9" t="str">
        <f aca="false">IF(OR($J195="",$J195=0),"",$I195/$J195)</f>
        <v/>
      </c>
      <c r="L195" s="9" t="str">
        <f aca="false">IF(OR($E195="",$E195=0),"",$H195/$E195)</f>
        <v/>
      </c>
      <c r="M195" s="10" t="str">
        <f aca="false">IF(OR($L195="",$L195=0),"",($I195/30)/$L195)</f>
        <v/>
      </c>
      <c r="N195" s="8"/>
      <c r="O195" s="11" t="str">
        <f aca="false">IF(OR($I195="",$N195=""),"",($I195/1000)*$N195)</f>
        <v/>
      </c>
      <c r="P195" s="12" t="str">
        <f aca="false">IF($C195="","",IFERROR(ROUND(MIN(25,($N195/Instellingen!$B$3)*25)+MIN(25,($I195/Instellingen!$B$4)*25)+MIN(25,($J195/Instellingen!$B$5)*25)+MIN(25,(IF($M195="",0,$M195)/Instellingen!$B$6)*25),0),""))</f>
        <v/>
      </c>
      <c r="Q195" s="13" t="str">
        <f aca="false">IF($P195="","",IF($P195&gt;=Instellingen!$B$7,"Sterke niche",IF($P195&gt;=Instellingen!$B$8,"Belofte - opvolgen",IF($P195&gt;=Instellingen!$B$9,"Zwak - twijfel","Vermijden"))))</f>
        <v/>
      </c>
      <c r="R195" s="5"/>
      <c r="T195" s="1" t="str">
        <f aca="false">IF($C195="","",IF($P195=_xlfn.MAXIFS($P$3:$P$1000,$B$3:$B$1000,$B195),"★ Cash cow – handmatig onderzoeken",""))</f>
        <v/>
      </c>
    </row>
    <row r="196" customFormat="false" ht="14.25" hidden="false" customHeight="true" outlineLevel="0" collapsed="false">
      <c r="A196" s="4"/>
      <c r="B196" s="5"/>
      <c r="C196" s="5"/>
      <c r="D196" s="5"/>
      <c r="E196" s="6"/>
      <c r="F196" s="7"/>
      <c r="G196" s="8"/>
      <c r="H196" s="7"/>
      <c r="I196" s="7"/>
      <c r="J196" s="6"/>
      <c r="K196" s="9" t="str">
        <f aca="false">IF(OR($J196="",$J196=0),"",$I196/$J196)</f>
        <v/>
      </c>
      <c r="L196" s="9" t="str">
        <f aca="false">IF(OR($E196="",$E196=0),"",$H196/$E196)</f>
        <v/>
      </c>
      <c r="M196" s="10" t="str">
        <f aca="false">IF(OR($L196="",$L196=0),"",($I196/30)/$L196)</f>
        <v/>
      </c>
      <c r="N196" s="8"/>
      <c r="O196" s="11" t="str">
        <f aca="false">IF(OR($I196="",$N196=""),"",($I196/1000)*$N196)</f>
        <v/>
      </c>
      <c r="P196" s="12" t="str">
        <f aca="false">IF($C196="","",IFERROR(ROUND(MIN(25,($N196/Instellingen!$B$3)*25)+MIN(25,($I196/Instellingen!$B$4)*25)+MIN(25,($J196/Instellingen!$B$5)*25)+MIN(25,(IF($M196="",0,$M196)/Instellingen!$B$6)*25),0),""))</f>
        <v/>
      </c>
      <c r="Q196" s="13" t="str">
        <f aca="false">IF($P196="","",IF($P196&gt;=Instellingen!$B$7,"Sterke niche",IF($P196&gt;=Instellingen!$B$8,"Belofte - opvolgen",IF($P196&gt;=Instellingen!$B$9,"Zwak - twijfel","Vermijden"))))</f>
        <v/>
      </c>
      <c r="R196" s="5"/>
      <c r="T196" s="1" t="str">
        <f aca="false">IF($C196="","",IF($P196=_xlfn.MAXIFS($P$3:$P$1000,$B$3:$B$1000,$B196),"★ Cash cow – handmatig onderzoeken",""))</f>
        <v/>
      </c>
    </row>
    <row r="197" customFormat="false" ht="14.25" hidden="false" customHeight="true" outlineLevel="0" collapsed="false">
      <c r="A197" s="4"/>
      <c r="B197" s="5"/>
      <c r="C197" s="5"/>
      <c r="D197" s="5"/>
      <c r="E197" s="6"/>
      <c r="F197" s="7"/>
      <c r="G197" s="8"/>
      <c r="H197" s="7"/>
      <c r="I197" s="7"/>
      <c r="J197" s="6"/>
      <c r="K197" s="9" t="str">
        <f aca="false">IF(OR($J197="",$J197=0),"",$I197/$J197)</f>
        <v/>
      </c>
      <c r="L197" s="9" t="str">
        <f aca="false">IF(OR($E197="",$E197=0),"",$H197/$E197)</f>
        <v/>
      </c>
      <c r="M197" s="10" t="str">
        <f aca="false">IF(OR($L197="",$L197=0),"",($I197/30)/$L197)</f>
        <v/>
      </c>
      <c r="N197" s="8"/>
      <c r="O197" s="11" t="str">
        <f aca="false">IF(OR($I197="",$N197=""),"",($I197/1000)*$N197)</f>
        <v/>
      </c>
      <c r="P197" s="12" t="str">
        <f aca="false">IF($C197="","",IFERROR(ROUND(MIN(25,($N197/Instellingen!$B$3)*25)+MIN(25,($I197/Instellingen!$B$4)*25)+MIN(25,($J197/Instellingen!$B$5)*25)+MIN(25,(IF($M197="",0,$M197)/Instellingen!$B$6)*25),0),""))</f>
        <v/>
      </c>
      <c r="Q197" s="13" t="str">
        <f aca="false">IF($P197="","",IF($P197&gt;=Instellingen!$B$7,"Sterke niche",IF($P197&gt;=Instellingen!$B$8,"Belofte - opvolgen",IF($P197&gt;=Instellingen!$B$9,"Zwak - twijfel","Vermijden"))))</f>
        <v/>
      </c>
      <c r="R197" s="5"/>
      <c r="T197" s="1" t="str">
        <f aca="false">IF($C197="","",IF($P197=_xlfn.MAXIFS($P$3:$P$1000,$B$3:$B$1000,$B197),"★ Cash cow – handmatig onderzoeken",""))</f>
        <v/>
      </c>
    </row>
    <row r="198" customFormat="false" ht="14.25" hidden="false" customHeight="true" outlineLevel="0" collapsed="false">
      <c r="A198" s="4"/>
      <c r="B198" s="5"/>
      <c r="C198" s="5"/>
      <c r="D198" s="5"/>
      <c r="E198" s="6"/>
      <c r="F198" s="7"/>
      <c r="G198" s="8"/>
      <c r="H198" s="7"/>
      <c r="I198" s="7"/>
      <c r="J198" s="6"/>
      <c r="K198" s="9" t="str">
        <f aca="false">IF(OR($J198="",$J198=0),"",$I198/$J198)</f>
        <v/>
      </c>
      <c r="L198" s="9" t="str">
        <f aca="false">IF(OR($E198="",$E198=0),"",$H198/$E198)</f>
        <v/>
      </c>
      <c r="M198" s="10" t="str">
        <f aca="false">IF(OR($L198="",$L198=0),"",($I198/30)/$L198)</f>
        <v/>
      </c>
      <c r="N198" s="8"/>
      <c r="O198" s="11" t="str">
        <f aca="false">IF(OR($I198="",$N198=""),"",($I198/1000)*$N198)</f>
        <v/>
      </c>
      <c r="P198" s="12" t="str">
        <f aca="false">IF($C198="","",IFERROR(ROUND(MIN(25,($N198/Instellingen!$B$3)*25)+MIN(25,($I198/Instellingen!$B$4)*25)+MIN(25,($J198/Instellingen!$B$5)*25)+MIN(25,(IF($M198="",0,$M198)/Instellingen!$B$6)*25),0),""))</f>
        <v/>
      </c>
      <c r="Q198" s="13" t="str">
        <f aca="false">IF($P198="","",IF($P198&gt;=Instellingen!$B$7,"Sterke niche",IF($P198&gt;=Instellingen!$B$8,"Belofte - opvolgen",IF($P198&gt;=Instellingen!$B$9,"Zwak - twijfel","Vermijden"))))</f>
        <v/>
      </c>
      <c r="R198" s="5"/>
      <c r="T198" s="1" t="str">
        <f aca="false">IF($C198="","",IF($P198=_xlfn.MAXIFS($P$3:$P$1000,$B$3:$B$1000,$B198),"★ Cash cow – handmatig onderzoeken",""))</f>
        <v/>
      </c>
    </row>
    <row r="199" customFormat="false" ht="14.25" hidden="false" customHeight="true" outlineLevel="0" collapsed="false">
      <c r="A199" s="4"/>
      <c r="B199" s="5"/>
      <c r="C199" s="5"/>
      <c r="D199" s="5"/>
      <c r="E199" s="6"/>
      <c r="F199" s="7"/>
      <c r="G199" s="8"/>
      <c r="H199" s="7"/>
      <c r="I199" s="7"/>
      <c r="J199" s="6"/>
      <c r="K199" s="9" t="str">
        <f aca="false">IF(OR($J199="",$J199=0),"",$I199/$J199)</f>
        <v/>
      </c>
      <c r="L199" s="9" t="str">
        <f aca="false">IF(OR($E199="",$E199=0),"",$H199/$E199)</f>
        <v/>
      </c>
      <c r="M199" s="10" t="str">
        <f aca="false">IF(OR($L199="",$L199=0),"",($I199/30)/$L199)</f>
        <v/>
      </c>
      <c r="N199" s="8"/>
      <c r="O199" s="11" t="str">
        <f aca="false">IF(OR($I199="",$N199=""),"",($I199/1000)*$N199)</f>
        <v/>
      </c>
      <c r="P199" s="12" t="str">
        <f aca="false">IF($C199="","",IFERROR(ROUND(MIN(25,($N199/Instellingen!$B$3)*25)+MIN(25,($I199/Instellingen!$B$4)*25)+MIN(25,($J199/Instellingen!$B$5)*25)+MIN(25,(IF($M199="",0,$M199)/Instellingen!$B$6)*25),0),""))</f>
        <v/>
      </c>
      <c r="Q199" s="13" t="str">
        <f aca="false">IF($P199="","",IF($P199&gt;=Instellingen!$B$7,"Sterke niche",IF($P199&gt;=Instellingen!$B$8,"Belofte - opvolgen",IF($P199&gt;=Instellingen!$B$9,"Zwak - twijfel","Vermijden"))))</f>
        <v/>
      </c>
      <c r="R199" s="5"/>
      <c r="T199" s="1" t="str">
        <f aca="false">IF($C199="","",IF($P199=_xlfn.MAXIFS($P$3:$P$1000,$B$3:$B$1000,$B199),"★ Cash cow – handmatig onderzoeken",""))</f>
        <v/>
      </c>
    </row>
    <row r="200" customFormat="false" ht="14.25" hidden="false" customHeight="true" outlineLevel="0" collapsed="false">
      <c r="A200" s="4"/>
      <c r="B200" s="5"/>
      <c r="C200" s="5"/>
      <c r="D200" s="5"/>
      <c r="E200" s="6"/>
      <c r="F200" s="7"/>
      <c r="G200" s="8"/>
      <c r="H200" s="7"/>
      <c r="I200" s="7"/>
      <c r="J200" s="6"/>
      <c r="K200" s="9" t="str">
        <f aca="false">IF(OR($J200="",$J200=0),"",$I200/$J200)</f>
        <v/>
      </c>
      <c r="L200" s="9" t="str">
        <f aca="false">IF(OR($E200="",$E200=0),"",$H200/$E200)</f>
        <v/>
      </c>
      <c r="M200" s="10" t="str">
        <f aca="false">IF(OR($L200="",$L200=0),"",($I200/30)/$L200)</f>
        <v/>
      </c>
      <c r="N200" s="8"/>
      <c r="O200" s="11" t="str">
        <f aca="false">IF(OR($I200="",$N200=""),"",($I200/1000)*$N200)</f>
        <v/>
      </c>
      <c r="P200" s="12" t="str">
        <f aca="false">IF($C200="","",IFERROR(ROUND(MIN(25,($N200/Instellingen!$B$3)*25)+MIN(25,($I200/Instellingen!$B$4)*25)+MIN(25,($J200/Instellingen!$B$5)*25)+MIN(25,(IF($M200="",0,$M200)/Instellingen!$B$6)*25),0),""))</f>
        <v/>
      </c>
      <c r="Q200" s="13" t="str">
        <f aca="false">IF($P200="","",IF($P200&gt;=Instellingen!$B$7,"Sterke niche",IF($P200&gt;=Instellingen!$B$8,"Belofte - opvolgen",IF($P200&gt;=Instellingen!$B$9,"Zwak - twijfel","Vermijden"))))</f>
        <v/>
      </c>
      <c r="R200" s="5"/>
      <c r="T200" s="1" t="str">
        <f aca="false">IF($C200="","",IF($P200=_xlfn.MAXIFS($P$3:$P$1000,$B$3:$B$1000,$B200),"★ Cash cow – handmatig onderzoeken",""))</f>
        <v/>
      </c>
    </row>
    <row r="201" customFormat="false" ht="14.25" hidden="false" customHeight="true" outlineLevel="0" collapsed="false">
      <c r="A201" s="4"/>
      <c r="B201" s="5"/>
      <c r="C201" s="5"/>
      <c r="D201" s="5"/>
      <c r="E201" s="6"/>
      <c r="F201" s="7"/>
      <c r="G201" s="8"/>
      <c r="H201" s="7"/>
      <c r="I201" s="7"/>
      <c r="J201" s="6"/>
      <c r="K201" s="9" t="str">
        <f aca="false">IF(OR($J201="",$J201=0),"",$I201/$J201)</f>
        <v/>
      </c>
      <c r="L201" s="9" t="str">
        <f aca="false">IF(OR($E201="",$E201=0),"",$H201/$E201)</f>
        <v/>
      </c>
      <c r="M201" s="10" t="str">
        <f aca="false">IF(OR($L201="",$L201=0),"",($I201/30)/$L201)</f>
        <v/>
      </c>
      <c r="N201" s="8"/>
      <c r="O201" s="11" t="str">
        <f aca="false">IF(OR($I201="",$N201=""),"",($I201/1000)*$N201)</f>
        <v/>
      </c>
      <c r="P201" s="12" t="str">
        <f aca="false">IF($C201="","",IFERROR(ROUND(MIN(25,($N201/Instellingen!$B$3)*25)+MIN(25,($I201/Instellingen!$B$4)*25)+MIN(25,($J201/Instellingen!$B$5)*25)+MIN(25,(IF($M201="",0,$M201)/Instellingen!$B$6)*25),0),""))</f>
        <v/>
      </c>
      <c r="Q201" s="13" t="str">
        <f aca="false">IF($P201="","",IF($P201&gt;=Instellingen!$B$7,"Sterke niche",IF($P201&gt;=Instellingen!$B$8,"Belofte - opvolgen",IF($P201&gt;=Instellingen!$B$9,"Zwak - twijfel","Vermijden"))))</f>
        <v/>
      </c>
      <c r="R201" s="5"/>
      <c r="T201" s="1" t="str">
        <f aca="false">IF($C201="","",IF($P201=_xlfn.MAXIFS($P$3:$P$1000,$B$3:$B$1000,$B201),"★ Cash cow – handmatig onderzoeken",""))</f>
        <v/>
      </c>
    </row>
    <row r="202" customFormat="false" ht="14.25" hidden="false" customHeight="true" outlineLevel="0" collapsed="false">
      <c r="A202" s="4"/>
      <c r="B202" s="5"/>
      <c r="C202" s="5"/>
      <c r="D202" s="5"/>
      <c r="E202" s="6"/>
      <c r="F202" s="7"/>
      <c r="G202" s="8"/>
      <c r="H202" s="7"/>
      <c r="I202" s="7"/>
      <c r="J202" s="6"/>
      <c r="K202" s="9" t="str">
        <f aca="false">IF(OR($J202="",$J202=0),"",$I202/$J202)</f>
        <v/>
      </c>
      <c r="L202" s="9" t="str">
        <f aca="false">IF(OR($E202="",$E202=0),"",$H202/$E202)</f>
        <v/>
      </c>
      <c r="M202" s="10" t="str">
        <f aca="false">IF(OR($L202="",$L202=0),"",($I202/30)/$L202)</f>
        <v/>
      </c>
      <c r="N202" s="8"/>
      <c r="O202" s="11" t="str">
        <f aca="false">IF(OR($I202="",$N202=""),"",($I202/1000)*$N202)</f>
        <v/>
      </c>
      <c r="P202" s="12" t="str">
        <f aca="false">IF($C202="","",IFERROR(ROUND(MIN(25,($N202/Instellingen!$B$3)*25)+MIN(25,($I202/Instellingen!$B$4)*25)+MIN(25,($J202/Instellingen!$B$5)*25)+MIN(25,(IF($M202="",0,$M202)/Instellingen!$B$6)*25),0),""))</f>
        <v/>
      </c>
      <c r="Q202" s="13" t="str">
        <f aca="false">IF($P202="","",IF($P202&gt;=Instellingen!$B$7,"Sterke niche",IF($P202&gt;=Instellingen!$B$8,"Belofte - opvolgen",IF($P202&gt;=Instellingen!$B$9,"Zwak - twijfel","Vermijden"))))</f>
        <v/>
      </c>
      <c r="R202" s="5"/>
      <c r="T202" s="1" t="str">
        <f aca="false">IF($C202="","",IF($P202=_xlfn.MAXIFS($P$3:$P$1000,$B$3:$B$1000,$B202),"★ Cash cow – handmatig onderzoeken",""))</f>
        <v/>
      </c>
    </row>
    <row r="203" customFormat="false" ht="14.25" hidden="false" customHeight="true" outlineLevel="0" collapsed="false">
      <c r="A203" s="4"/>
      <c r="B203" s="5"/>
      <c r="C203" s="5"/>
      <c r="D203" s="5"/>
      <c r="E203" s="6"/>
      <c r="F203" s="7"/>
      <c r="G203" s="8"/>
      <c r="H203" s="7"/>
      <c r="I203" s="7"/>
      <c r="J203" s="6"/>
      <c r="K203" s="9" t="str">
        <f aca="false">IF(OR($J203="",$J203=0),"",$I203/$J203)</f>
        <v/>
      </c>
      <c r="L203" s="9" t="str">
        <f aca="false">IF(OR($E203="",$E203=0),"",$H203/$E203)</f>
        <v/>
      </c>
      <c r="M203" s="10" t="str">
        <f aca="false">IF(OR($L203="",$L203=0),"",($I203/30)/$L203)</f>
        <v/>
      </c>
      <c r="N203" s="8"/>
      <c r="O203" s="11" t="str">
        <f aca="false">IF(OR($I203="",$N203=""),"",($I203/1000)*$N203)</f>
        <v/>
      </c>
      <c r="P203" s="12" t="str">
        <f aca="false">IF($C203="","",IFERROR(ROUND(MIN(25,($N203/Instellingen!$B$3)*25)+MIN(25,($I203/Instellingen!$B$4)*25)+MIN(25,($J203/Instellingen!$B$5)*25)+MIN(25,(IF($M203="",0,$M203)/Instellingen!$B$6)*25),0),""))</f>
        <v/>
      </c>
      <c r="Q203" s="13" t="str">
        <f aca="false">IF($P203="","",IF($P203&gt;=Instellingen!$B$7,"Sterke niche",IF($P203&gt;=Instellingen!$B$8,"Belofte - opvolgen",IF($P203&gt;=Instellingen!$B$9,"Zwak - twijfel","Vermijden"))))</f>
        <v/>
      </c>
      <c r="R203" s="5"/>
      <c r="T203" s="1" t="str">
        <f aca="false">IF($C203="","",IF($P203=_xlfn.MAXIFS($P$3:$P$1000,$B$3:$B$1000,$B203),"★ Cash cow – handmatig onderzoeken",""))</f>
        <v/>
      </c>
    </row>
    <row r="204" customFormat="false" ht="14.25" hidden="false" customHeight="true" outlineLevel="0" collapsed="false">
      <c r="A204" s="4"/>
      <c r="B204" s="5"/>
      <c r="C204" s="5"/>
      <c r="D204" s="5"/>
      <c r="E204" s="6"/>
      <c r="F204" s="7"/>
      <c r="G204" s="8"/>
      <c r="H204" s="7"/>
      <c r="I204" s="7"/>
      <c r="J204" s="6"/>
      <c r="K204" s="9" t="str">
        <f aca="false">IF(OR($J204="",$J204=0),"",$I204/$J204)</f>
        <v/>
      </c>
      <c r="L204" s="9" t="str">
        <f aca="false">IF(OR($E204="",$E204=0),"",$H204/$E204)</f>
        <v/>
      </c>
      <c r="M204" s="10" t="str">
        <f aca="false">IF(OR($L204="",$L204=0),"",($I204/30)/$L204)</f>
        <v/>
      </c>
      <c r="N204" s="8"/>
      <c r="O204" s="11" t="str">
        <f aca="false">IF(OR($I204="",$N204=""),"",($I204/1000)*$N204)</f>
        <v/>
      </c>
      <c r="P204" s="12" t="str">
        <f aca="false">IF($C204="","",IFERROR(ROUND(MIN(25,($N204/Instellingen!$B$3)*25)+MIN(25,($I204/Instellingen!$B$4)*25)+MIN(25,($J204/Instellingen!$B$5)*25)+MIN(25,(IF($M204="",0,$M204)/Instellingen!$B$6)*25),0),""))</f>
        <v/>
      </c>
      <c r="Q204" s="13" t="str">
        <f aca="false">IF($P204="","",IF($P204&gt;=Instellingen!$B$7,"Sterke niche",IF($P204&gt;=Instellingen!$B$8,"Belofte - opvolgen",IF($P204&gt;=Instellingen!$B$9,"Zwak - twijfel","Vermijden"))))</f>
        <v/>
      </c>
      <c r="R204" s="5"/>
      <c r="T204" s="1" t="str">
        <f aca="false">IF($C204="","",IF($P204=_xlfn.MAXIFS($P$3:$P$1000,$B$3:$B$1000,$B204),"★ Cash cow – handmatig onderzoeken",""))</f>
        <v/>
      </c>
    </row>
    <row r="205" customFormat="false" ht="14.25" hidden="false" customHeight="true" outlineLevel="0" collapsed="false">
      <c r="A205" s="4"/>
      <c r="B205" s="5"/>
      <c r="C205" s="5"/>
      <c r="D205" s="5"/>
      <c r="E205" s="6"/>
      <c r="F205" s="7"/>
      <c r="G205" s="8"/>
      <c r="H205" s="7"/>
      <c r="I205" s="7"/>
      <c r="J205" s="6"/>
      <c r="K205" s="9" t="str">
        <f aca="false">IF(OR($J205="",$J205=0),"",$I205/$J205)</f>
        <v/>
      </c>
      <c r="L205" s="9" t="str">
        <f aca="false">IF(OR($E205="",$E205=0),"",$H205/$E205)</f>
        <v/>
      </c>
      <c r="M205" s="10" t="str">
        <f aca="false">IF(OR($L205="",$L205=0),"",($I205/30)/$L205)</f>
        <v/>
      </c>
      <c r="N205" s="8"/>
      <c r="O205" s="11" t="str">
        <f aca="false">IF(OR($I205="",$N205=""),"",($I205/1000)*$N205)</f>
        <v/>
      </c>
      <c r="P205" s="12" t="str">
        <f aca="false">IF($C205="","",IFERROR(ROUND(MIN(25,($N205/Instellingen!$B$3)*25)+MIN(25,($I205/Instellingen!$B$4)*25)+MIN(25,($J205/Instellingen!$B$5)*25)+MIN(25,(IF($M205="",0,$M205)/Instellingen!$B$6)*25),0),""))</f>
        <v/>
      </c>
      <c r="Q205" s="13" t="str">
        <f aca="false">IF($P205="","",IF($P205&gt;=Instellingen!$B$7,"Sterke niche",IF($P205&gt;=Instellingen!$B$8,"Belofte - opvolgen",IF($P205&gt;=Instellingen!$B$9,"Zwak - twijfel","Vermijden"))))</f>
        <v/>
      </c>
      <c r="R205" s="5"/>
      <c r="T205" s="1" t="str">
        <f aca="false">IF($C205="","",IF($P205=_xlfn.MAXIFS($P$3:$P$1000,$B$3:$B$1000,$B205),"★ Cash cow – handmatig onderzoeken",""))</f>
        <v/>
      </c>
    </row>
    <row r="206" customFormat="false" ht="14.25" hidden="false" customHeight="true" outlineLevel="0" collapsed="false">
      <c r="A206" s="4"/>
      <c r="B206" s="5"/>
      <c r="C206" s="5"/>
      <c r="D206" s="5"/>
      <c r="E206" s="6"/>
      <c r="F206" s="7"/>
      <c r="G206" s="8"/>
      <c r="H206" s="7"/>
      <c r="I206" s="7"/>
      <c r="J206" s="6"/>
      <c r="K206" s="9" t="str">
        <f aca="false">IF(OR($J206="",$J206=0),"",$I206/$J206)</f>
        <v/>
      </c>
      <c r="L206" s="9" t="str">
        <f aca="false">IF(OR($E206="",$E206=0),"",$H206/$E206)</f>
        <v/>
      </c>
      <c r="M206" s="10" t="str">
        <f aca="false">IF(OR($L206="",$L206=0),"",($I206/30)/$L206)</f>
        <v/>
      </c>
      <c r="N206" s="8"/>
      <c r="O206" s="11" t="str">
        <f aca="false">IF(OR($I206="",$N206=""),"",($I206/1000)*$N206)</f>
        <v/>
      </c>
      <c r="P206" s="12" t="str">
        <f aca="false">IF($C206="","",IFERROR(ROUND(MIN(25,($N206/Instellingen!$B$3)*25)+MIN(25,($I206/Instellingen!$B$4)*25)+MIN(25,($J206/Instellingen!$B$5)*25)+MIN(25,(IF($M206="",0,$M206)/Instellingen!$B$6)*25),0),""))</f>
        <v/>
      </c>
      <c r="Q206" s="13" t="str">
        <f aca="false">IF($P206="","",IF($P206&gt;=Instellingen!$B$7,"Sterke niche",IF($P206&gt;=Instellingen!$B$8,"Belofte - opvolgen",IF($P206&gt;=Instellingen!$B$9,"Zwak - twijfel","Vermijden"))))</f>
        <v/>
      </c>
      <c r="R206" s="5"/>
      <c r="T206" s="1" t="str">
        <f aca="false">IF($C206="","",IF($P206=_xlfn.MAXIFS($P$3:$P$1000,$B$3:$B$1000,$B206),"★ Cash cow – handmatig onderzoeken",""))</f>
        <v/>
      </c>
    </row>
    <row r="207" customFormat="false" ht="14.25" hidden="false" customHeight="true" outlineLevel="0" collapsed="false">
      <c r="A207" s="4"/>
      <c r="B207" s="5"/>
      <c r="C207" s="5"/>
      <c r="D207" s="5"/>
      <c r="E207" s="6"/>
      <c r="F207" s="7"/>
      <c r="G207" s="8"/>
      <c r="H207" s="7"/>
      <c r="I207" s="7"/>
      <c r="J207" s="6"/>
      <c r="K207" s="9" t="str">
        <f aca="false">IF(OR($J207="",$J207=0),"",$I207/$J207)</f>
        <v/>
      </c>
      <c r="L207" s="9" t="str">
        <f aca="false">IF(OR($E207="",$E207=0),"",$H207/$E207)</f>
        <v/>
      </c>
      <c r="M207" s="10" t="str">
        <f aca="false">IF(OR($L207="",$L207=0),"",($I207/30)/$L207)</f>
        <v/>
      </c>
      <c r="N207" s="8"/>
      <c r="O207" s="11" t="str">
        <f aca="false">IF(OR($I207="",$N207=""),"",($I207/1000)*$N207)</f>
        <v/>
      </c>
      <c r="P207" s="12" t="str">
        <f aca="false">IF($C207="","",IFERROR(ROUND(MIN(25,($N207/Instellingen!$B$3)*25)+MIN(25,($I207/Instellingen!$B$4)*25)+MIN(25,($J207/Instellingen!$B$5)*25)+MIN(25,(IF($M207="",0,$M207)/Instellingen!$B$6)*25),0),""))</f>
        <v/>
      </c>
      <c r="Q207" s="13" t="str">
        <f aca="false">IF($P207="","",IF($P207&gt;=Instellingen!$B$7,"Sterke niche",IF($P207&gt;=Instellingen!$B$8,"Belofte - opvolgen",IF($P207&gt;=Instellingen!$B$9,"Zwak - twijfel","Vermijden"))))</f>
        <v/>
      </c>
      <c r="R207" s="5"/>
      <c r="T207" s="1" t="str">
        <f aca="false">IF($C207="","",IF($P207=_xlfn.MAXIFS($P$3:$P$1000,$B$3:$B$1000,$B207),"★ Cash cow – handmatig onderzoeken",""))</f>
        <v/>
      </c>
    </row>
    <row r="208" customFormat="false" ht="14.25" hidden="false" customHeight="true" outlineLevel="0" collapsed="false">
      <c r="A208" s="4"/>
      <c r="B208" s="5"/>
      <c r="C208" s="5"/>
      <c r="D208" s="5"/>
      <c r="E208" s="6"/>
      <c r="F208" s="7"/>
      <c r="G208" s="8"/>
      <c r="H208" s="7"/>
      <c r="I208" s="7"/>
      <c r="J208" s="6"/>
      <c r="K208" s="9" t="str">
        <f aca="false">IF(OR($J208="",$J208=0),"",$I208/$J208)</f>
        <v/>
      </c>
      <c r="L208" s="9" t="str">
        <f aca="false">IF(OR($E208="",$E208=0),"",$H208/$E208)</f>
        <v/>
      </c>
      <c r="M208" s="10" t="str">
        <f aca="false">IF(OR($L208="",$L208=0),"",($I208/30)/$L208)</f>
        <v/>
      </c>
      <c r="N208" s="8"/>
      <c r="O208" s="11" t="str">
        <f aca="false">IF(OR($I208="",$N208=""),"",($I208/1000)*$N208)</f>
        <v/>
      </c>
      <c r="P208" s="12" t="str">
        <f aca="false">IF($C208="","",IFERROR(ROUND(MIN(25,($N208/Instellingen!$B$3)*25)+MIN(25,($I208/Instellingen!$B$4)*25)+MIN(25,($J208/Instellingen!$B$5)*25)+MIN(25,(IF($M208="",0,$M208)/Instellingen!$B$6)*25),0),""))</f>
        <v/>
      </c>
      <c r="Q208" s="13" t="str">
        <f aca="false">IF($P208="","",IF($P208&gt;=Instellingen!$B$7,"Sterke niche",IF($P208&gt;=Instellingen!$B$8,"Belofte - opvolgen",IF($P208&gt;=Instellingen!$B$9,"Zwak - twijfel","Vermijden"))))</f>
        <v/>
      </c>
      <c r="R208" s="5"/>
      <c r="T208" s="1" t="str">
        <f aca="false">IF($C208="","",IF($P208=_xlfn.MAXIFS($P$3:$P$1000,$B$3:$B$1000,$B208),"★ Cash cow – handmatig onderzoeken",""))</f>
        <v/>
      </c>
    </row>
    <row r="209" customFormat="false" ht="14.25" hidden="false" customHeight="true" outlineLevel="0" collapsed="false">
      <c r="A209" s="4"/>
      <c r="B209" s="5"/>
      <c r="C209" s="5"/>
      <c r="D209" s="5"/>
      <c r="E209" s="6"/>
      <c r="F209" s="7"/>
      <c r="G209" s="8"/>
      <c r="H209" s="7"/>
      <c r="I209" s="7"/>
      <c r="J209" s="6"/>
      <c r="K209" s="9" t="str">
        <f aca="false">IF(OR($J209="",$J209=0),"",$I209/$J209)</f>
        <v/>
      </c>
      <c r="L209" s="9" t="str">
        <f aca="false">IF(OR($E209="",$E209=0),"",$H209/$E209)</f>
        <v/>
      </c>
      <c r="M209" s="10" t="str">
        <f aca="false">IF(OR($L209="",$L209=0),"",($I209/30)/$L209)</f>
        <v/>
      </c>
      <c r="N209" s="8"/>
      <c r="O209" s="11" t="str">
        <f aca="false">IF(OR($I209="",$N209=""),"",($I209/1000)*$N209)</f>
        <v/>
      </c>
      <c r="P209" s="12" t="str">
        <f aca="false">IF($C209="","",IFERROR(ROUND(MIN(25,($N209/Instellingen!$B$3)*25)+MIN(25,($I209/Instellingen!$B$4)*25)+MIN(25,($J209/Instellingen!$B$5)*25)+MIN(25,(IF($M209="",0,$M209)/Instellingen!$B$6)*25),0),""))</f>
        <v/>
      </c>
      <c r="Q209" s="13" t="str">
        <f aca="false">IF($P209="","",IF($P209&gt;=Instellingen!$B$7,"Sterke niche",IF($P209&gt;=Instellingen!$B$8,"Belofte - opvolgen",IF($P209&gt;=Instellingen!$B$9,"Zwak - twijfel","Vermijden"))))</f>
        <v/>
      </c>
      <c r="R209" s="5"/>
      <c r="T209" s="1" t="str">
        <f aca="false">IF($C209="","",IF($P209=_xlfn.MAXIFS($P$3:$P$1000,$B$3:$B$1000,$B209),"★ Cash cow – handmatig onderzoeken",""))</f>
        <v/>
      </c>
    </row>
    <row r="210" customFormat="false" ht="14.25" hidden="false" customHeight="true" outlineLevel="0" collapsed="false">
      <c r="A210" s="4"/>
      <c r="B210" s="5"/>
      <c r="C210" s="5"/>
      <c r="D210" s="5"/>
      <c r="E210" s="6"/>
      <c r="F210" s="7"/>
      <c r="G210" s="8"/>
      <c r="H210" s="7"/>
      <c r="I210" s="7"/>
      <c r="J210" s="6"/>
      <c r="K210" s="9" t="str">
        <f aca="false">IF(OR($J210="",$J210=0),"",$I210/$J210)</f>
        <v/>
      </c>
      <c r="L210" s="9" t="str">
        <f aca="false">IF(OR($E210="",$E210=0),"",$H210/$E210)</f>
        <v/>
      </c>
      <c r="M210" s="10" t="str">
        <f aca="false">IF(OR($L210="",$L210=0),"",($I210/30)/$L210)</f>
        <v/>
      </c>
      <c r="N210" s="8"/>
      <c r="O210" s="11" t="str">
        <f aca="false">IF(OR($I210="",$N210=""),"",($I210/1000)*$N210)</f>
        <v/>
      </c>
      <c r="P210" s="12" t="str">
        <f aca="false">IF($C210="","",IFERROR(ROUND(MIN(25,($N210/Instellingen!$B$3)*25)+MIN(25,($I210/Instellingen!$B$4)*25)+MIN(25,($J210/Instellingen!$B$5)*25)+MIN(25,(IF($M210="",0,$M210)/Instellingen!$B$6)*25),0),""))</f>
        <v/>
      </c>
      <c r="Q210" s="13" t="str">
        <f aca="false">IF($P210="","",IF($P210&gt;=Instellingen!$B$7,"Sterke niche",IF($P210&gt;=Instellingen!$B$8,"Belofte - opvolgen",IF($P210&gt;=Instellingen!$B$9,"Zwak - twijfel","Vermijden"))))</f>
        <v/>
      </c>
      <c r="R210" s="5"/>
      <c r="T210" s="1" t="str">
        <f aca="false">IF($C210="","",IF($P210=_xlfn.MAXIFS($P$3:$P$1000,$B$3:$B$1000,$B210),"★ Cash cow – handmatig onderzoeken",""))</f>
        <v/>
      </c>
    </row>
    <row r="211" customFormat="false" ht="14.25" hidden="false" customHeight="true" outlineLevel="0" collapsed="false">
      <c r="A211" s="4"/>
      <c r="B211" s="5"/>
      <c r="C211" s="5"/>
      <c r="D211" s="5"/>
      <c r="E211" s="6"/>
      <c r="F211" s="7"/>
      <c r="G211" s="8"/>
      <c r="H211" s="7"/>
      <c r="I211" s="7"/>
      <c r="J211" s="6"/>
      <c r="K211" s="9" t="str">
        <f aca="false">IF(OR($J211="",$J211=0),"",$I211/$J211)</f>
        <v/>
      </c>
      <c r="L211" s="9" t="str">
        <f aca="false">IF(OR($E211="",$E211=0),"",$H211/$E211)</f>
        <v/>
      </c>
      <c r="M211" s="10" t="str">
        <f aca="false">IF(OR($L211="",$L211=0),"",($I211/30)/$L211)</f>
        <v/>
      </c>
      <c r="N211" s="8"/>
      <c r="O211" s="11" t="str">
        <f aca="false">IF(OR($I211="",$N211=""),"",($I211/1000)*$N211)</f>
        <v/>
      </c>
      <c r="P211" s="12" t="str">
        <f aca="false">IF($C211="","",IFERROR(ROUND(MIN(25,($N211/Instellingen!$B$3)*25)+MIN(25,($I211/Instellingen!$B$4)*25)+MIN(25,($J211/Instellingen!$B$5)*25)+MIN(25,(IF($M211="",0,$M211)/Instellingen!$B$6)*25),0),""))</f>
        <v/>
      </c>
      <c r="Q211" s="13" t="str">
        <f aca="false">IF($P211="","",IF($P211&gt;=Instellingen!$B$7,"Sterke niche",IF($P211&gt;=Instellingen!$B$8,"Belofte - opvolgen",IF($P211&gt;=Instellingen!$B$9,"Zwak - twijfel","Vermijden"))))</f>
        <v/>
      </c>
      <c r="R211" s="5"/>
      <c r="T211" s="1" t="str">
        <f aca="false">IF($C211="","",IF($P211=_xlfn.MAXIFS($P$3:$P$1000,$B$3:$B$1000,$B211),"★ Cash cow – handmatig onderzoeken",""))</f>
        <v/>
      </c>
    </row>
    <row r="212" customFormat="false" ht="14.25" hidden="false" customHeight="true" outlineLevel="0" collapsed="false">
      <c r="A212" s="4"/>
      <c r="B212" s="5"/>
      <c r="C212" s="5"/>
      <c r="D212" s="5"/>
      <c r="E212" s="6"/>
      <c r="F212" s="7"/>
      <c r="G212" s="8"/>
      <c r="H212" s="7"/>
      <c r="I212" s="7"/>
      <c r="J212" s="6"/>
      <c r="K212" s="9" t="str">
        <f aca="false">IF(OR($J212="",$J212=0),"",$I212/$J212)</f>
        <v/>
      </c>
      <c r="L212" s="9" t="str">
        <f aca="false">IF(OR($E212="",$E212=0),"",$H212/$E212)</f>
        <v/>
      </c>
      <c r="M212" s="10" t="str">
        <f aca="false">IF(OR($L212="",$L212=0),"",($I212/30)/$L212)</f>
        <v/>
      </c>
      <c r="N212" s="8"/>
      <c r="O212" s="11" t="str">
        <f aca="false">IF(OR($I212="",$N212=""),"",($I212/1000)*$N212)</f>
        <v/>
      </c>
      <c r="P212" s="12" t="str">
        <f aca="false">IF($C212="","",IFERROR(ROUND(MIN(25,($N212/Instellingen!$B$3)*25)+MIN(25,($I212/Instellingen!$B$4)*25)+MIN(25,($J212/Instellingen!$B$5)*25)+MIN(25,(IF($M212="",0,$M212)/Instellingen!$B$6)*25),0),""))</f>
        <v/>
      </c>
      <c r="Q212" s="13" t="str">
        <f aca="false">IF($P212="","",IF($P212&gt;=Instellingen!$B$7,"Sterke niche",IF($P212&gt;=Instellingen!$B$8,"Belofte - opvolgen",IF($P212&gt;=Instellingen!$B$9,"Zwak - twijfel","Vermijden"))))</f>
        <v/>
      </c>
      <c r="R212" s="5"/>
      <c r="T212" s="1" t="str">
        <f aca="false">IF($C212="","",IF($P212=_xlfn.MAXIFS($P$3:$P$1000,$B$3:$B$1000,$B212),"★ Cash cow – handmatig onderzoeken",""))</f>
        <v/>
      </c>
    </row>
    <row r="213" customFormat="false" ht="14.25" hidden="false" customHeight="true" outlineLevel="0" collapsed="false">
      <c r="A213" s="4"/>
      <c r="B213" s="5"/>
      <c r="C213" s="5"/>
      <c r="D213" s="5"/>
      <c r="E213" s="6"/>
      <c r="F213" s="7"/>
      <c r="G213" s="8"/>
      <c r="H213" s="7"/>
      <c r="I213" s="7"/>
      <c r="J213" s="6"/>
      <c r="K213" s="9" t="str">
        <f aca="false">IF(OR($J213="",$J213=0),"",$I213/$J213)</f>
        <v/>
      </c>
      <c r="L213" s="9" t="str">
        <f aca="false">IF(OR($E213="",$E213=0),"",$H213/$E213)</f>
        <v/>
      </c>
      <c r="M213" s="10" t="str">
        <f aca="false">IF(OR($L213="",$L213=0),"",($I213/30)/$L213)</f>
        <v/>
      </c>
      <c r="N213" s="8"/>
      <c r="O213" s="11" t="str">
        <f aca="false">IF(OR($I213="",$N213=""),"",($I213/1000)*$N213)</f>
        <v/>
      </c>
      <c r="P213" s="12" t="str">
        <f aca="false">IF($C213="","",IFERROR(ROUND(MIN(25,($N213/Instellingen!$B$3)*25)+MIN(25,($I213/Instellingen!$B$4)*25)+MIN(25,($J213/Instellingen!$B$5)*25)+MIN(25,(IF($M213="",0,$M213)/Instellingen!$B$6)*25),0),""))</f>
        <v/>
      </c>
      <c r="Q213" s="13" t="str">
        <f aca="false">IF($P213="","",IF($P213&gt;=Instellingen!$B$7,"Sterke niche",IF($P213&gt;=Instellingen!$B$8,"Belofte - opvolgen",IF($P213&gt;=Instellingen!$B$9,"Zwak - twijfel","Vermijden"))))</f>
        <v/>
      </c>
      <c r="R213" s="5"/>
      <c r="T213" s="1" t="str">
        <f aca="false">IF($C213="","",IF($P213=_xlfn.MAXIFS($P$3:$P$1000,$B$3:$B$1000,$B213),"★ Cash cow – handmatig onderzoeken",""))</f>
        <v/>
      </c>
    </row>
    <row r="214" customFormat="false" ht="14.25" hidden="false" customHeight="true" outlineLevel="0" collapsed="false">
      <c r="A214" s="4"/>
      <c r="B214" s="5"/>
      <c r="C214" s="5"/>
      <c r="D214" s="5"/>
      <c r="E214" s="6"/>
      <c r="F214" s="7"/>
      <c r="G214" s="8"/>
      <c r="H214" s="7"/>
      <c r="I214" s="7"/>
      <c r="J214" s="6"/>
      <c r="K214" s="9" t="str">
        <f aca="false">IF(OR($J214="",$J214=0),"",$I214/$J214)</f>
        <v/>
      </c>
      <c r="L214" s="9" t="str">
        <f aca="false">IF(OR($E214="",$E214=0),"",$H214/$E214)</f>
        <v/>
      </c>
      <c r="M214" s="10" t="str">
        <f aca="false">IF(OR($L214="",$L214=0),"",($I214/30)/$L214)</f>
        <v/>
      </c>
      <c r="N214" s="8"/>
      <c r="O214" s="11" t="str">
        <f aca="false">IF(OR($I214="",$N214=""),"",($I214/1000)*$N214)</f>
        <v/>
      </c>
      <c r="P214" s="12" t="str">
        <f aca="false">IF($C214="","",IFERROR(ROUND(MIN(25,($N214/Instellingen!$B$3)*25)+MIN(25,($I214/Instellingen!$B$4)*25)+MIN(25,($J214/Instellingen!$B$5)*25)+MIN(25,(IF($M214="",0,$M214)/Instellingen!$B$6)*25),0),""))</f>
        <v/>
      </c>
      <c r="Q214" s="13" t="str">
        <f aca="false">IF($P214="","",IF($P214&gt;=Instellingen!$B$7,"Sterke niche",IF($P214&gt;=Instellingen!$B$8,"Belofte - opvolgen",IF($P214&gt;=Instellingen!$B$9,"Zwak - twijfel","Vermijden"))))</f>
        <v/>
      </c>
      <c r="R214" s="5"/>
      <c r="T214" s="1" t="str">
        <f aca="false">IF($C214="","",IF($P214=_xlfn.MAXIFS($P$3:$P$1000,$B$3:$B$1000,$B214),"★ Cash cow – handmatig onderzoeken",""))</f>
        <v/>
      </c>
    </row>
    <row r="215" customFormat="false" ht="14.25" hidden="false" customHeight="true" outlineLevel="0" collapsed="false">
      <c r="A215" s="4"/>
      <c r="B215" s="5"/>
      <c r="C215" s="5"/>
      <c r="D215" s="5"/>
      <c r="E215" s="6"/>
      <c r="F215" s="7"/>
      <c r="G215" s="8"/>
      <c r="H215" s="7"/>
      <c r="I215" s="7"/>
      <c r="J215" s="6"/>
      <c r="K215" s="9" t="str">
        <f aca="false">IF(OR($J215="",$J215=0),"",$I215/$J215)</f>
        <v/>
      </c>
      <c r="L215" s="9" t="str">
        <f aca="false">IF(OR($E215="",$E215=0),"",$H215/$E215)</f>
        <v/>
      </c>
      <c r="M215" s="10" t="str">
        <f aca="false">IF(OR($L215="",$L215=0),"",($I215/30)/$L215)</f>
        <v/>
      </c>
      <c r="N215" s="8"/>
      <c r="O215" s="11" t="str">
        <f aca="false">IF(OR($I215="",$N215=""),"",($I215/1000)*$N215)</f>
        <v/>
      </c>
      <c r="P215" s="12" t="str">
        <f aca="false">IF($C215="","",IFERROR(ROUND(MIN(25,($N215/Instellingen!$B$3)*25)+MIN(25,($I215/Instellingen!$B$4)*25)+MIN(25,($J215/Instellingen!$B$5)*25)+MIN(25,(IF($M215="",0,$M215)/Instellingen!$B$6)*25),0),""))</f>
        <v/>
      </c>
      <c r="Q215" s="13" t="str">
        <f aca="false">IF($P215="","",IF($P215&gt;=Instellingen!$B$7,"Sterke niche",IF($P215&gt;=Instellingen!$B$8,"Belofte - opvolgen",IF($P215&gt;=Instellingen!$B$9,"Zwak - twijfel","Vermijden"))))</f>
        <v/>
      </c>
      <c r="R215" s="5"/>
      <c r="T215" s="1" t="str">
        <f aca="false">IF($C215="","",IF($P215=_xlfn.MAXIFS($P$3:$P$1000,$B$3:$B$1000,$B215),"★ Cash cow – handmatig onderzoeken",""))</f>
        <v/>
      </c>
    </row>
    <row r="216" customFormat="false" ht="14.25" hidden="false" customHeight="true" outlineLevel="0" collapsed="false">
      <c r="A216" s="4"/>
      <c r="B216" s="5"/>
      <c r="C216" s="5"/>
      <c r="D216" s="5"/>
      <c r="E216" s="6"/>
      <c r="F216" s="7"/>
      <c r="G216" s="8"/>
      <c r="H216" s="7"/>
      <c r="I216" s="7"/>
      <c r="J216" s="6"/>
      <c r="K216" s="9" t="str">
        <f aca="false">IF(OR($J216="",$J216=0),"",$I216/$J216)</f>
        <v/>
      </c>
      <c r="L216" s="9" t="str">
        <f aca="false">IF(OR($E216="",$E216=0),"",$H216/$E216)</f>
        <v/>
      </c>
      <c r="M216" s="10" t="str">
        <f aca="false">IF(OR($L216="",$L216=0),"",($I216/30)/$L216)</f>
        <v/>
      </c>
      <c r="N216" s="8"/>
      <c r="O216" s="11" t="str">
        <f aca="false">IF(OR($I216="",$N216=""),"",($I216/1000)*$N216)</f>
        <v/>
      </c>
      <c r="P216" s="12" t="str">
        <f aca="false">IF($C216="","",IFERROR(ROUND(MIN(25,($N216/Instellingen!$B$3)*25)+MIN(25,($I216/Instellingen!$B$4)*25)+MIN(25,($J216/Instellingen!$B$5)*25)+MIN(25,(IF($M216="",0,$M216)/Instellingen!$B$6)*25),0),""))</f>
        <v/>
      </c>
      <c r="Q216" s="13" t="str">
        <f aca="false">IF($P216="","",IF($P216&gt;=Instellingen!$B$7,"Sterke niche",IF($P216&gt;=Instellingen!$B$8,"Belofte - opvolgen",IF($P216&gt;=Instellingen!$B$9,"Zwak - twijfel","Vermijden"))))</f>
        <v/>
      </c>
      <c r="R216" s="5"/>
      <c r="T216" s="1" t="str">
        <f aca="false">IF($C216="","",IF($P216=_xlfn.MAXIFS($P$3:$P$1000,$B$3:$B$1000,$B216),"★ Cash cow – handmatig onderzoeken",""))</f>
        <v/>
      </c>
    </row>
    <row r="217" customFormat="false" ht="14.25" hidden="false" customHeight="true" outlineLevel="0" collapsed="false">
      <c r="A217" s="4"/>
      <c r="B217" s="5"/>
      <c r="C217" s="5"/>
      <c r="D217" s="5"/>
      <c r="E217" s="6"/>
      <c r="F217" s="7"/>
      <c r="G217" s="8"/>
      <c r="H217" s="7"/>
      <c r="I217" s="7"/>
      <c r="J217" s="6"/>
      <c r="K217" s="9" t="str">
        <f aca="false">IF(OR($J217="",$J217=0),"",$I217/$J217)</f>
        <v/>
      </c>
      <c r="L217" s="9" t="str">
        <f aca="false">IF(OR($E217="",$E217=0),"",$H217/$E217)</f>
        <v/>
      </c>
      <c r="M217" s="10" t="str">
        <f aca="false">IF(OR($L217="",$L217=0),"",($I217/30)/$L217)</f>
        <v/>
      </c>
      <c r="N217" s="8"/>
      <c r="O217" s="11" t="str">
        <f aca="false">IF(OR($I217="",$N217=""),"",($I217/1000)*$N217)</f>
        <v/>
      </c>
      <c r="P217" s="12" t="str">
        <f aca="false">IF($C217="","",IFERROR(ROUND(MIN(25,($N217/Instellingen!$B$3)*25)+MIN(25,($I217/Instellingen!$B$4)*25)+MIN(25,($J217/Instellingen!$B$5)*25)+MIN(25,(IF($M217="",0,$M217)/Instellingen!$B$6)*25),0),""))</f>
        <v/>
      </c>
      <c r="Q217" s="13" t="str">
        <f aca="false">IF($P217="","",IF($P217&gt;=Instellingen!$B$7,"Sterke niche",IF($P217&gt;=Instellingen!$B$8,"Belofte - opvolgen",IF($P217&gt;=Instellingen!$B$9,"Zwak - twijfel","Vermijden"))))</f>
        <v/>
      </c>
      <c r="R217" s="5"/>
      <c r="T217" s="1" t="str">
        <f aca="false">IF($C217="","",IF($P217=_xlfn.MAXIFS($P$3:$P$1000,$B$3:$B$1000,$B217),"★ Cash cow – handmatig onderzoeken",""))</f>
        <v/>
      </c>
    </row>
    <row r="218" customFormat="false" ht="14.25" hidden="false" customHeight="true" outlineLevel="0" collapsed="false">
      <c r="A218" s="4"/>
      <c r="B218" s="5"/>
      <c r="C218" s="5"/>
      <c r="D218" s="5"/>
      <c r="E218" s="6"/>
      <c r="F218" s="7"/>
      <c r="G218" s="8"/>
      <c r="H218" s="7"/>
      <c r="I218" s="7"/>
      <c r="J218" s="6"/>
      <c r="K218" s="9" t="str">
        <f aca="false">IF(OR($J218="",$J218=0),"",$I218/$J218)</f>
        <v/>
      </c>
      <c r="L218" s="9" t="str">
        <f aca="false">IF(OR($E218="",$E218=0),"",$H218/$E218)</f>
        <v/>
      </c>
      <c r="M218" s="10" t="str">
        <f aca="false">IF(OR($L218="",$L218=0),"",($I218/30)/$L218)</f>
        <v/>
      </c>
      <c r="N218" s="8"/>
      <c r="O218" s="11" t="str">
        <f aca="false">IF(OR($I218="",$N218=""),"",($I218/1000)*$N218)</f>
        <v/>
      </c>
      <c r="P218" s="12" t="str">
        <f aca="false">IF($C218="","",IFERROR(ROUND(MIN(25,($N218/Instellingen!$B$3)*25)+MIN(25,($I218/Instellingen!$B$4)*25)+MIN(25,($J218/Instellingen!$B$5)*25)+MIN(25,(IF($M218="",0,$M218)/Instellingen!$B$6)*25),0),""))</f>
        <v/>
      </c>
      <c r="Q218" s="13" t="str">
        <f aca="false">IF($P218="","",IF($P218&gt;=Instellingen!$B$7,"Sterke niche",IF($P218&gt;=Instellingen!$B$8,"Belofte - opvolgen",IF($P218&gt;=Instellingen!$B$9,"Zwak - twijfel","Vermijden"))))</f>
        <v/>
      </c>
      <c r="R218" s="5"/>
      <c r="T218" s="1" t="str">
        <f aca="false">IF($C218="","",IF($P218=_xlfn.MAXIFS($P$3:$P$1000,$B$3:$B$1000,$B218),"★ Cash cow – handmatig onderzoeken",""))</f>
        <v/>
      </c>
    </row>
    <row r="219" customFormat="false" ht="14.25" hidden="false" customHeight="true" outlineLevel="0" collapsed="false">
      <c r="A219" s="4"/>
      <c r="B219" s="5"/>
      <c r="C219" s="5"/>
      <c r="D219" s="5"/>
      <c r="E219" s="6"/>
      <c r="F219" s="7"/>
      <c r="G219" s="8"/>
      <c r="H219" s="7"/>
      <c r="I219" s="7"/>
      <c r="J219" s="6"/>
      <c r="K219" s="9" t="str">
        <f aca="false">IF(OR($J219="",$J219=0),"",$I219/$J219)</f>
        <v/>
      </c>
      <c r="L219" s="9" t="str">
        <f aca="false">IF(OR($E219="",$E219=0),"",$H219/$E219)</f>
        <v/>
      </c>
      <c r="M219" s="10" t="str">
        <f aca="false">IF(OR($L219="",$L219=0),"",($I219/30)/$L219)</f>
        <v/>
      </c>
      <c r="N219" s="8"/>
      <c r="O219" s="11" t="str">
        <f aca="false">IF(OR($I219="",$N219=""),"",($I219/1000)*$N219)</f>
        <v/>
      </c>
      <c r="P219" s="12" t="str">
        <f aca="false">IF($C219="","",IFERROR(ROUND(MIN(25,($N219/Instellingen!$B$3)*25)+MIN(25,($I219/Instellingen!$B$4)*25)+MIN(25,($J219/Instellingen!$B$5)*25)+MIN(25,(IF($M219="",0,$M219)/Instellingen!$B$6)*25),0),""))</f>
        <v/>
      </c>
      <c r="Q219" s="13" t="str">
        <f aca="false">IF($P219="","",IF($P219&gt;=Instellingen!$B$7,"Sterke niche",IF($P219&gt;=Instellingen!$B$8,"Belofte - opvolgen",IF($P219&gt;=Instellingen!$B$9,"Zwak - twijfel","Vermijden"))))</f>
        <v/>
      </c>
      <c r="R219" s="5"/>
      <c r="T219" s="1" t="str">
        <f aca="false">IF($C219="","",IF($P219=_xlfn.MAXIFS($P$3:$P$1000,$B$3:$B$1000,$B219),"★ Cash cow – handmatig onderzoeken",""))</f>
        <v/>
      </c>
    </row>
    <row r="220" customFormat="false" ht="14.25" hidden="false" customHeight="true" outlineLevel="0" collapsed="false">
      <c r="A220" s="4"/>
      <c r="B220" s="5"/>
      <c r="C220" s="5"/>
      <c r="D220" s="5"/>
      <c r="E220" s="6"/>
      <c r="F220" s="7"/>
      <c r="G220" s="8"/>
      <c r="H220" s="7"/>
      <c r="I220" s="7"/>
      <c r="J220" s="6"/>
      <c r="K220" s="9" t="str">
        <f aca="false">IF(OR($J220="",$J220=0),"",$I220/$J220)</f>
        <v/>
      </c>
      <c r="L220" s="9" t="str">
        <f aca="false">IF(OR($E220="",$E220=0),"",$H220/$E220)</f>
        <v/>
      </c>
      <c r="M220" s="10" t="str">
        <f aca="false">IF(OR($L220="",$L220=0),"",($I220/30)/$L220)</f>
        <v/>
      </c>
      <c r="N220" s="8"/>
      <c r="O220" s="11" t="str">
        <f aca="false">IF(OR($I220="",$N220=""),"",($I220/1000)*$N220)</f>
        <v/>
      </c>
      <c r="P220" s="12" t="str">
        <f aca="false">IF($C220="","",IFERROR(ROUND(MIN(25,($N220/Instellingen!$B$3)*25)+MIN(25,($I220/Instellingen!$B$4)*25)+MIN(25,($J220/Instellingen!$B$5)*25)+MIN(25,(IF($M220="",0,$M220)/Instellingen!$B$6)*25),0),""))</f>
        <v/>
      </c>
      <c r="Q220" s="13" t="str">
        <f aca="false">IF($P220="","",IF($P220&gt;=Instellingen!$B$7,"Sterke niche",IF($P220&gt;=Instellingen!$B$8,"Belofte - opvolgen",IF($P220&gt;=Instellingen!$B$9,"Zwak - twijfel","Vermijden"))))</f>
        <v/>
      </c>
      <c r="R220" s="5"/>
      <c r="T220" s="1" t="str">
        <f aca="false">IF($C220="","",IF($P220=_xlfn.MAXIFS($P$3:$P$1000,$B$3:$B$1000,$B220),"★ Cash cow – handmatig onderzoeken",""))</f>
        <v/>
      </c>
    </row>
    <row r="221" customFormat="false" ht="14.25" hidden="false" customHeight="true" outlineLevel="0" collapsed="false">
      <c r="A221" s="4"/>
      <c r="B221" s="5"/>
      <c r="C221" s="5"/>
      <c r="D221" s="5"/>
      <c r="E221" s="6"/>
      <c r="F221" s="7"/>
      <c r="G221" s="8"/>
      <c r="H221" s="7"/>
      <c r="I221" s="7"/>
      <c r="J221" s="6"/>
      <c r="K221" s="9" t="str">
        <f aca="false">IF(OR($J221="",$J221=0),"",$I221/$J221)</f>
        <v/>
      </c>
      <c r="L221" s="9" t="str">
        <f aca="false">IF(OR($E221="",$E221=0),"",$H221/$E221)</f>
        <v/>
      </c>
      <c r="M221" s="10" t="str">
        <f aca="false">IF(OR($L221="",$L221=0),"",($I221/30)/$L221)</f>
        <v/>
      </c>
      <c r="N221" s="8"/>
      <c r="O221" s="11" t="str">
        <f aca="false">IF(OR($I221="",$N221=""),"",($I221/1000)*$N221)</f>
        <v/>
      </c>
      <c r="P221" s="12" t="str">
        <f aca="false">IF($C221="","",IFERROR(ROUND(MIN(25,($N221/Instellingen!$B$3)*25)+MIN(25,($I221/Instellingen!$B$4)*25)+MIN(25,($J221/Instellingen!$B$5)*25)+MIN(25,(IF($M221="",0,$M221)/Instellingen!$B$6)*25),0),""))</f>
        <v/>
      </c>
      <c r="Q221" s="13" t="str">
        <f aca="false">IF($P221="","",IF($P221&gt;=Instellingen!$B$7,"Sterke niche",IF($P221&gt;=Instellingen!$B$8,"Belofte - opvolgen",IF($P221&gt;=Instellingen!$B$9,"Zwak - twijfel","Vermijden"))))</f>
        <v/>
      </c>
      <c r="R221" s="5"/>
      <c r="T221" s="1" t="str">
        <f aca="false">IF($C221="","",IF($P221=_xlfn.MAXIFS($P$3:$P$1000,$B$3:$B$1000,$B221),"★ Cash cow – handmatig onderzoeken",""))</f>
        <v/>
      </c>
    </row>
    <row r="222" customFormat="false" ht="14.25" hidden="false" customHeight="true" outlineLevel="0" collapsed="false">
      <c r="A222" s="4"/>
      <c r="B222" s="5"/>
      <c r="C222" s="5"/>
      <c r="D222" s="5"/>
      <c r="E222" s="6"/>
      <c r="F222" s="7"/>
      <c r="G222" s="8"/>
      <c r="H222" s="7"/>
      <c r="I222" s="7"/>
      <c r="J222" s="6"/>
      <c r="K222" s="9" t="str">
        <f aca="false">IF(OR($J222="",$J222=0),"",$I222/$J222)</f>
        <v/>
      </c>
      <c r="L222" s="9" t="str">
        <f aca="false">IF(OR($E222="",$E222=0),"",$H222/$E222)</f>
        <v/>
      </c>
      <c r="M222" s="10" t="str">
        <f aca="false">IF(OR($L222="",$L222=0),"",($I222/30)/$L222)</f>
        <v/>
      </c>
      <c r="N222" s="8"/>
      <c r="O222" s="11" t="str">
        <f aca="false">IF(OR($I222="",$N222=""),"",($I222/1000)*$N222)</f>
        <v/>
      </c>
      <c r="P222" s="12" t="str">
        <f aca="false">IF($C222="","",IFERROR(ROUND(MIN(25,($N222/Instellingen!$B$3)*25)+MIN(25,($I222/Instellingen!$B$4)*25)+MIN(25,($J222/Instellingen!$B$5)*25)+MIN(25,(IF($M222="",0,$M222)/Instellingen!$B$6)*25),0),""))</f>
        <v/>
      </c>
      <c r="Q222" s="13" t="str">
        <f aca="false">IF($P222="","",IF($P222&gt;=Instellingen!$B$7,"Sterke niche",IF($P222&gt;=Instellingen!$B$8,"Belofte - opvolgen",IF($P222&gt;=Instellingen!$B$9,"Zwak - twijfel","Vermijden"))))</f>
        <v/>
      </c>
      <c r="R222" s="5"/>
      <c r="T222" s="1" t="str">
        <f aca="false">IF($C222="","",IF($P222=_xlfn.MAXIFS($P$3:$P$1000,$B$3:$B$1000,$B222),"★ Cash cow – handmatig onderzoeken",""))</f>
        <v/>
      </c>
    </row>
    <row r="223" customFormat="false" ht="14.25" hidden="false" customHeight="true" outlineLevel="0" collapsed="false">
      <c r="A223" s="4"/>
      <c r="B223" s="5"/>
      <c r="C223" s="5"/>
      <c r="D223" s="5"/>
      <c r="E223" s="6"/>
      <c r="F223" s="7"/>
      <c r="G223" s="8"/>
      <c r="H223" s="7"/>
      <c r="I223" s="7"/>
      <c r="J223" s="6"/>
      <c r="K223" s="9" t="str">
        <f aca="false">IF(OR($J223="",$J223=0),"",$I223/$J223)</f>
        <v/>
      </c>
      <c r="L223" s="9" t="str">
        <f aca="false">IF(OR($E223="",$E223=0),"",$H223/$E223)</f>
        <v/>
      </c>
      <c r="M223" s="10" t="str">
        <f aca="false">IF(OR($L223="",$L223=0),"",($I223/30)/$L223)</f>
        <v/>
      </c>
      <c r="N223" s="8"/>
      <c r="O223" s="11" t="str">
        <f aca="false">IF(OR($I223="",$N223=""),"",($I223/1000)*$N223)</f>
        <v/>
      </c>
      <c r="P223" s="12" t="str">
        <f aca="false">IF($C223="","",IFERROR(ROUND(MIN(25,($N223/Instellingen!$B$3)*25)+MIN(25,($I223/Instellingen!$B$4)*25)+MIN(25,($J223/Instellingen!$B$5)*25)+MIN(25,(IF($M223="",0,$M223)/Instellingen!$B$6)*25),0),""))</f>
        <v/>
      </c>
      <c r="Q223" s="13" t="str">
        <f aca="false">IF($P223="","",IF($P223&gt;=Instellingen!$B$7,"Sterke niche",IF($P223&gt;=Instellingen!$B$8,"Belofte - opvolgen",IF($P223&gt;=Instellingen!$B$9,"Zwak - twijfel","Vermijden"))))</f>
        <v/>
      </c>
      <c r="R223" s="5"/>
      <c r="T223" s="1" t="str">
        <f aca="false">IF($C223="","",IF($P223=_xlfn.MAXIFS($P$3:$P$1000,$B$3:$B$1000,$B223),"★ Cash cow – handmatig onderzoeken",""))</f>
        <v/>
      </c>
    </row>
    <row r="224" customFormat="false" ht="14.25" hidden="false" customHeight="true" outlineLevel="0" collapsed="false">
      <c r="A224" s="4"/>
      <c r="B224" s="5"/>
      <c r="C224" s="5"/>
      <c r="D224" s="5"/>
      <c r="E224" s="6"/>
      <c r="F224" s="7"/>
      <c r="G224" s="8"/>
      <c r="H224" s="7"/>
      <c r="I224" s="7"/>
      <c r="J224" s="6"/>
      <c r="K224" s="9" t="str">
        <f aca="false">IF(OR($J224="",$J224=0),"",$I224/$J224)</f>
        <v/>
      </c>
      <c r="L224" s="9" t="str">
        <f aca="false">IF(OR($E224="",$E224=0),"",$H224/$E224)</f>
        <v/>
      </c>
      <c r="M224" s="10" t="str">
        <f aca="false">IF(OR($L224="",$L224=0),"",($I224/30)/$L224)</f>
        <v/>
      </c>
      <c r="N224" s="8"/>
      <c r="O224" s="11" t="str">
        <f aca="false">IF(OR($I224="",$N224=""),"",($I224/1000)*$N224)</f>
        <v/>
      </c>
      <c r="P224" s="12" t="str">
        <f aca="false">IF($C224="","",IFERROR(ROUND(MIN(25,($N224/Instellingen!$B$3)*25)+MIN(25,($I224/Instellingen!$B$4)*25)+MIN(25,($J224/Instellingen!$B$5)*25)+MIN(25,(IF($M224="",0,$M224)/Instellingen!$B$6)*25),0),""))</f>
        <v/>
      </c>
      <c r="Q224" s="13" t="str">
        <f aca="false">IF($P224="","",IF($P224&gt;=Instellingen!$B$7,"Sterke niche",IF($P224&gt;=Instellingen!$B$8,"Belofte - opvolgen",IF($P224&gt;=Instellingen!$B$9,"Zwak - twijfel","Vermijden"))))</f>
        <v/>
      </c>
      <c r="R224" s="5"/>
      <c r="T224" s="1" t="str">
        <f aca="false">IF($C224="","",IF($P224=_xlfn.MAXIFS($P$3:$P$1000,$B$3:$B$1000,$B224),"★ Cash cow – handmatig onderzoeken",""))</f>
        <v/>
      </c>
    </row>
    <row r="225" customFormat="false" ht="14.25" hidden="false" customHeight="true" outlineLevel="0" collapsed="false">
      <c r="A225" s="4"/>
      <c r="B225" s="5"/>
      <c r="C225" s="5"/>
      <c r="D225" s="5"/>
      <c r="E225" s="6"/>
      <c r="F225" s="7"/>
      <c r="G225" s="8"/>
      <c r="H225" s="7"/>
      <c r="I225" s="7"/>
      <c r="J225" s="6"/>
      <c r="K225" s="9" t="str">
        <f aca="false">IF(OR($J225="",$J225=0),"",$I225/$J225)</f>
        <v/>
      </c>
      <c r="L225" s="9" t="str">
        <f aca="false">IF(OR($E225="",$E225=0),"",$H225/$E225)</f>
        <v/>
      </c>
      <c r="M225" s="10" t="str">
        <f aca="false">IF(OR($L225="",$L225=0),"",($I225/30)/$L225)</f>
        <v/>
      </c>
      <c r="N225" s="8"/>
      <c r="O225" s="11" t="str">
        <f aca="false">IF(OR($I225="",$N225=""),"",($I225/1000)*$N225)</f>
        <v/>
      </c>
      <c r="P225" s="12" t="str">
        <f aca="false">IF($C225="","",IFERROR(ROUND(MIN(25,($N225/Instellingen!$B$3)*25)+MIN(25,($I225/Instellingen!$B$4)*25)+MIN(25,($J225/Instellingen!$B$5)*25)+MIN(25,(IF($M225="",0,$M225)/Instellingen!$B$6)*25),0),""))</f>
        <v/>
      </c>
      <c r="Q225" s="13" t="str">
        <f aca="false">IF($P225="","",IF($P225&gt;=Instellingen!$B$7,"Sterke niche",IF($P225&gt;=Instellingen!$B$8,"Belofte - opvolgen",IF($P225&gt;=Instellingen!$B$9,"Zwak - twijfel","Vermijden"))))</f>
        <v/>
      </c>
      <c r="R225" s="5"/>
      <c r="T225" s="1" t="str">
        <f aca="false">IF($C225="","",IF($P225=_xlfn.MAXIFS($P$3:$P$1000,$B$3:$B$1000,$B225),"★ Cash cow – handmatig onderzoeken",""))</f>
        <v/>
      </c>
    </row>
    <row r="226" customFormat="false" ht="14.25" hidden="false" customHeight="true" outlineLevel="0" collapsed="false">
      <c r="A226" s="4"/>
      <c r="B226" s="5"/>
      <c r="C226" s="5"/>
      <c r="D226" s="5"/>
      <c r="E226" s="6"/>
      <c r="F226" s="7"/>
      <c r="G226" s="8"/>
      <c r="H226" s="7"/>
      <c r="I226" s="7"/>
      <c r="J226" s="6"/>
      <c r="K226" s="9" t="str">
        <f aca="false">IF(OR($J226="",$J226=0),"",$I226/$J226)</f>
        <v/>
      </c>
      <c r="L226" s="9" t="str">
        <f aca="false">IF(OR($E226="",$E226=0),"",$H226/$E226)</f>
        <v/>
      </c>
      <c r="M226" s="10" t="str">
        <f aca="false">IF(OR($L226="",$L226=0),"",($I226/30)/$L226)</f>
        <v/>
      </c>
      <c r="N226" s="8"/>
      <c r="O226" s="11" t="str">
        <f aca="false">IF(OR($I226="",$N226=""),"",($I226/1000)*$N226)</f>
        <v/>
      </c>
      <c r="P226" s="12" t="str">
        <f aca="false">IF($C226="","",IFERROR(ROUND(MIN(25,($N226/Instellingen!$B$3)*25)+MIN(25,($I226/Instellingen!$B$4)*25)+MIN(25,($J226/Instellingen!$B$5)*25)+MIN(25,(IF($M226="",0,$M226)/Instellingen!$B$6)*25),0),""))</f>
        <v/>
      </c>
      <c r="Q226" s="13" t="str">
        <f aca="false">IF($P226="","",IF($P226&gt;=Instellingen!$B$7,"Sterke niche",IF($P226&gt;=Instellingen!$B$8,"Belofte - opvolgen",IF($P226&gt;=Instellingen!$B$9,"Zwak - twijfel","Vermijden"))))</f>
        <v/>
      </c>
      <c r="R226" s="5"/>
      <c r="T226" s="1" t="str">
        <f aca="false">IF($C226="","",IF($P226=_xlfn.MAXIFS($P$3:$P$1000,$B$3:$B$1000,$B226),"★ Cash cow – handmatig onderzoeken",""))</f>
        <v/>
      </c>
    </row>
    <row r="227" customFormat="false" ht="14.25" hidden="false" customHeight="true" outlineLevel="0" collapsed="false">
      <c r="A227" s="4"/>
      <c r="B227" s="5"/>
      <c r="C227" s="5"/>
      <c r="D227" s="5"/>
      <c r="E227" s="6"/>
      <c r="F227" s="7"/>
      <c r="G227" s="8"/>
      <c r="H227" s="7"/>
      <c r="I227" s="7"/>
      <c r="J227" s="6"/>
      <c r="K227" s="9" t="str">
        <f aca="false">IF(OR($J227="",$J227=0),"",$I227/$J227)</f>
        <v/>
      </c>
      <c r="L227" s="9" t="str">
        <f aca="false">IF(OR($E227="",$E227=0),"",$H227/$E227)</f>
        <v/>
      </c>
      <c r="M227" s="10" t="str">
        <f aca="false">IF(OR($L227="",$L227=0),"",($I227/30)/$L227)</f>
        <v/>
      </c>
      <c r="N227" s="8"/>
      <c r="O227" s="11" t="str">
        <f aca="false">IF(OR($I227="",$N227=""),"",($I227/1000)*$N227)</f>
        <v/>
      </c>
      <c r="P227" s="12" t="str">
        <f aca="false">IF($C227="","",IFERROR(ROUND(MIN(25,($N227/Instellingen!$B$3)*25)+MIN(25,($I227/Instellingen!$B$4)*25)+MIN(25,($J227/Instellingen!$B$5)*25)+MIN(25,(IF($M227="",0,$M227)/Instellingen!$B$6)*25),0),""))</f>
        <v/>
      </c>
      <c r="Q227" s="13" t="str">
        <f aca="false">IF($P227="","",IF($P227&gt;=Instellingen!$B$7,"Sterke niche",IF($P227&gt;=Instellingen!$B$8,"Belofte - opvolgen",IF($P227&gt;=Instellingen!$B$9,"Zwak - twijfel","Vermijden"))))</f>
        <v/>
      </c>
      <c r="R227" s="5"/>
      <c r="T227" s="1" t="str">
        <f aca="false">IF($C227="","",IF($P227=_xlfn.MAXIFS($P$3:$P$1000,$B$3:$B$1000,$B227),"★ Cash cow – handmatig onderzoeken",""))</f>
        <v/>
      </c>
    </row>
    <row r="228" customFormat="false" ht="14.25" hidden="false" customHeight="true" outlineLevel="0" collapsed="false">
      <c r="A228" s="4"/>
      <c r="B228" s="5"/>
      <c r="C228" s="5"/>
      <c r="D228" s="5"/>
      <c r="E228" s="6"/>
      <c r="F228" s="7"/>
      <c r="G228" s="8"/>
      <c r="H228" s="7"/>
      <c r="I228" s="7"/>
      <c r="J228" s="6"/>
      <c r="K228" s="9" t="str">
        <f aca="false">IF(OR($J228="",$J228=0),"",$I228/$J228)</f>
        <v/>
      </c>
      <c r="L228" s="9" t="str">
        <f aca="false">IF(OR($E228="",$E228=0),"",$H228/$E228)</f>
        <v/>
      </c>
      <c r="M228" s="10" t="str">
        <f aca="false">IF(OR($L228="",$L228=0),"",($I228/30)/$L228)</f>
        <v/>
      </c>
      <c r="N228" s="8"/>
      <c r="O228" s="11" t="str">
        <f aca="false">IF(OR($I228="",$N228=""),"",($I228/1000)*$N228)</f>
        <v/>
      </c>
      <c r="P228" s="12" t="str">
        <f aca="false">IF($C228="","",IFERROR(ROUND(MIN(25,($N228/Instellingen!$B$3)*25)+MIN(25,($I228/Instellingen!$B$4)*25)+MIN(25,($J228/Instellingen!$B$5)*25)+MIN(25,(IF($M228="",0,$M228)/Instellingen!$B$6)*25),0),""))</f>
        <v/>
      </c>
      <c r="Q228" s="13" t="str">
        <f aca="false">IF($P228="","",IF($P228&gt;=Instellingen!$B$7,"Sterke niche",IF($P228&gt;=Instellingen!$B$8,"Belofte - opvolgen",IF($P228&gt;=Instellingen!$B$9,"Zwak - twijfel","Vermijden"))))</f>
        <v/>
      </c>
      <c r="R228" s="5"/>
      <c r="T228" s="1" t="str">
        <f aca="false">IF($C228="","",IF($P228=_xlfn.MAXIFS($P$3:$P$1000,$B$3:$B$1000,$B228),"★ Cash cow – handmatig onderzoeken",""))</f>
        <v/>
      </c>
    </row>
    <row r="229" customFormat="false" ht="14.25" hidden="false" customHeight="true" outlineLevel="0" collapsed="false">
      <c r="A229" s="4"/>
      <c r="B229" s="5"/>
      <c r="C229" s="5"/>
      <c r="D229" s="5"/>
      <c r="E229" s="6"/>
      <c r="F229" s="7"/>
      <c r="G229" s="8"/>
      <c r="H229" s="7"/>
      <c r="I229" s="7"/>
      <c r="J229" s="6"/>
      <c r="K229" s="9" t="str">
        <f aca="false">IF(OR($J229="",$J229=0),"",$I229/$J229)</f>
        <v/>
      </c>
      <c r="L229" s="9" t="str">
        <f aca="false">IF(OR($E229="",$E229=0),"",$H229/$E229)</f>
        <v/>
      </c>
      <c r="M229" s="10" t="str">
        <f aca="false">IF(OR($L229="",$L229=0),"",($I229/30)/$L229)</f>
        <v/>
      </c>
      <c r="N229" s="8"/>
      <c r="O229" s="11" t="str">
        <f aca="false">IF(OR($I229="",$N229=""),"",($I229/1000)*$N229)</f>
        <v/>
      </c>
      <c r="P229" s="12" t="str">
        <f aca="false">IF($C229="","",IFERROR(ROUND(MIN(25,($N229/Instellingen!$B$3)*25)+MIN(25,($I229/Instellingen!$B$4)*25)+MIN(25,($J229/Instellingen!$B$5)*25)+MIN(25,(IF($M229="",0,$M229)/Instellingen!$B$6)*25),0),""))</f>
        <v/>
      </c>
      <c r="Q229" s="13" t="str">
        <f aca="false">IF($P229="","",IF($P229&gt;=Instellingen!$B$7,"Sterke niche",IF($P229&gt;=Instellingen!$B$8,"Belofte - opvolgen",IF($P229&gt;=Instellingen!$B$9,"Zwak - twijfel","Vermijden"))))</f>
        <v/>
      </c>
      <c r="R229" s="5"/>
      <c r="T229" s="1" t="str">
        <f aca="false">IF($C229="","",IF($P229=_xlfn.MAXIFS($P$3:$P$1000,$B$3:$B$1000,$B229),"★ Cash cow – handmatig onderzoeken",""))</f>
        <v/>
      </c>
    </row>
    <row r="230" customFormat="false" ht="14.25" hidden="false" customHeight="true" outlineLevel="0" collapsed="false">
      <c r="A230" s="4"/>
      <c r="B230" s="5"/>
      <c r="C230" s="5"/>
      <c r="D230" s="5"/>
      <c r="E230" s="6"/>
      <c r="F230" s="7"/>
      <c r="G230" s="8"/>
      <c r="H230" s="7"/>
      <c r="I230" s="7"/>
      <c r="J230" s="6"/>
      <c r="K230" s="9" t="str">
        <f aca="false">IF(OR($J230="",$J230=0),"",$I230/$J230)</f>
        <v/>
      </c>
      <c r="L230" s="9" t="str">
        <f aca="false">IF(OR($E230="",$E230=0),"",$H230/$E230)</f>
        <v/>
      </c>
      <c r="M230" s="10" t="str">
        <f aca="false">IF(OR($L230="",$L230=0),"",($I230/30)/$L230)</f>
        <v/>
      </c>
      <c r="N230" s="8"/>
      <c r="O230" s="11" t="str">
        <f aca="false">IF(OR($I230="",$N230=""),"",($I230/1000)*$N230)</f>
        <v/>
      </c>
      <c r="P230" s="12" t="str">
        <f aca="false">IF($C230="","",IFERROR(ROUND(MIN(25,($N230/Instellingen!$B$3)*25)+MIN(25,($I230/Instellingen!$B$4)*25)+MIN(25,($J230/Instellingen!$B$5)*25)+MIN(25,(IF($M230="",0,$M230)/Instellingen!$B$6)*25),0),""))</f>
        <v/>
      </c>
      <c r="Q230" s="13" t="str">
        <f aca="false">IF($P230="","",IF($P230&gt;=Instellingen!$B$7,"Sterke niche",IF($P230&gt;=Instellingen!$B$8,"Belofte - opvolgen",IF($P230&gt;=Instellingen!$B$9,"Zwak - twijfel","Vermijden"))))</f>
        <v/>
      </c>
      <c r="R230" s="5"/>
      <c r="T230" s="1" t="str">
        <f aca="false">IF($C230="","",IF($P230=_xlfn.MAXIFS($P$3:$P$1000,$B$3:$B$1000,$B230),"★ Cash cow – handmatig onderzoeken",""))</f>
        <v/>
      </c>
    </row>
    <row r="231" customFormat="false" ht="14.25" hidden="false" customHeight="true" outlineLevel="0" collapsed="false">
      <c r="A231" s="4"/>
      <c r="B231" s="5"/>
      <c r="C231" s="5"/>
      <c r="D231" s="5"/>
      <c r="E231" s="6"/>
      <c r="F231" s="7"/>
      <c r="G231" s="8"/>
      <c r="H231" s="7"/>
      <c r="I231" s="7"/>
      <c r="J231" s="6"/>
      <c r="K231" s="9" t="str">
        <f aca="false">IF(OR($J231="",$J231=0),"",$I231/$J231)</f>
        <v/>
      </c>
      <c r="L231" s="9" t="str">
        <f aca="false">IF(OR($E231="",$E231=0),"",$H231/$E231)</f>
        <v/>
      </c>
      <c r="M231" s="10" t="str">
        <f aca="false">IF(OR($L231="",$L231=0),"",($I231/30)/$L231)</f>
        <v/>
      </c>
      <c r="N231" s="8"/>
      <c r="O231" s="11" t="str">
        <f aca="false">IF(OR($I231="",$N231=""),"",($I231/1000)*$N231)</f>
        <v/>
      </c>
      <c r="P231" s="12" t="str">
        <f aca="false">IF($C231="","",IFERROR(ROUND(MIN(25,($N231/Instellingen!$B$3)*25)+MIN(25,($I231/Instellingen!$B$4)*25)+MIN(25,($J231/Instellingen!$B$5)*25)+MIN(25,(IF($M231="",0,$M231)/Instellingen!$B$6)*25),0),""))</f>
        <v/>
      </c>
      <c r="Q231" s="13" t="str">
        <f aca="false">IF($P231="","",IF($P231&gt;=Instellingen!$B$7,"Sterke niche",IF($P231&gt;=Instellingen!$B$8,"Belofte - opvolgen",IF($P231&gt;=Instellingen!$B$9,"Zwak - twijfel","Vermijden"))))</f>
        <v/>
      </c>
      <c r="R231" s="5"/>
      <c r="T231" s="1" t="str">
        <f aca="false">IF($C231="","",IF($P231=_xlfn.MAXIFS($P$3:$P$1000,$B$3:$B$1000,$B231),"★ Cash cow – handmatig onderzoeken",""))</f>
        <v/>
      </c>
    </row>
    <row r="232" customFormat="false" ht="14.25" hidden="false" customHeight="true" outlineLevel="0" collapsed="false">
      <c r="A232" s="4"/>
      <c r="B232" s="5"/>
      <c r="C232" s="5"/>
      <c r="D232" s="5"/>
      <c r="E232" s="6"/>
      <c r="F232" s="7"/>
      <c r="G232" s="8"/>
      <c r="H232" s="7"/>
      <c r="I232" s="7"/>
      <c r="J232" s="6"/>
      <c r="K232" s="9" t="str">
        <f aca="false">IF(OR($J232="",$J232=0),"",$I232/$J232)</f>
        <v/>
      </c>
      <c r="L232" s="9" t="str">
        <f aca="false">IF(OR($E232="",$E232=0),"",$H232/$E232)</f>
        <v/>
      </c>
      <c r="M232" s="10" t="str">
        <f aca="false">IF(OR($L232="",$L232=0),"",($I232/30)/$L232)</f>
        <v/>
      </c>
      <c r="N232" s="8"/>
      <c r="O232" s="11" t="str">
        <f aca="false">IF(OR($I232="",$N232=""),"",($I232/1000)*$N232)</f>
        <v/>
      </c>
      <c r="P232" s="12" t="str">
        <f aca="false">IF($C232="","",IFERROR(ROUND(MIN(25,($N232/Instellingen!$B$3)*25)+MIN(25,($I232/Instellingen!$B$4)*25)+MIN(25,($J232/Instellingen!$B$5)*25)+MIN(25,(IF($M232="",0,$M232)/Instellingen!$B$6)*25),0),""))</f>
        <v/>
      </c>
      <c r="Q232" s="13" t="str">
        <f aca="false">IF($P232="","",IF($P232&gt;=Instellingen!$B$7,"Sterke niche",IF($P232&gt;=Instellingen!$B$8,"Belofte - opvolgen",IF($P232&gt;=Instellingen!$B$9,"Zwak - twijfel","Vermijden"))))</f>
        <v/>
      </c>
      <c r="R232" s="5"/>
      <c r="T232" s="1" t="str">
        <f aca="false">IF($C232="","",IF($P232=_xlfn.MAXIFS($P$3:$P$1000,$B$3:$B$1000,$B232),"★ Cash cow – handmatig onderzoeken",""))</f>
        <v/>
      </c>
    </row>
    <row r="233" customFormat="false" ht="14.25" hidden="false" customHeight="true" outlineLevel="0" collapsed="false">
      <c r="A233" s="4"/>
      <c r="B233" s="5"/>
      <c r="C233" s="5"/>
      <c r="D233" s="5"/>
      <c r="E233" s="6"/>
      <c r="F233" s="7"/>
      <c r="G233" s="8"/>
      <c r="H233" s="7"/>
      <c r="I233" s="7"/>
      <c r="J233" s="6"/>
      <c r="K233" s="9" t="str">
        <f aca="false">IF(OR($J233="",$J233=0),"",$I233/$J233)</f>
        <v/>
      </c>
      <c r="L233" s="9" t="str">
        <f aca="false">IF(OR($E233="",$E233=0),"",$H233/$E233)</f>
        <v/>
      </c>
      <c r="M233" s="10" t="str">
        <f aca="false">IF(OR($L233="",$L233=0),"",($I233/30)/$L233)</f>
        <v/>
      </c>
      <c r="N233" s="8"/>
      <c r="O233" s="11" t="str">
        <f aca="false">IF(OR($I233="",$N233=""),"",($I233/1000)*$N233)</f>
        <v/>
      </c>
      <c r="P233" s="12" t="str">
        <f aca="false">IF($C233="","",IFERROR(ROUND(MIN(25,($N233/Instellingen!$B$3)*25)+MIN(25,($I233/Instellingen!$B$4)*25)+MIN(25,($J233/Instellingen!$B$5)*25)+MIN(25,(IF($M233="",0,$M233)/Instellingen!$B$6)*25),0),""))</f>
        <v/>
      </c>
      <c r="Q233" s="13" t="str">
        <f aca="false">IF($P233="","",IF($P233&gt;=Instellingen!$B$7,"Sterke niche",IF($P233&gt;=Instellingen!$B$8,"Belofte - opvolgen",IF($P233&gt;=Instellingen!$B$9,"Zwak - twijfel","Vermijden"))))</f>
        <v/>
      </c>
      <c r="R233" s="5"/>
      <c r="T233" s="1" t="str">
        <f aca="false">IF($C233="","",IF($P233=_xlfn.MAXIFS($P$3:$P$1000,$B$3:$B$1000,$B233),"★ Cash cow – handmatig onderzoeken",""))</f>
        <v/>
      </c>
    </row>
    <row r="234" customFormat="false" ht="14.25" hidden="false" customHeight="true" outlineLevel="0" collapsed="false">
      <c r="A234" s="4"/>
      <c r="B234" s="5"/>
      <c r="C234" s="5"/>
      <c r="D234" s="5"/>
      <c r="E234" s="6"/>
      <c r="F234" s="7"/>
      <c r="G234" s="8"/>
      <c r="H234" s="7"/>
      <c r="I234" s="7"/>
      <c r="J234" s="6"/>
      <c r="K234" s="9" t="str">
        <f aca="false">IF(OR($J234="",$J234=0),"",$I234/$J234)</f>
        <v/>
      </c>
      <c r="L234" s="9" t="str">
        <f aca="false">IF(OR($E234="",$E234=0),"",$H234/$E234)</f>
        <v/>
      </c>
      <c r="M234" s="10" t="str">
        <f aca="false">IF(OR($L234="",$L234=0),"",($I234/30)/$L234)</f>
        <v/>
      </c>
      <c r="N234" s="8"/>
      <c r="O234" s="11" t="str">
        <f aca="false">IF(OR($I234="",$N234=""),"",($I234/1000)*$N234)</f>
        <v/>
      </c>
      <c r="P234" s="12" t="str">
        <f aca="false">IF($C234="","",IFERROR(ROUND(MIN(25,($N234/Instellingen!$B$3)*25)+MIN(25,($I234/Instellingen!$B$4)*25)+MIN(25,($J234/Instellingen!$B$5)*25)+MIN(25,(IF($M234="",0,$M234)/Instellingen!$B$6)*25),0),""))</f>
        <v/>
      </c>
      <c r="Q234" s="13" t="str">
        <f aca="false">IF($P234="","",IF($P234&gt;=Instellingen!$B$7,"Sterke niche",IF($P234&gt;=Instellingen!$B$8,"Belofte - opvolgen",IF($P234&gt;=Instellingen!$B$9,"Zwak - twijfel","Vermijden"))))</f>
        <v/>
      </c>
      <c r="R234" s="5"/>
      <c r="T234" s="1" t="str">
        <f aca="false">IF($C234="","",IF($P234=_xlfn.MAXIFS($P$3:$P$1000,$B$3:$B$1000,$B234),"★ Cash cow – handmatig onderzoeken",""))</f>
        <v/>
      </c>
    </row>
    <row r="235" customFormat="false" ht="14.25" hidden="false" customHeight="true" outlineLevel="0" collapsed="false">
      <c r="A235" s="4"/>
      <c r="B235" s="5"/>
      <c r="C235" s="5"/>
      <c r="D235" s="5"/>
      <c r="E235" s="6"/>
      <c r="F235" s="7"/>
      <c r="G235" s="8"/>
      <c r="H235" s="7"/>
      <c r="I235" s="7"/>
      <c r="J235" s="6"/>
      <c r="K235" s="9" t="str">
        <f aca="false">IF(OR($J235="",$J235=0),"",$I235/$J235)</f>
        <v/>
      </c>
      <c r="L235" s="9" t="str">
        <f aca="false">IF(OR($E235="",$E235=0),"",$H235/$E235)</f>
        <v/>
      </c>
      <c r="M235" s="10" t="str">
        <f aca="false">IF(OR($L235="",$L235=0),"",($I235/30)/$L235)</f>
        <v/>
      </c>
      <c r="N235" s="8"/>
      <c r="O235" s="11" t="str">
        <f aca="false">IF(OR($I235="",$N235=""),"",($I235/1000)*$N235)</f>
        <v/>
      </c>
      <c r="P235" s="12" t="str">
        <f aca="false">IF($C235="","",IFERROR(ROUND(MIN(25,($N235/Instellingen!$B$3)*25)+MIN(25,($I235/Instellingen!$B$4)*25)+MIN(25,($J235/Instellingen!$B$5)*25)+MIN(25,(IF($M235="",0,$M235)/Instellingen!$B$6)*25),0),""))</f>
        <v/>
      </c>
      <c r="Q235" s="13" t="str">
        <f aca="false">IF($P235="","",IF($P235&gt;=Instellingen!$B$7,"Sterke niche",IF($P235&gt;=Instellingen!$B$8,"Belofte - opvolgen",IF($P235&gt;=Instellingen!$B$9,"Zwak - twijfel","Vermijden"))))</f>
        <v/>
      </c>
      <c r="R235" s="5"/>
      <c r="T235" s="1" t="str">
        <f aca="false">IF($C235="","",IF($P235=_xlfn.MAXIFS($P$3:$P$1000,$B$3:$B$1000,$B235),"★ Cash cow – handmatig onderzoeken",""))</f>
        <v/>
      </c>
    </row>
    <row r="236" customFormat="false" ht="14.25" hidden="false" customHeight="true" outlineLevel="0" collapsed="false">
      <c r="A236" s="4"/>
      <c r="B236" s="5"/>
      <c r="C236" s="5"/>
      <c r="D236" s="5"/>
      <c r="E236" s="6"/>
      <c r="F236" s="7"/>
      <c r="G236" s="8"/>
      <c r="H236" s="7"/>
      <c r="I236" s="7"/>
      <c r="J236" s="6"/>
      <c r="K236" s="9" t="str">
        <f aca="false">IF(OR($J236="",$J236=0),"",$I236/$J236)</f>
        <v/>
      </c>
      <c r="L236" s="9" t="str">
        <f aca="false">IF(OR($E236="",$E236=0),"",$H236/$E236)</f>
        <v/>
      </c>
      <c r="M236" s="10" t="str">
        <f aca="false">IF(OR($L236="",$L236=0),"",($I236/30)/$L236)</f>
        <v/>
      </c>
      <c r="N236" s="8"/>
      <c r="O236" s="11" t="str">
        <f aca="false">IF(OR($I236="",$N236=""),"",($I236/1000)*$N236)</f>
        <v/>
      </c>
      <c r="P236" s="12" t="str">
        <f aca="false">IF($C236="","",IFERROR(ROUND(MIN(25,($N236/Instellingen!$B$3)*25)+MIN(25,($I236/Instellingen!$B$4)*25)+MIN(25,($J236/Instellingen!$B$5)*25)+MIN(25,(IF($M236="",0,$M236)/Instellingen!$B$6)*25),0),""))</f>
        <v/>
      </c>
      <c r="Q236" s="13" t="str">
        <f aca="false">IF($P236="","",IF($P236&gt;=Instellingen!$B$7,"Sterke niche",IF($P236&gt;=Instellingen!$B$8,"Belofte - opvolgen",IF($P236&gt;=Instellingen!$B$9,"Zwak - twijfel","Vermijden"))))</f>
        <v/>
      </c>
      <c r="R236" s="5"/>
      <c r="T236" s="1" t="str">
        <f aca="false">IF($C236="","",IF($P236=_xlfn.MAXIFS($P$3:$P$1000,$B$3:$B$1000,$B236),"★ Cash cow – handmatig onderzoeken",""))</f>
        <v/>
      </c>
    </row>
    <row r="237" customFormat="false" ht="14.25" hidden="false" customHeight="true" outlineLevel="0" collapsed="false">
      <c r="A237" s="4"/>
      <c r="B237" s="5"/>
      <c r="C237" s="5"/>
      <c r="D237" s="5"/>
      <c r="E237" s="6"/>
      <c r="F237" s="7"/>
      <c r="G237" s="8"/>
      <c r="H237" s="7"/>
      <c r="I237" s="7"/>
      <c r="J237" s="6"/>
      <c r="K237" s="9" t="str">
        <f aca="false">IF(OR($J237="",$J237=0),"",$I237/$J237)</f>
        <v/>
      </c>
      <c r="L237" s="9" t="str">
        <f aca="false">IF(OR($E237="",$E237=0),"",$H237/$E237)</f>
        <v/>
      </c>
      <c r="M237" s="10" t="str">
        <f aca="false">IF(OR($L237="",$L237=0),"",($I237/30)/$L237)</f>
        <v/>
      </c>
      <c r="N237" s="8"/>
      <c r="O237" s="11" t="str">
        <f aca="false">IF(OR($I237="",$N237=""),"",($I237/1000)*$N237)</f>
        <v/>
      </c>
      <c r="P237" s="12" t="str">
        <f aca="false">IF($C237="","",IFERROR(ROUND(MIN(25,($N237/Instellingen!$B$3)*25)+MIN(25,($I237/Instellingen!$B$4)*25)+MIN(25,($J237/Instellingen!$B$5)*25)+MIN(25,(IF($M237="",0,$M237)/Instellingen!$B$6)*25),0),""))</f>
        <v/>
      </c>
      <c r="Q237" s="13" t="str">
        <f aca="false">IF($P237="","",IF($P237&gt;=Instellingen!$B$7,"Sterke niche",IF($P237&gt;=Instellingen!$B$8,"Belofte - opvolgen",IF($P237&gt;=Instellingen!$B$9,"Zwak - twijfel","Vermijden"))))</f>
        <v/>
      </c>
      <c r="R237" s="5"/>
      <c r="T237" s="1" t="str">
        <f aca="false">IF($C237="","",IF($P237=_xlfn.MAXIFS($P$3:$P$1000,$B$3:$B$1000,$B237),"★ Cash cow – handmatig onderzoeken",""))</f>
        <v/>
      </c>
    </row>
    <row r="238" customFormat="false" ht="14.25" hidden="false" customHeight="true" outlineLevel="0" collapsed="false">
      <c r="A238" s="4"/>
      <c r="B238" s="5"/>
      <c r="C238" s="5"/>
      <c r="D238" s="5"/>
      <c r="E238" s="6"/>
      <c r="F238" s="7"/>
      <c r="G238" s="8"/>
      <c r="H238" s="7"/>
      <c r="I238" s="7"/>
      <c r="J238" s="6"/>
      <c r="K238" s="9" t="str">
        <f aca="false">IF(OR($J238="",$J238=0),"",$I238/$J238)</f>
        <v/>
      </c>
      <c r="L238" s="9" t="str">
        <f aca="false">IF(OR($E238="",$E238=0),"",$H238/$E238)</f>
        <v/>
      </c>
      <c r="M238" s="10" t="str">
        <f aca="false">IF(OR($L238="",$L238=0),"",($I238/30)/$L238)</f>
        <v/>
      </c>
      <c r="N238" s="8"/>
      <c r="O238" s="11" t="str">
        <f aca="false">IF(OR($I238="",$N238=""),"",($I238/1000)*$N238)</f>
        <v/>
      </c>
      <c r="P238" s="12" t="str">
        <f aca="false">IF($C238="","",IFERROR(ROUND(MIN(25,($N238/Instellingen!$B$3)*25)+MIN(25,($I238/Instellingen!$B$4)*25)+MIN(25,($J238/Instellingen!$B$5)*25)+MIN(25,(IF($M238="",0,$M238)/Instellingen!$B$6)*25),0),""))</f>
        <v/>
      </c>
      <c r="Q238" s="13" t="str">
        <f aca="false">IF($P238="","",IF($P238&gt;=Instellingen!$B$7,"Sterke niche",IF($P238&gt;=Instellingen!$B$8,"Belofte - opvolgen",IF($P238&gt;=Instellingen!$B$9,"Zwak - twijfel","Vermijden"))))</f>
        <v/>
      </c>
      <c r="R238" s="5"/>
      <c r="T238" s="1" t="str">
        <f aca="false">IF($C238="","",IF($P238=_xlfn.MAXIFS($P$3:$P$1000,$B$3:$B$1000,$B238),"★ Cash cow – handmatig onderzoeken",""))</f>
        <v/>
      </c>
    </row>
    <row r="239" customFormat="false" ht="14.25" hidden="false" customHeight="true" outlineLevel="0" collapsed="false">
      <c r="A239" s="4"/>
      <c r="B239" s="5"/>
      <c r="C239" s="5"/>
      <c r="D239" s="5"/>
      <c r="E239" s="6"/>
      <c r="F239" s="7"/>
      <c r="G239" s="8"/>
      <c r="H239" s="7"/>
      <c r="I239" s="7"/>
      <c r="J239" s="6"/>
      <c r="K239" s="9" t="str">
        <f aca="false">IF(OR($J239="",$J239=0),"",$I239/$J239)</f>
        <v/>
      </c>
      <c r="L239" s="9" t="str">
        <f aca="false">IF(OR($E239="",$E239=0),"",$H239/$E239)</f>
        <v/>
      </c>
      <c r="M239" s="10" t="str">
        <f aca="false">IF(OR($L239="",$L239=0),"",($I239/30)/$L239)</f>
        <v/>
      </c>
      <c r="N239" s="8"/>
      <c r="O239" s="11" t="str">
        <f aca="false">IF(OR($I239="",$N239=""),"",($I239/1000)*$N239)</f>
        <v/>
      </c>
      <c r="P239" s="12" t="str">
        <f aca="false">IF($C239="","",IFERROR(ROUND(MIN(25,($N239/Instellingen!$B$3)*25)+MIN(25,($I239/Instellingen!$B$4)*25)+MIN(25,($J239/Instellingen!$B$5)*25)+MIN(25,(IF($M239="",0,$M239)/Instellingen!$B$6)*25),0),""))</f>
        <v/>
      </c>
      <c r="Q239" s="13" t="str">
        <f aca="false">IF($P239="","",IF($P239&gt;=Instellingen!$B$7,"Sterke niche",IF($P239&gt;=Instellingen!$B$8,"Belofte - opvolgen",IF($P239&gt;=Instellingen!$B$9,"Zwak - twijfel","Vermijden"))))</f>
        <v/>
      </c>
      <c r="R239" s="5"/>
      <c r="T239" s="1" t="str">
        <f aca="false">IF($C239="","",IF($P239=_xlfn.MAXIFS($P$3:$P$1000,$B$3:$B$1000,$B239),"★ Cash cow – handmatig onderzoeken",""))</f>
        <v/>
      </c>
    </row>
    <row r="240" customFormat="false" ht="14.25" hidden="false" customHeight="true" outlineLevel="0" collapsed="false">
      <c r="A240" s="4"/>
      <c r="B240" s="5"/>
      <c r="C240" s="5"/>
      <c r="D240" s="5"/>
      <c r="E240" s="6"/>
      <c r="F240" s="7"/>
      <c r="G240" s="8"/>
      <c r="H240" s="7"/>
      <c r="I240" s="7"/>
      <c r="J240" s="6"/>
      <c r="K240" s="9" t="str">
        <f aca="false">IF(OR($J240="",$J240=0),"",$I240/$J240)</f>
        <v/>
      </c>
      <c r="L240" s="9" t="str">
        <f aca="false">IF(OR($E240="",$E240=0),"",$H240/$E240)</f>
        <v/>
      </c>
      <c r="M240" s="10" t="str">
        <f aca="false">IF(OR($L240="",$L240=0),"",($I240/30)/$L240)</f>
        <v/>
      </c>
      <c r="N240" s="8"/>
      <c r="O240" s="11" t="str">
        <f aca="false">IF(OR($I240="",$N240=""),"",($I240/1000)*$N240)</f>
        <v/>
      </c>
      <c r="P240" s="12" t="str">
        <f aca="false">IF($C240="","",IFERROR(ROUND(MIN(25,($N240/Instellingen!$B$3)*25)+MIN(25,($I240/Instellingen!$B$4)*25)+MIN(25,($J240/Instellingen!$B$5)*25)+MIN(25,(IF($M240="",0,$M240)/Instellingen!$B$6)*25),0),""))</f>
        <v/>
      </c>
      <c r="Q240" s="13" t="str">
        <f aca="false">IF($P240="","",IF($P240&gt;=Instellingen!$B$7,"Sterke niche",IF($P240&gt;=Instellingen!$B$8,"Belofte - opvolgen",IF($P240&gt;=Instellingen!$B$9,"Zwak - twijfel","Vermijden"))))</f>
        <v/>
      </c>
      <c r="R240" s="5"/>
      <c r="T240" s="1" t="str">
        <f aca="false">IF($C240="","",IF($P240=_xlfn.MAXIFS($P$3:$P$1000,$B$3:$B$1000,$B240),"★ Cash cow – handmatig onderzoeken",""))</f>
        <v/>
      </c>
    </row>
    <row r="241" customFormat="false" ht="14.25" hidden="false" customHeight="true" outlineLevel="0" collapsed="false">
      <c r="A241" s="4"/>
      <c r="B241" s="5"/>
      <c r="C241" s="5"/>
      <c r="D241" s="5"/>
      <c r="E241" s="6"/>
      <c r="F241" s="7"/>
      <c r="G241" s="8"/>
      <c r="H241" s="7"/>
      <c r="I241" s="7"/>
      <c r="J241" s="6"/>
      <c r="K241" s="9" t="str">
        <f aca="false">IF(OR($J241="",$J241=0),"",$I241/$J241)</f>
        <v/>
      </c>
      <c r="L241" s="9" t="str">
        <f aca="false">IF(OR($E241="",$E241=0),"",$H241/$E241)</f>
        <v/>
      </c>
      <c r="M241" s="10" t="str">
        <f aca="false">IF(OR($L241="",$L241=0),"",($I241/30)/$L241)</f>
        <v/>
      </c>
      <c r="N241" s="8"/>
      <c r="O241" s="11" t="str">
        <f aca="false">IF(OR($I241="",$N241=""),"",($I241/1000)*$N241)</f>
        <v/>
      </c>
      <c r="P241" s="12" t="str">
        <f aca="false">IF($C241="","",IFERROR(ROUND(MIN(25,($N241/Instellingen!$B$3)*25)+MIN(25,($I241/Instellingen!$B$4)*25)+MIN(25,($J241/Instellingen!$B$5)*25)+MIN(25,(IF($M241="",0,$M241)/Instellingen!$B$6)*25),0),""))</f>
        <v/>
      </c>
      <c r="Q241" s="13" t="str">
        <f aca="false">IF($P241="","",IF($P241&gt;=Instellingen!$B$7,"Sterke niche",IF($P241&gt;=Instellingen!$B$8,"Belofte - opvolgen",IF($P241&gt;=Instellingen!$B$9,"Zwak - twijfel","Vermijden"))))</f>
        <v/>
      </c>
      <c r="R241" s="5"/>
      <c r="T241" s="1" t="str">
        <f aca="false">IF($C241="","",IF($P241=_xlfn.MAXIFS($P$3:$P$1000,$B$3:$B$1000,$B241),"★ Cash cow – handmatig onderzoeken",""))</f>
        <v/>
      </c>
    </row>
    <row r="242" customFormat="false" ht="14.25" hidden="false" customHeight="true" outlineLevel="0" collapsed="false">
      <c r="A242" s="4"/>
      <c r="B242" s="5"/>
      <c r="C242" s="5"/>
      <c r="D242" s="5"/>
      <c r="E242" s="6"/>
      <c r="F242" s="7"/>
      <c r="G242" s="8"/>
      <c r="H242" s="7"/>
      <c r="I242" s="7"/>
      <c r="J242" s="6"/>
      <c r="K242" s="9" t="str">
        <f aca="false">IF(OR($J242="",$J242=0),"",$I242/$J242)</f>
        <v/>
      </c>
      <c r="L242" s="9" t="str">
        <f aca="false">IF(OR($E242="",$E242=0),"",$H242/$E242)</f>
        <v/>
      </c>
      <c r="M242" s="10" t="str">
        <f aca="false">IF(OR($L242="",$L242=0),"",($I242/30)/$L242)</f>
        <v/>
      </c>
      <c r="N242" s="8"/>
      <c r="O242" s="11" t="str">
        <f aca="false">IF(OR($I242="",$N242=""),"",($I242/1000)*$N242)</f>
        <v/>
      </c>
      <c r="P242" s="12" t="str">
        <f aca="false">IF($C242="","",IFERROR(ROUND(MIN(25,($N242/Instellingen!$B$3)*25)+MIN(25,($I242/Instellingen!$B$4)*25)+MIN(25,($J242/Instellingen!$B$5)*25)+MIN(25,(IF($M242="",0,$M242)/Instellingen!$B$6)*25),0),""))</f>
        <v/>
      </c>
      <c r="Q242" s="13" t="str">
        <f aca="false">IF($P242="","",IF($P242&gt;=Instellingen!$B$7,"Sterke niche",IF($P242&gt;=Instellingen!$B$8,"Belofte - opvolgen",IF($P242&gt;=Instellingen!$B$9,"Zwak - twijfel","Vermijden"))))</f>
        <v/>
      </c>
      <c r="R242" s="5"/>
      <c r="T242" s="1" t="str">
        <f aca="false">IF($C242="","",IF($P242=_xlfn.MAXIFS($P$3:$P$1000,$B$3:$B$1000,$B242),"★ Cash cow – handmatig onderzoeken",""))</f>
        <v/>
      </c>
    </row>
    <row r="243" customFormat="false" ht="14.25" hidden="false" customHeight="true" outlineLevel="0" collapsed="false">
      <c r="A243" s="4"/>
      <c r="B243" s="5"/>
      <c r="C243" s="5"/>
      <c r="D243" s="5"/>
      <c r="E243" s="6"/>
      <c r="F243" s="7"/>
      <c r="G243" s="8"/>
      <c r="H243" s="7"/>
      <c r="I243" s="7"/>
      <c r="J243" s="6"/>
      <c r="K243" s="9" t="str">
        <f aca="false">IF(OR($J243="",$J243=0),"",$I243/$J243)</f>
        <v/>
      </c>
      <c r="L243" s="9" t="str">
        <f aca="false">IF(OR($E243="",$E243=0),"",$H243/$E243)</f>
        <v/>
      </c>
      <c r="M243" s="10" t="str">
        <f aca="false">IF(OR($L243="",$L243=0),"",($I243/30)/$L243)</f>
        <v/>
      </c>
      <c r="N243" s="8"/>
      <c r="O243" s="11" t="str">
        <f aca="false">IF(OR($I243="",$N243=""),"",($I243/1000)*$N243)</f>
        <v/>
      </c>
      <c r="P243" s="12" t="str">
        <f aca="false">IF($C243="","",IFERROR(ROUND(MIN(25,($N243/Instellingen!$B$3)*25)+MIN(25,($I243/Instellingen!$B$4)*25)+MIN(25,($J243/Instellingen!$B$5)*25)+MIN(25,(IF($M243="",0,$M243)/Instellingen!$B$6)*25),0),""))</f>
        <v/>
      </c>
      <c r="Q243" s="13" t="str">
        <f aca="false">IF($P243="","",IF($P243&gt;=Instellingen!$B$7,"Sterke niche",IF($P243&gt;=Instellingen!$B$8,"Belofte - opvolgen",IF($P243&gt;=Instellingen!$B$9,"Zwak - twijfel","Vermijden"))))</f>
        <v/>
      </c>
      <c r="R243" s="5"/>
      <c r="T243" s="1" t="str">
        <f aca="false">IF($C243="","",IF($P243=_xlfn.MAXIFS($P$3:$P$1000,$B$3:$B$1000,$B243),"★ Cash cow – handmatig onderzoeken",""))</f>
        <v/>
      </c>
    </row>
    <row r="244" customFormat="false" ht="14.25" hidden="false" customHeight="true" outlineLevel="0" collapsed="false">
      <c r="A244" s="4"/>
      <c r="B244" s="5"/>
      <c r="C244" s="5"/>
      <c r="D244" s="5"/>
      <c r="E244" s="6"/>
      <c r="F244" s="7"/>
      <c r="G244" s="8"/>
      <c r="H244" s="7"/>
      <c r="I244" s="7"/>
      <c r="J244" s="6"/>
      <c r="K244" s="9" t="str">
        <f aca="false">IF(OR($J244="",$J244=0),"",$I244/$J244)</f>
        <v/>
      </c>
      <c r="L244" s="9" t="str">
        <f aca="false">IF(OR($E244="",$E244=0),"",$H244/$E244)</f>
        <v/>
      </c>
      <c r="M244" s="10" t="str">
        <f aca="false">IF(OR($L244="",$L244=0),"",($I244/30)/$L244)</f>
        <v/>
      </c>
      <c r="N244" s="8"/>
      <c r="O244" s="11" t="str">
        <f aca="false">IF(OR($I244="",$N244=""),"",($I244/1000)*$N244)</f>
        <v/>
      </c>
      <c r="P244" s="12" t="str">
        <f aca="false">IF($C244="","",IFERROR(ROUND(MIN(25,($N244/Instellingen!$B$3)*25)+MIN(25,($I244/Instellingen!$B$4)*25)+MIN(25,($J244/Instellingen!$B$5)*25)+MIN(25,(IF($M244="",0,$M244)/Instellingen!$B$6)*25),0),""))</f>
        <v/>
      </c>
      <c r="Q244" s="13" t="str">
        <f aca="false">IF($P244="","",IF($P244&gt;=Instellingen!$B$7,"Sterke niche",IF($P244&gt;=Instellingen!$B$8,"Belofte - opvolgen",IF($P244&gt;=Instellingen!$B$9,"Zwak - twijfel","Vermijden"))))</f>
        <v/>
      </c>
      <c r="R244" s="5"/>
      <c r="T244" s="1" t="str">
        <f aca="false">IF($C244="","",IF($P244=_xlfn.MAXIFS($P$3:$P$1000,$B$3:$B$1000,$B244),"★ Cash cow – handmatig onderzoeken",""))</f>
        <v/>
      </c>
    </row>
    <row r="245" customFormat="false" ht="14.25" hidden="false" customHeight="true" outlineLevel="0" collapsed="false">
      <c r="A245" s="4"/>
      <c r="B245" s="5"/>
      <c r="C245" s="5"/>
      <c r="D245" s="5"/>
      <c r="E245" s="6"/>
      <c r="F245" s="7"/>
      <c r="G245" s="8"/>
      <c r="H245" s="7"/>
      <c r="I245" s="7"/>
      <c r="J245" s="6"/>
      <c r="K245" s="9" t="str">
        <f aca="false">IF(OR($J245="",$J245=0),"",$I245/$J245)</f>
        <v/>
      </c>
      <c r="L245" s="9" t="str">
        <f aca="false">IF(OR($E245="",$E245=0),"",$H245/$E245)</f>
        <v/>
      </c>
      <c r="M245" s="10" t="str">
        <f aca="false">IF(OR($L245="",$L245=0),"",($I245/30)/$L245)</f>
        <v/>
      </c>
      <c r="N245" s="8"/>
      <c r="O245" s="11" t="str">
        <f aca="false">IF(OR($I245="",$N245=""),"",($I245/1000)*$N245)</f>
        <v/>
      </c>
      <c r="P245" s="12" t="str">
        <f aca="false">IF($C245="","",IFERROR(ROUND(MIN(25,($N245/Instellingen!$B$3)*25)+MIN(25,($I245/Instellingen!$B$4)*25)+MIN(25,($J245/Instellingen!$B$5)*25)+MIN(25,(IF($M245="",0,$M245)/Instellingen!$B$6)*25),0),""))</f>
        <v/>
      </c>
      <c r="Q245" s="13" t="str">
        <f aca="false">IF($P245="","",IF($P245&gt;=Instellingen!$B$7,"Sterke niche",IF($P245&gt;=Instellingen!$B$8,"Belofte - opvolgen",IF($P245&gt;=Instellingen!$B$9,"Zwak - twijfel","Vermijden"))))</f>
        <v/>
      </c>
      <c r="R245" s="5"/>
      <c r="T245" s="1" t="str">
        <f aca="false">IF($C245="","",IF($P245=_xlfn.MAXIFS($P$3:$P$1000,$B$3:$B$1000,$B245),"★ Cash cow – handmatig onderzoeken",""))</f>
        <v/>
      </c>
    </row>
    <row r="246" customFormat="false" ht="14.25" hidden="false" customHeight="true" outlineLevel="0" collapsed="false">
      <c r="A246" s="4"/>
      <c r="B246" s="5"/>
      <c r="C246" s="5"/>
      <c r="D246" s="5"/>
      <c r="E246" s="6"/>
      <c r="F246" s="7"/>
      <c r="G246" s="8"/>
      <c r="H246" s="7"/>
      <c r="I246" s="7"/>
      <c r="J246" s="6"/>
      <c r="K246" s="9" t="str">
        <f aca="false">IF(OR($J246="",$J246=0),"",$I246/$J246)</f>
        <v/>
      </c>
      <c r="L246" s="9" t="str">
        <f aca="false">IF(OR($E246="",$E246=0),"",$H246/$E246)</f>
        <v/>
      </c>
      <c r="M246" s="10" t="str">
        <f aca="false">IF(OR($L246="",$L246=0),"",($I246/30)/$L246)</f>
        <v/>
      </c>
      <c r="N246" s="8"/>
      <c r="O246" s="11" t="str">
        <f aca="false">IF(OR($I246="",$N246=""),"",($I246/1000)*$N246)</f>
        <v/>
      </c>
      <c r="P246" s="12" t="str">
        <f aca="false">IF($C246="","",IFERROR(ROUND(MIN(25,($N246/Instellingen!$B$3)*25)+MIN(25,($I246/Instellingen!$B$4)*25)+MIN(25,($J246/Instellingen!$B$5)*25)+MIN(25,(IF($M246="",0,$M246)/Instellingen!$B$6)*25),0),""))</f>
        <v/>
      </c>
      <c r="Q246" s="13" t="str">
        <f aca="false">IF($P246="","",IF($P246&gt;=Instellingen!$B$7,"Sterke niche",IF($P246&gt;=Instellingen!$B$8,"Belofte - opvolgen",IF($P246&gt;=Instellingen!$B$9,"Zwak - twijfel","Vermijden"))))</f>
        <v/>
      </c>
      <c r="R246" s="5"/>
      <c r="T246" s="1" t="str">
        <f aca="false">IF($C246="","",IF($P246=_xlfn.MAXIFS($P$3:$P$1000,$B$3:$B$1000,$B246),"★ Cash cow – handmatig onderzoeken",""))</f>
        <v/>
      </c>
    </row>
    <row r="247" customFormat="false" ht="14.25" hidden="false" customHeight="true" outlineLevel="0" collapsed="false">
      <c r="A247" s="4"/>
      <c r="B247" s="5"/>
      <c r="C247" s="5"/>
      <c r="D247" s="5"/>
      <c r="E247" s="6"/>
      <c r="F247" s="7"/>
      <c r="G247" s="8"/>
      <c r="H247" s="7"/>
      <c r="I247" s="7"/>
      <c r="J247" s="6"/>
      <c r="K247" s="9" t="str">
        <f aca="false">IF(OR($J247="",$J247=0),"",$I247/$J247)</f>
        <v/>
      </c>
      <c r="L247" s="9" t="str">
        <f aca="false">IF(OR($E247="",$E247=0),"",$H247/$E247)</f>
        <v/>
      </c>
      <c r="M247" s="10" t="str">
        <f aca="false">IF(OR($L247="",$L247=0),"",($I247/30)/$L247)</f>
        <v/>
      </c>
      <c r="N247" s="8"/>
      <c r="O247" s="11" t="str">
        <f aca="false">IF(OR($I247="",$N247=""),"",($I247/1000)*$N247)</f>
        <v/>
      </c>
      <c r="P247" s="12" t="str">
        <f aca="false">IF($C247="","",IFERROR(ROUND(MIN(25,($N247/Instellingen!$B$3)*25)+MIN(25,($I247/Instellingen!$B$4)*25)+MIN(25,($J247/Instellingen!$B$5)*25)+MIN(25,(IF($M247="",0,$M247)/Instellingen!$B$6)*25),0),""))</f>
        <v/>
      </c>
      <c r="Q247" s="13" t="str">
        <f aca="false">IF($P247="","",IF($P247&gt;=Instellingen!$B$7,"Sterke niche",IF($P247&gt;=Instellingen!$B$8,"Belofte - opvolgen",IF($P247&gt;=Instellingen!$B$9,"Zwak - twijfel","Vermijden"))))</f>
        <v/>
      </c>
      <c r="R247" s="5"/>
      <c r="T247" s="1" t="str">
        <f aca="false">IF($C247="","",IF($P247=_xlfn.MAXIFS($P$3:$P$1000,$B$3:$B$1000,$B247),"★ Cash cow – handmatig onderzoeken",""))</f>
        <v/>
      </c>
    </row>
    <row r="248" customFormat="false" ht="14.25" hidden="false" customHeight="true" outlineLevel="0" collapsed="false">
      <c r="A248" s="4"/>
      <c r="B248" s="5"/>
      <c r="C248" s="5"/>
      <c r="D248" s="5"/>
      <c r="E248" s="6"/>
      <c r="F248" s="7"/>
      <c r="G248" s="8"/>
      <c r="H248" s="7"/>
      <c r="I248" s="7"/>
      <c r="J248" s="6"/>
      <c r="K248" s="9" t="str">
        <f aca="false">IF(OR($J248="",$J248=0),"",$I248/$J248)</f>
        <v/>
      </c>
      <c r="L248" s="9" t="str">
        <f aca="false">IF(OR($E248="",$E248=0),"",$H248/$E248)</f>
        <v/>
      </c>
      <c r="M248" s="10" t="str">
        <f aca="false">IF(OR($L248="",$L248=0),"",($I248/30)/$L248)</f>
        <v/>
      </c>
      <c r="N248" s="8"/>
      <c r="O248" s="11" t="str">
        <f aca="false">IF(OR($I248="",$N248=""),"",($I248/1000)*$N248)</f>
        <v/>
      </c>
      <c r="P248" s="12" t="str">
        <f aca="false">IF($C248="","",IFERROR(ROUND(MIN(25,($N248/Instellingen!$B$3)*25)+MIN(25,($I248/Instellingen!$B$4)*25)+MIN(25,($J248/Instellingen!$B$5)*25)+MIN(25,(IF($M248="",0,$M248)/Instellingen!$B$6)*25),0),""))</f>
        <v/>
      </c>
      <c r="Q248" s="13" t="str">
        <f aca="false">IF($P248="","",IF($P248&gt;=Instellingen!$B$7,"Sterke niche",IF($P248&gt;=Instellingen!$B$8,"Belofte - opvolgen",IF($P248&gt;=Instellingen!$B$9,"Zwak - twijfel","Vermijden"))))</f>
        <v/>
      </c>
      <c r="R248" s="5"/>
      <c r="T248" s="1" t="str">
        <f aca="false">IF($C248="","",IF($P248=_xlfn.MAXIFS($P$3:$P$1000,$B$3:$B$1000,$B248),"★ Cash cow – handmatig onderzoeken",""))</f>
        <v/>
      </c>
    </row>
    <row r="249" customFormat="false" ht="14.25" hidden="false" customHeight="true" outlineLevel="0" collapsed="false">
      <c r="A249" s="4"/>
      <c r="B249" s="5"/>
      <c r="C249" s="5"/>
      <c r="D249" s="5"/>
      <c r="E249" s="6"/>
      <c r="F249" s="7"/>
      <c r="G249" s="8"/>
      <c r="H249" s="7"/>
      <c r="I249" s="7"/>
      <c r="J249" s="6"/>
      <c r="K249" s="9" t="str">
        <f aca="false">IF(OR($J249="",$J249=0),"",$I249/$J249)</f>
        <v/>
      </c>
      <c r="L249" s="9" t="str">
        <f aca="false">IF(OR($E249="",$E249=0),"",$H249/$E249)</f>
        <v/>
      </c>
      <c r="M249" s="10" t="str">
        <f aca="false">IF(OR($L249="",$L249=0),"",($I249/30)/$L249)</f>
        <v/>
      </c>
      <c r="N249" s="8"/>
      <c r="O249" s="11" t="str">
        <f aca="false">IF(OR($I249="",$N249=""),"",($I249/1000)*$N249)</f>
        <v/>
      </c>
      <c r="P249" s="12" t="str">
        <f aca="false">IF($C249="","",IFERROR(ROUND(MIN(25,($N249/Instellingen!$B$3)*25)+MIN(25,($I249/Instellingen!$B$4)*25)+MIN(25,($J249/Instellingen!$B$5)*25)+MIN(25,(IF($M249="",0,$M249)/Instellingen!$B$6)*25),0),""))</f>
        <v/>
      </c>
      <c r="Q249" s="13" t="str">
        <f aca="false">IF($P249="","",IF($P249&gt;=Instellingen!$B$7,"Sterke niche",IF($P249&gt;=Instellingen!$B$8,"Belofte - opvolgen",IF($P249&gt;=Instellingen!$B$9,"Zwak - twijfel","Vermijden"))))</f>
        <v/>
      </c>
      <c r="R249" s="5"/>
      <c r="T249" s="1" t="str">
        <f aca="false">IF($C249="","",IF($P249=_xlfn.MAXIFS($P$3:$P$1000,$B$3:$B$1000,$B249),"★ Cash cow – handmatig onderzoeken",""))</f>
        <v/>
      </c>
    </row>
    <row r="250" customFormat="false" ht="14.25" hidden="false" customHeight="true" outlineLevel="0" collapsed="false">
      <c r="A250" s="4"/>
      <c r="B250" s="5"/>
      <c r="C250" s="5"/>
      <c r="D250" s="5"/>
      <c r="E250" s="6"/>
      <c r="F250" s="7"/>
      <c r="G250" s="8"/>
      <c r="H250" s="7"/>
      <c r="I250" s="7"/>
      <c r="J250" s="6"/>
      <c r="K250" s="9" t="str">
        <f aca="false">IF(OR($J250="",$J250=0),"",$I250/$J250)</f>
        <v/>
      </c>
      <c r="L250" s="9" t="str">
        <f aca="false">IF(OR($E250="",$E250=0),"",$H250/$E250)</f>
        <v/>
      </c>
      <c r="M250" s="10" t="str">
        <f aca="false">IF(OR($L250="",$L250=0),"",($I250/30)/$L250)</f>
        <v/>
      </c>
      <c r="N250" s="8"/>
      <c r="O250" s="11" t="str">
        <f aca="false">IF(OR($I250="",$N250=""),"",($I250/1000)*$N250)</f>
        <v/>
      </c>
      <c r="P250" s="12" t="str">
        <f aca="false">IF($C250="","",IFERROR(ROUND(MIN(25,($N250/Instellingen!$B$3)*25)+MIN(25,($I250/Instellingen!$B$4)*25)+MIN(25,($J250/Instellingen!$B$5)*25)+MIN(25,(IF($M250="",0,$M250)/Instellingen!$B$6)*25),0),""))</f>
        <v/>
      </c>
      <c r="Q250" s="13" t="str">
        <f aca="false">IF($P250="","",IF($P250&gt;=Instellingen!$B$7,"Sterke niche",IF($P250&gt;=Instellingen!$B$8,"Belofte - opvolgen",IF($P250&gt;=Instellingen!$B$9,"Zwak - twijfel","Vermijden"))))</f>
        <v/>
      </c>
      <c r="R250" s="5"/>
      <c r="T250" s="1" t="str">
        <f aca="false">IF($C250="","",IF($P250=_xlfn.MAXIFS($P$3:$P$1000,$B$3:$B$1000,$B250),"★ Cash cow – handmatig onderzoeken",""))</f>
        <v/>
      </c>
    </row>
    <row r="251" customFormat="false" ht="14.25" hidden="false" customHeight="true" outlineLevel="0" collapsed="false">
      <c r="A251" s="4"/>
      <c r="B251" s="5"/>
      <c r="C251" s="5"/>
      <c r="D251" s="5"/>
      <c r="E251" s="6"/>
      <c r="F251" s="7"/>
      <c r="G251" s="8"/>
      <c r="H251" s="7"/>
      <c r="I251" s="7"/>
      <c r="J251" s="6"/>
      <c r="K251" s="9" t="str">
        <f aca="false">IF(OR($J251="",$J251=0),"",$I251/$J251)</f>
        <v/>
      </c>
      <c r="L251" s="9" t="str">
        <f aca="false">IF(OR($E251="",$E251=0),"",$H251/$E251)</f>
        <v/>
      </c>
      <c r="M251" s="10" t="str">
        <f aca="false">IF(OR($L251="",$L251=0),"",($I251/30)/$L251)</f>
        <v/>
      </c>
      <c r="N251" s="8"/>
      <c r="O251" s="11" t="str">
        <f aca="false">IF(OR($I251="",$N251=""),"",($I251/1000)*$N251)</f>
        <v/>
      </c>
      <c r="P251" s="12" t="str">
        <f aca="false">IF($C251="","",IFERROR(ROUND(MIN(25,($N251/Instellingen!$B$3)*25)+MIN(25,($I251/Instellingen!$B$4)*25)+MIN(25,($J251/Instellingen!$B$5)*25)+MIN(25,(IF($M251="",0,$M251)/Instellingen!$B$6)*25),0),""))</f>
        <v/>
      </c>
      <c r="Q251" s="13" t="str">
        <f aca="false">IF($P251="","",IF($P251&gt;=Instellingen!$B$7,"Sterke niche",IF($P251&gt;=Instellingen!$B$8,"Belofte - opvolgen",IF($P251&gt;=Instellingen!$B$9,"Zwak - twijfel","Vermijden"))))</f>
        <v/>
      </c>
      <c r="R251" s="5"/>
      <c r="T251" s="1" t="str">
        <f aca="false">IF($C251="","",IF($P251=_xlfn.MAXIFS($P$3:$P$1000,$B$3:$B$1000,$B251),"★ Cash cow – handmatig onderzoeken",""))</f>
        <v/>
      </c>
    </row>
    <row r="252" customFormat="false" ht="14.25" hidden="false" customHeight="true" outlineLevel="0" collapsed="false">
      <c r="A252" s="4"/>
      <c r="B252" s="5"/>
      <c r="C252" s="5"/>
      <c r="D252" s="5"/>
      <c r="E252" s="6"/>
      <c r="F252" s="7"/>
      <c r="G252" s="8"/>
      <c r="H252" s="7"/>
      <c r="I252" s="7"/>
      <c r="J252" s="6"/>
      <c r="K252" s="9" t="str">
        <f aca="false">IF(OR($J252="",$J252=0),"",$I252/$J252)</f>
        <v/>
      </c>
      <c r="L252" s="9" t="str">
        <f aca="false">IF(OR($E252="",$E252=0),"",$H252/$E252)</f>
        <v/>
      </c>
      <c r="M252" s="10" t="str">
        <f aca="false">IF(OR($L252="",$L252=0),"",($I252/30)/$L252)</f>
        <v/>
      </c>
      <c r="N252" s="8"/>
      <c r="O252" s="11" t="str">
        <f aca="false">IF(OR($I252="",$N252=""),"",($I252/1000)*$N252)</f>
        <v/>
      </c>
      <c r="P252" s="12" t="str">
        <f aca="false">IF($C252="","",IFERROR(ROUND(MIN(25,($N252/Instellingen!$B$3)*25)+MIN(25,($I252/Instellingen!$B$4)*25)+MIN(25,($J252/Instellingen!$B$5)*25)+MIN(25,(IF($M252="",0,$M252)/Instellingen!$B$6)*25),0),""))</f>
        <v/>
      </c>
      <c r="Q252" s="13" t="str">
        <f aca="false">IF($P252="","",IF($P252&gt;=Instellingen!$B$7,"Sterke niche",IF($P252&gt;=Instellingen!$B$8,"Belofte - opvolgen",IF($P252&gt;=Instellingen!$B$9,"Zwak - twijfel","Vermijden"))))</f>
        <v/>
      </c>
      <c r="R252" s="5"/>
      <c r="T252" s="1" t="str">
        <f aca="false">IF($C252="","",IF($P252=_xlfn.MAXIFS($P$3:$P$1000,$B$3:$B$1000,$B252),"★ Cash cow – handmatig onderzoeken",""))</f>
        <v/>
      </c>
    </row>
    <row r="253" customFormat="false" ht="14.25" hidden="false" customHeight="true" outlineLevel="0" collapsed="false">
      <c r="A253" s="4"/>
      <c r="B253" s="5"/>
      <c r="C253" s="5"/>
      <c r="D253" s="5"/>
      <c r="E253" s="6"/>
      <c r="F253" s="7"/>
      <c r="G253" s="8"/>
      <c r="H253" s="7"/>
      <c r="I253" s="7"/>
      <c r="J253" s="6"/>
      <c r="K253" s="9" t="str">
        <f aca="false">IF(OR($J253="",$J253=0),"",$I253/$J253)</f>
        <v/>
      </c>
      <c r="L253" s="9" t="str">
        <f aca="false">IF(OR($E253="",$E253=0),"",$H253/$E253)</f>
        <v/>
      </c>
      <c r="M253" s="10" t="str">
        <f aca="false">IF(OR($L253="",$L253=0),"",($I253/30)/$L253)</f>
        <v/>
      </c>
      <c r="N253" s="8"/>
      <c r="O253" s="11" t="str">
        <f aca="false">IF(OR($I253="",$N253=""),"",($I253/1000)*$N253)</f>
        <v/>
      </c>
      <c r="P253" s="12" t="str">
        <f aca="false">IF($C253="","",IFERROR(ROUND(MIN(25,($N253/Instellingen!$B$3)*25)+MIN(25,($I253/Instellingen!$B$4)*25)+MIN(25,($J253/Instellingen!$B$5)*25)+MIN(25,(IF($M253="",0,$M253)/Instellingen!$B$6)*25),0),""))</f>
        <v/>
      </c>
      <c r="Q253" s="13" t="str">
        <f aca="false">IF($P253="","",IF($P253&gt;=Instellingen!$B$7,"Sterke niche",IF($P253&gt;=Instellingen!$B$8,"Belofte - opvolgen",IF($P253&gt;=Instellingen!$B$9,"Zwak - twijfel","Vermijden"))))</f>
        <v/>
      </c>
      <c r="R253" s="5"/>
      <c r="T253" s="1" t="str">
        <f aca="false">IF($C253="","",IF($P253=_xlfn.MAXIFS($P$3:$P$1000,$B$3:$B$1000,$B253),"★ Cash cow – handmatig onderzoeken",""))</f>
        <v/>
      </c>
    </row>
    <row r="254" customFormat="false" ht="14.25" hidden="false" customHeight="true" outlineLevel="0" collapsed="false">
      <c r="A254" s="4"/>
      <c r="B254" s="5"/>
      <c r="C254" s="5"/>
      <c r="D254" s="5"/>
      <c r="E254" s="6"/>
      <c r="F254" s="7"/>
      <c r="G254" s="8"/>
      <c r="H254" s="7"/>
      <c r="I254" s="7"/>
      <c r="J254" s="6"/>
      <c r="K254" s="9" t="str">
        <f aca="false">IF(OR($J254="",$J254=0),"",$I254/$J254)</f>
        <v/>
      </c>
      <c r="L254" s="9" t="str">
        <f aca="false">IF(OR($E254="",$E254=0),"",$H254/$E254)</f>
        <v/>
      </c>
      <c r="M254" s="10" t="str">
        <f aca="false">IF(OR($L254="",$L254=0),"",($I254/30)/$L254)</f>
        <v/>
      </c>
      <c r="N254" s="8"/>
      <c r="O254" s="11" t="str">
        <f aca="false">IF(OR($I254="",$N254=""),"",($I254/1000)*$N254)</f>
        <v/>
      </c>
      <c r="P254" s="12" t="str">
        <f aca="false">IF($C254="","",IFERROR(ROUND(MIN(25,($N254/Instellingen!$B$3)*25)+MIN(25,($I254/Instellingen!$B$4)*25)+MIN(25,($J254/Instellingen!$B$5)*25)+MIN(25,(IF($M254="",0,$M254)/Instellingen!$B$6)*25),0),""))</f>
        <v/>
      </c>
      <c r="Q254" s="13" t="str">
        <f aca="false">IF($P254="","",IF($P254&gt;=Instellingen!$B$7,"Sterke niche",IF($P254&gt;=Instellingen!$B$8,"Belofte - opvolgen",IF($P254&gt;=Instellingen!$B$9,"Zwak - twijfel","Vermijden"))))</f>
        <v/>
      </c>
      <c r="R254" s="5"/>
      <c r="T254" s="1" t="str">
        <f aca="false">IF($C254="","",IF($P254=_xlfn.MAXIFS($P$3:$P$1000,$B$3:$B$1000,$B254),"★ Cash cow – handmatig onderzoeken",""))</f>
        <v/>
      </c>
    </row>
    <row r="255" customFormat="false" ht="14.25" hidden="false" customHeight="true" outlineLevel="0" collapsed="false">
      <c r="A255" s="4"/>
      <c r="B255" s="5"/>
      <c r="C255" s="5"/>
      <c r="D255" s="5"/>
      <c r="E255" s="6"/>
      <c r="F255" s="7"/>
      <c r="G255" s="8"/>
      <c r="H255" s="7"/>
      <c r="I255" s="7"/>
      <c r="J255" s="6"/>
      <c r="K255" s="9" t="str">
        <f aca="false">IF(OR($J255="",$J255=0),"",$I255/$J255)</f>
        <v/>
      </c>
      <c r="L255" s="9" t="str">
        <f aca="false">IF(OR($E255="",$E255=0),"",$H255/$E255)</f>
        <v/>
      </c>
      <c r="M255" s="10" t="str">
        <f aca="false">IF(OR($L255="",$L255=0),"",($I255/30)/$L255)</f>
        <v/>
      </c>
      <c r="N255" s="8"/>
      <c r="O255" s="11" t="str">
        <f aca="false">IF(OR($I255="",$N255=""),"",($I255/1000)*$N255)</f>
        <v/>
      </c>
      <c r="P255" s="12" t="str">
        <f aca="false">IF($C255="","",IFERROR(ROUND(MIN(25,($N255/Instellingen!$B$3)*25)+MIN(25,($I255/Instellingen!$B$4)*25)+MIN(25,($J255/Instellingen!$B$5)*25)+MIN(25,(IF($M255="",0,$M255)/Instellingen!$B$6)*25),0),""))</f>
        <v/>
      </c>
      <c r="Q255" s="13" t="str">
        <f aca="false">IF($P255="","",IF($P255&gt;=Instellingen!$B$7,"Sterke niche",IF($P255&gt;=Instellingen!$B$8,"Belofte - opvolgen",IF($P255&gt;=Instellingen!$B$9,"Zwak - twijfel","Vermijden"))))</f>
        <v/>
      </c>
      <c r="R255" s="5"/>
      <c r="T255" s="1" t="str">
        <f aca="false">IF($C255="","",IF($P255=_xlfn.MAXIFS($P$3:$P$1000,$B$3:$B$1000,$B255),"★ Cash cow – handmatig onderzoeken",""))</f>
        <v/>
      </c>
    </row>
    <row r="256" customFormat="false" ht="14.25" hidden="false" customHeight="true" outlineLevel="0" collapsed="false">
      <c r="A256" s="4"/>
      <c r="B256" s="5"/>
      <c r="C256" s="5"/>
      <c r="D256" s="5"/>
      <c r="E256" s="6"/>
      <c r="F256" s="7"/>
      <c r="G256" s="8"/>
      <c r="H256" s="7"/>
      <c r="I256" s="7"/>
      <c r="J256" s="6"/>
      <c r="K256" s="9" t="str">
        <f aca="false">IF(OR($J256="",$J256=0),"",$I256/$J256)</f>
        <v/>
      </c>
      <c r="L256" s="9" t="str">
        <f aca="false">IF(OR($E256="",$E256=0),"",$H256/$E256)</f>
        <v/>
      </c>
      <c r="M256" s="10" t="str">
        <f aca="false">IF(OR($L256="",$L256=0),"",($I256/30)/$L256)</f>
        <v/>
      </c>
      <c r="N256" s="8"/>
      <c r="O256" s="11" t="str">
        <f aca="false">IF(OR($I256="",$N256=""),"",($I256/1000)*$N256)</f>
        <v/>
      </c>
      <c r="P256" s="12" t="str">
        <f aca="false">IF($C256="","",IFERROR(ROUND(MIN(25,($N256/Instellingen!$B$3)*25)+MIN(25,($I256/Instellingen!$B$4)*25)+MIN(25,($J256/Instellingen!$B$5)*25)+MIN(25,(IF($M256="",0,$M256)/Instellingen!$B$6)*25),0),""))</f>
        <v/>
      </c>
      <c r="Q256" s="13" t="str">
        <f aca="false">IF($P256="","",IF($P256&gt;=Instellingen!$B$7,"Sterke niche",IF($P256&gt;=Instellingen!$B$8,"Belofte - opvolgen",IF($P256&gt;=Instellingen!$B$9,"Zwak - twijfel","Vermijden"))))</f>
        <v/>
      </c>
      <c r="R256" s="5"/>
      <c r="T256" s="1" t="str">
        <f aca="false">IF($C256="","",IF($P256=_xlfn.MAXIFS($P$3:$P$1000,$B$3:$B$1000,$B256),"★ Cash cow – handmatig onderzoeken",""))</f>
        <v/>
      </c>
    </row>
    <row r="257" customFormat="false" ht="14.25" hidden="false" customHeight="true" outlineLevel="0" collapsed="false">
      <c r="A257" s="4"/>
      <c r="B257" s="5"/>
      <c r="C257" s="5"/>
      <c r="D257" s="5"/>
      <c r="E257" s="6"/>
      <c r="F257" s="7"/>
      <c r="G257" s="8"/>
      <c r="H257" s="7"/>
      <c r="I257" s="7"/>
      <c r="J257" s="6"/>
      <c r="K257" s="9" t="str">
        <f aca="false">IF(OR($J257="",$J257=0),"",$I257/$J257)</f>
        <v/>
      </c>
      <c r="L257" s="9" t="str">
        <f aca="false">IF(OR($E257="",$E257=0),"",$H257/$E257)</f>
        <v/>
      </c>
      <c r="M257" s="10" t="str">
        <f aca="false">IF(OR($L257="",$L257=0),"",($I257/30)/$L257)</f>
        <v/>
      </c>
      <c r="N257" s="8"/>
      <c r="O257" s="11" t="str">
        <f aca="false">IF(OR($I257="",$N257=""),"",($I257/1000)*$N257)</f>
        <v/>
      </c>
      <c r="P257" s="12" t="str">
        <f aca="false">IF($C257="","",IFERROR(ROUND(MIN(25,($N257/Instellingen!$B$3)*25)+MIN(25,($I257/Instellingen!$B$4)*25)+MIN(25,($J257/Instellingen!$B$5)*25)+MIN(25,(IF($M257="",0,$M257)/Instellingen!$B$6)*25),0),""))</f>
        <v/>
      </c>
      <c r="Q257" s="13" t="str">
        <f aca="false">IF($P257="","",IF($P257&gt;=Instellingen!$B$7,"Sterke niche",IF($P257&gt;=Instellingen!$B$8,"Belofte - opvolgen",IF($P257&gt;=Instellingen!$B$9,"Zwak - twijfel","Vermijden"))))</f>
        <v/>
      </c>
      <c r="R257" s="5"/>
      <c r="T257" s="1" t="str">
        <f aca="false">IF($C257="","",IF($P257=_xlfn.MAXIFS($P$3:$P$1000,$B$3:$B$1000,$B257),"★ Cash cow – handmatig onderzoeken",""))</f>
        <v/>
      </c>
    </row>
    <row r="258" customFormat="false" ht="14.25" hidden="false" customHeight="true" outlineLevel="0" collapsed="false">
      <c r="A258" s="4"/>
      <c r="B258" s="5"/>
      <c r="C258" s="5"/>
      <c r="D258" s="5"/>
      <c r="E258" s="6"/>
      <c r="F258" s="7"/>
      <c r="G258" s="8"/>
      <c r="H258" s="7"/>
      <c r="I258" s="7"/>
      <c r="J258" s="6"/>
      <c r="K258" s="9" t="str">
        <f aca="false">IF(OR($J258="",$J258=0),"",$I258/$J258)</f>
        <v/>
      </c>
      <c r="L258" s="9" t="str">
        <f aca="false">IF(OR($E258="",$E258=0),"",$H258/$E258)</f>
        <v/>
      </c>
      <c r="M258" s="10" t="str">
        <f aca="false">IF(OR($L258="",$L258=0),"",($I258/30)/$L258)</f>
        <v/>
      </c>
      <c r="N258" s="8"/>
      <c r="O258" s="11" t="str">
        <f aca="false">IF(OR($I258="",$N258=""),"",($I258/1000)*$N258)</f>
        <v/>
      </c>
      <c r="P258" s="12" t="str">
        <f aca="false">IF($C258="","",IFERROR(ROUND(MIN(25,($N258/Instellingen!$B$3)*25)+MIN(25,($I258/Instellingen!$B$4)*25)+MIN(25,($J258/Instellingen!$B$5)*25)+MIN(25,(IF($M258="",0,$M258)/Instellingen!$B$6)*25),0),""))</f>
        <v/>
      </c>
      <c r="Q258" s="13" t="str">
        <f aca="false">IF($P258="","",IF($P258&gt;=Instellingen!$B$7,"Sterke niche",IF($P258&gt;=Instellingen!$B$8,"Belofte - opvolgen",IF($P258&gt;=Instellingen!$B$9,"Zwak - twijfel","Vermijden"))))</f>
        <v/>
      </c>
      <c r="R258" s="5"/>
      <c r="T258" s="1" t="str">
        <f aca="false">IF($C258="","",IF($P258=_xlfn.MAXIFS($P$3:$P$1000,$B$3:$B$1000,$B258),"★ Cash cow – handmatig onderzoeken",""))</f>
        <v/>
      </c>
    </row>
    <row r="259" customFormat="false" ht="14.25" hidden="false" customHeight="true" outlineLevel="0" collapsed="false">
      <c r="A259" s="4"/>
      <c r="B259" s="5"/>
      <c r="C259" s="5"/>
      <c r="D259" s="5"/>
      <c r="E259" s="6"/>
      <c r="F259" s="7"/>
      <c r="G259" s="8"/>
      <c r="H259" s="7"/>
      <c r="I259" s="7"/>
      <c r="J259" s="6"/>
      <c r="K259" s="9" t="str">
        <f aca="false">IF(OR($J259="",$J259=0),"",$I259/$J259)</f>
        <v/>
      </c>
      <c r="L259" s="9" t="str">
        <f aca="false">IF(OR($E259="",$E259=0),"",$H259/$E259)</f>
        <v/>
      </c>
      <c r="M259" s="10" t="str">
        <f aca="false">IF(OR($L259="",$L259=0),"",($I259/30)/$L259)</f>
        <v/>
      </c>
      <c r="N259" s="8"/>
      <c r="O259" s="11" t="str">
        <f aca="false">IF(OR($I259="",$N259=""),"",($I259/1000)*$N259)</f>
        <v/>
      </c>
      <c r="P259" s="12" t="str">
        <f aca="false">IF($C259="","",IFERROR(ROUND(MIN(25,($N259/Instellingen!$B$3)*25)+MIN(25,($I259/Instellingen!$B$4)*25)+MIN(25,($J259/Instellingen!$B$5)*25)+MIN(25,(IF($M259="",0,$M259)/Instellingen!$B$6)*25),0),""))</f>
        <v/>
      </c>
      <c r="Q259" s="13" t="str">
        <f aca="false">IF($P259="","",IF($P259&gt;=Instellingen!$B$7,"Sterke niche",IF($P259&gt;=Instellingen!$B$8,"Belofte - opvolgen",IF($P259&gt;=Instellingen!$B$9,"Zwak - twijfel","Vermijden"))))</f>
        <v/>
      </c>
      <c r="R259" s="5"/>
      <c r="T259" s="1" t="str">
        <f aca="false">IF($C259="","",IF($P259=_xlfn.MAXIFS($P$3:$P$1000,$B$3:$B$1000,$B259),"★ Cash cow – handmatig onderzoeken",""))</f>
        <v/>
      </c>
    </row>
    <row r="260" customFormat="false" ht="14.25" hidden="false" customHeight="true" outlineLevel="0" collapsed="false">
      <c r="A260" s="4"/>
      <c r="B260" s="5"/>
      <c r="C260" s="5"/>
      <c r="D260" s="5"/>
      <c r="E260" s="6"/>
      <c r="F260" s="7"/>
      <c r="G260" s="8"/>
      <c r="H260" s="7"/>
      <c r="I260" s="7"/>
      <c r="J260" s="6"/>
      <c r="K260" s="9" t="str">
        <f aca="false">IF(OR($J260="",$J260=0),"",$I260/$J260)</f>
        <v/>
      </c>
      <c r="L260" s="9" t="str">
        <f aca="false">IF(OR($E260="",$E260=0),"",$H260/$E260)</f>
        <v/>
      </c>
      <c r="M260" s="10" t="str">
        <f aca="false">IF(OR($L260="",$L260=0),"",($I260/30)/$L260)</f>
        <v/>
      </c>
      <c r="N260" s="8"/>
      <c r="O260" s="11" t="str">
        <f aca="false">IF(OR($I260="",$N260=""),"",($I260/1000)*$N260)</f>
        <v/>
      </c>
      <c r="P260" s="12" t="str">
        <f aca="false">IF($C260="","",IFERROR(ROUND(MIN(25,($N260/Instellingen!$B$3)*25)+MIN(25,($I260/Instellingen!$B$4)*25)+MIN(25,($J260/Instellingen!$B$5)*25)+MIN(25,(IF($M260="",0,$M260)/Instellingen!$B$6)*25),0),""))</f>
        <v/>
      </c>
      <c r="Q260" s="13" t="str">
        <f aca="false">IF($P260="","",IF($P260&gt;=Instellingen!$B$7,"Sterke niche",IF($P260&gt;=Instellingen!$B$8,"Belofte - opvolgen",IF($P260&gt;=Instellingen!$B$9,"Zwak - twijfel","Vermijden"))))</f>
        <v/>
      </c>
      <c r="R260" s="5"/>
      <c r="T260" s="1" t="str">
        <f aca="false">IF($C260="","",IF($P260=_xlfn.MAXIFS($P$3:$P$1000,$B$3:$B$1000,$B260),"★ Cash cow – handmatig onderzoeken",""))</f>
        <v/>
      </c>
    </row>
    <row r="261" customFormat="false" ht="14.25" hidden="false" customHeight="true" outlineLevel="0" collapsed="false">
      <c r="A261" s="4"/>
      <c r="B261" s="5"/>
      <c r="C261" s="5"/>
      <c r="D261" s="5"/>
      <c r="E261" s="6"/>
      <c r="F261" s="7"/>
      <c r="G261" s="8"/>
      <c r="H261" s="7"/>
      <c r="I261" s="7"/>
      <c r="J261" s="6"/>
      <c r="K261" s="9" t="str">
        <f aca="false">IF(OR($J261="",$J261=0),"",$I261/$J261)</f>
        <v/>
      </c>
      <c r="L261" s="9" t="str">
        <f aca="false">IF(OR($E261="",$E261=0),"",$H261/$E261)</f>
        <v/>
      </c>
      <c r="M261" s="10" t="str">
        <f aca="false">IF(OR($L261="",$L261=0),"",($I261/30)/$L261)</f>
        <v/>
      </c>
      <c r="N261" s="8"/>
      <c r="O261" s="11" t="str">
        <f aca="false">IF(OR($I261="",$N261=""),"",($I261/1000)*$N261)</f>
        <v/>
      </c>
      <c r="P261" s="12" t="str">
        <f aca="false">IF($C261="","",IFERROR(ROUND(MIN(25,($N261/Instellingen!$B$3)*25)+MIN(25,($I261/Instellingen!$B$4)*25)+MIN(25,($J261/Instellingen!$B$5)*25)+MIN(25,(IF($M261="",0,$M261)/Instellingen!$B$6)*25),0),""))</f>
        <v/>
      </c>
      <c r="Q261" s="13" t="str">
        <f aca="false">IF($P261="","",IF($P261&gt;=Instellingen!$B$7,"Sterke niche",IF($P261&gt;=Instellingen!$B$8,"Belofte - opvolgen",IF($P261&gt;=Instellingen!$B$9,"Zwak - twijfel","Vermijden"))))</f>
        <v/>
      </c>
      <c r="R261" s="5"/>
      <c r="T261" s="1" t="str">
        <f aca="false">IF($C261="","",IF($P261=_xlfn.MAXIFS($P$3:$P$1000,$B$3:$B$1000,$B261),"★ Cash cow – handmatig onderzoeken",""))</f>
        <v/>
      </c>
    </row>
    <row r="262" customFormat="false" ht="14.25" hidden="false" customHeight="true" outlineLevel="0" collapsed="false">
      <c r="A262" s="4"/>
      <c r="B262" s="5"/>
      <c r="C262" s="5"/>
      <c r="D262" s="5"/>
      <c r="E262" s="6"/>
      <c r="F262" s="7"/>
      <c r="G262" s="8"/>
      <c r="H262" s="7"/>
      <c r="I262" s="7"/>
      <c r="J262" s="6"/>
      <c r="K262" s="9" t="str">
        <f aca="false">IF(OR($J262="",$J262=0),"",$I262/$J262)</f>
        <v/>
      </c>
      <c r="L262" s="9" t="str">
        <f aca="false">IF(OR($E262="",$E262=0),"",$H262/$E262)</f>
        <v/>
      </c>
      <c r="M262" s="10" t="str">
        <f aca="false">IF(OR($L262="",$L262=0),"",($I262/30)/$L262)</f>
        <v/>
      </c>
      <c r="N262" s="8"/>
      <c r="O262" s="11" t="str">
        <f aca="false">IF(OR($I262="",$N262=""),"",($I262/1000)*$N262)</f>
        <v/>
      </c>
      <c r="P262" s="12" t="str">
        <f aca="false">IF($C262="","",IFERROR(ROUND(MIN(25,($N262/Instellingen!$B$3)*25)+MIN(25,($I262/Instellingen!$B$4)*25)+MIN(25,($J262/Instellingen!$B$5)*25)+MIN(25,(IF($M262="",0,$M262)/Instellingen!$B$6)*25),0),""))</f>
        <v/>
      </c>
      <c r="Q262" s="13" t="str">
        <f aca="false">IF($P262="","",IF($P262&gt;=Instellingen!$B$7,"Sterke niche",IF($P262&gt;=Instellingen!$B$8,"Belofte - opvolgen",IF($P262&gt;=Instellingen!$B$9,"Zwak - twijfel","Vermijden"))))</f>
        <v/>
      </c>
      <c r="R262" s="5"/>
      <c r="T262" s="1" t="str">
        <f aca="false">IF($C262="","",IF($P262=_xlfn.MAXIFS($P$3:$P$1000,$B$3:$B$1000,$B262),"★ Cash cow – handmatig onderzoeken",""))</f>
        <v/>
      </c>
    </row>
    <row r="263" customFormat="false" ht="14.25" hidden="false" customHeight="true" outlineLevel="0" collapsed="false">
      <c r="A263" s="4"/>
      <c r="B263" s="5"/>
      <c r="C263" s="5"/>
      <c r="D263" s="5"/>
      <c r="E263" s="6"/>
      <c r="F263" s="7"/>
      <c r="G263" s="8"/>
      <c r="H263" s="7"/>
      <c r="I263" s="7"/>
      <c r="J263" s="6"/>
      <c r="K263" s="9" t="str">
        <f aca="false">IF(OR($J263="",$J263=0),"",$I263/$J263)</f>
        <v/>
      </c>
      <c r="L263" s="9" t="str">
        <f aca="false">IF(OR($E263="",$E263=0),"",$H263/$E263)</f>
        <v/>
      </c>
      <c r="M263" s="10" t="str">
        <f aca="false">IF(OR($L263="",$L263=0),"",($I263/30)/$L263)</f>
        <v/>
      </c>
      <c r="N263" s="8"/>
      <c r="O263" s="11" t="str">
        <f aca="false">IF(OR($I263="",$N263=""),"",($I263/1000)*$N263)</f>
        <v/>
      </c>
      <c r="P263" s="12" t="str">
        <f aca="false">IF($C263="","",IFERROR(ROUND(MIN(25,($N263/Instellingen!$B$3)*25)+MIN(25,($I263/Instellingen!$B$4)*25)+MIN(25,($J263/Instellingen!$B$5)*25)+MIN(25,(IF($M263="",0,$M263)/Instellingen!$B$6)*25),0),""))</f>
        <v/>
      </c>
      <c r="Q263" s="13" t="str">
        <f aca="false">IF($P263="","",IF($P263&gt;=Instellingen!$B$7,"Sterke niche",IF($P263&gt;=Instellingen!$B$8,"Belofte - opvolgen",IF($P263&gt;=Instellingen!$B$9,"Zwak - twijfel","Vermijden"))))</f>
        <v/>
      </c>
      <c r="R263" s="5"/>
      <c r="T263" s="1" t="str">
        <f aca="false">IF($C263="","",IF($P263=_xlfn.MAXIFS($P$3:$P$1000,$B$3:$B$1000,$B263),"★ Cash cow – handmatig onderzoeken",""))</f>
        <v/>
      </c>
    </row>
    <row r="264" customFormat="false" ht="14.25" hidden="false" customHeight="true" outlineLevel="0" collapsed="false">
      <c r="A264" s="4"/>
      <c r="B264" s="5"/>
      <c r="C264" s="5"/>
      <c r="D264" s="5"/>
      <c r="E264" s="6"/>
      <c r="F264" s="7"/>
      <c r="G264" s="8"/>
      <c r="H264" s="7"/>
      <c r="I264" s="7"/>
      <c r="J264" s="6"/>
      <c r="K264" s="9" t="str">
        <f aca="false">IF(OR($J264="",$J264=0),"",$I264/$J264)</f>
        <v/>
      </c>
      <c r="L264" s="9" t="str">
        <f aca="false">IF(OR($E264="",$E264=0),"",$H264/$E264)</f>
        <v/>
      </c>
      <c r="M264" s="10" t="str">
        <f aca="false">IF(OR($L264="",$L264=0),"",($I264/30)/$L264)</f>
        <v/>
      </c>
      <c r="N264" s="8"/>
      <c r="O264" s="11" t="str">
        <f aca="false">IF(OR($I264="",$N264=""),"",($I264/1000)*$N264)</f>
        <v/>
      </c>
      <c r="P264" s="12" t="str">
        <f aca="false">IF($C264="","",IFERROR(ROUND(MIN(25,($N264/Instellingen!$B$3)*25)+MIN(25,($I264/Instellingen!$B$4)*25)+MIN(25,($J264/Instellingen!$B$5)*25)+MIN(25,(IF($M264="",0,$M264)/Instellingen!$B$6)*25),0),""))</f>
        <v/>
      </c>
      <c r="Q264" s="13" t="str">
        <f aca="false">IF($P264="","",IF($P264&gt;=Instellingen!$B$7,"Sterke niche",IF($P264&gt;=Instellingen!$B$8,"Belofte - opvolgen",IF($P264&gt;=Instellingen!$B$9,"Zwak - twijfel","Vermijden"))))</f>
        <v/>
      </c>
      <c r="R264" s="5"/>
      <c r="T264" s="1" t="str">
        <f aca="false">IF($C264="","",IF($P264=_xlfn.MAXIFS($P$3:$P$1000,$B$3:$B$1000,$B264),"★ Cash cow – handmatig onderzoeken",""))</f>
        <v/>
      </c>
    </row>
    <row r="265" customFormat="false" ht="14.25" hidden="false" customHeight="true" outlineLevel="0" collapsed="false">
      <c r="A265" s="4"/>
      <c r="B265" s="5"/>
      <c r="C265" s="5"/>
      <c r="D265" s="5"/>
      <c r="E265" s="6"/>
      <c r="F265" s="7"/>
      <c r="G265" s="8"/>
      <c r="H265" s="7"/>
      <c r="I265" s="7"/>
      <c r="J265" s="6"/>
      <c r="K265" s="9" t="str">
        <f aca="false">IF(OR($J265="",$J265=0),"",$I265/$J265)</f>
        <v/>
      </c>
      <c r="L265" s="9" t="str">
        <f aca="false">IF(OR($E265="",$E265=0),"",$H265/$E265)</f>
        <v/>
      </c>
      <c r="M265" s="10" t="str">
        <f aca="false">IF(OR($L265="",$L265=0),"",($I265/30)/$L265)</f>
        <v/>
      </c>
      <c r="N265" s="8"/>
      <c r="O265" s="11" t="str">
        <f aca="false">IF(OR($I265="",$N265=""),"",($I265/1000)*$N265)</f>
        <v/>
      </c>
      <c r="P265" s="12" t="str">
        <f aca="false">IF($C265="","",IFERROR(ROUND(MIN(25,($N265/Instellingen!$B$3)*25)+MIN(25,($I265/Instellingen!$B$4)*25)+MIN(25,($J265/Instellingen!$B$5)*25)+MIN(25,(IF($M265="",0,$M265)/Instellingen!$B$6)*25),0),""))</f>
        <v/>
      </c>
      <c r="Q265" s="13" t="str">
        <f aca="false">IF($P265="","",IF($P265&gt;=Instellingen!$B$7,"Sterke niche",IF($P265&gt;=Instellingen!$B$8,"Belofte - opvolgen",IF($P265&gt;=Instellingen!$B$9,"Zwak - twijfel","Vermijden"))))</f>
        <v/>
      </c>
      <c r="R265" s="5"/>
      <c r="T265" s="1" t="str">
        <f aca="false">IF($C265="","",IF($P265=_xlfn.MAXIFS($P$3:$P$1000,$B$3:$B$1000,$B265),"★ Cash cow – handmatig onderzoeken",""))</f>
        <v/>
      </c>
    </row>
    <row r="266" customFormat="false" ht="14.25" hidden="false" customHeight="true" outlineLevel="0" collapsed="false">
      <c r="A266" s="4"/>
      <c r="B266" s="5"/>
      <c r="C266" s="5"/>
      <c r="D266" s="5"/>
      <c r="E266" s="6"/>
      <c r="F266" s="7"/>
      <c r="G266" s="8"/>
      <c r="H266" s="7"/>
      <c r="I266" s="7"/>
      <c r="J266" s="6"/>
      <c r="K266" s="9" t="str">
        <f aca="false">IF(OR($J266="",$J266=0),"",$I266/$J266)</f>
        <v/>
      </c>
      <c r="L266" s="9" t="str">
        <f aca="false">IF(OR($E266="",$E266=0),"",$H266/$E266)</f>
        <v/>
      </c>
      <c r="M266" s="10" t="str">
        <f aca="false">IF(OR($L266="",$L266=0),"",($I266/30)/$L266)</f>
        <v/>
      </c>
      <c r="N266" s="8"/>
      <c r="O266" s="11" t="str">
        <f aca="false">IF(OR($I266="",$N266=""),"",($I266/1000)*$N266)</f>
        <v/>
      </c>
      <c r="P266" s="12" t="str">
        <f aca="false">IF($C266="","",IFERROR(ROUND(MIN(25,($N266/Instellingen!$B$3)*25)+MIN(25,($I266/Instellingen!$B$4)*25)+MIN(25,($J266/Instellingen!$B$5)*25)+MIN(25,(IF($M266="",0,$M266)/Instellingen!$B$6)*25),0),""))</f>
        <v/>
      </c>
      <c r="Q266" s="13" t="str">
        <f aca="false">IF($P266="","",IF($P266&gt;=Instellingen!$B$7,"Sterke niche",IF($P266&gt;=Instellingen!$B$8,"Belofte - opvolgen",IF($P266&gt;=Instellingen!$B$9,"Zwak - twijfel","Vermijden"))))</f>
        <v/>
      </c>
      <c r="R266" s="5"/>
      <c r="T266" s="1" t="str">
        <f aca="false">IF($C266="","",IF($P266=_xlfn.MAXIFS($P$3:$P$1000,$B$3:$B$1000,$B266),"★ Cash cow – handmatig onderzoeken",""))</f>
        <v/>
      </c>
    </row>
    <row r="267" customFormat="false" ht="14.25" hidden="false" customHeight="true" outlineLevel="0" collapsed="false">
      <c r="A267" s="4"/>
      <c r="B267" s="5"/>
      <c r="C267" s="5"/>
      <c r="D267" s="5"/>
      <c r="E267" s="6"/>
      <c r="F267" s="7"/>
      <c r="G267" s="8"/>
      <c r="H267" s="7"/>
      <c r="I267" s="7"/>
      <c r="J267" s="6"/>
      <c r="K267" s="9" t="str">
        <f aca="false">IF(OR($J267="",$J267=0),"",$I267/$J267)</f>
        <v/>
      </c>
      <c r="L267" s="9" t="str">
        <f aca="false">IF(OR($E267="",$E267=0),"",$H267/$E267)</f>
        <v/>
      </c>
      <c r="M267" s="10" t="str">
        <f aca="false">IF(OR($L267="",$L267=0),"",($I267/30)/$L267)</f>
        <v/>
      </c>
      <c r="N267" s="8"/>
      <c r="O267" s="11" t="str">
        <f aca="false">IF(OR($I267="",$N267=""),"",($I267/1000)*$N267)</f>
        <v/>
      </c>
      <c r="P267" s="12" t="str">
        <f aca="false">IF($C267="","",IFERROR(ROUND(MIN(25,($N267/Instellingen!$B$3)*25)+MIN(25,($I267/Instellingen!$B$4)*25)+MIN(25,($J267/Instellingen!$B$5)*25)+MIN(25,(IF($M267="",0,$M267)/Instellingen!$B$6)*25),0),""))</f>
        <v/>
      </c>
      <c r="Q267" s="13" t="str">
        <f aca="false">IF($P267="","",IF($P267&gt;=Instellingen!$B$7,"Sterke niche",IF($P267&gt;=Instellingen!$B$8,"Belofte - opvolgen",IF($P267&gt;=Instellingen!$B$9,"Zwak - twijfel","Vermijden"))))</f>
        <v/>
      </c>
      <c r="R267" s="5"/>
      <c r="T267" s="1" t="str">
        <f aca="false">IF($C267="","",IF($P267=_xlfn.MAXIFS($P$3:$P$1000,$B$3:$B$1000,$B267),"★ Cash cow – handmatig onderzoeken",""))</f>
        <v/>
      </c>
    </row>
    <row r="268" customFormat="false" ht="14.25" hidden="false" customHeight="true" outlineLevel="0" collapsed="false">
      <c r="A268" s="4"/>
      <c r="B268" s="5"/>
      <c r="C268" s="5"/>
      <c r="D268" s="5"/>
      <c r="E268" s="6"/>
      <c r="F268" s="7"/>
      <c r="G268" s="8"/>
      <c r="H268" s="7"/>
      <c r="I268" s="7"/>
      <c r="J268" s="6"/>
      <c r="K268" s="9" t="str">
        <f aca="false">IF(OR($J268="",$J268=0),"",$I268/$J268)</f>
        <v/>
      </c>
      <c r="L268" s="9" t="str">
        <f aca="false">IF(OR($E268="",$E268=0),"",$H268/$E268)</f>
        <v/>
      </c>
      <c r="M268" s="10" t="str">
        <f aca="false">IF(OR($L268="",$L268=0),"",($I268/30)/$L268)</f>
        <v/>
      </c>
      <c r="N268" s="8"/>
      <c r="O268" s="11" t="str">
        <f aca="false">IF(OR($I268="",$N268=""),"",($I268/1000)*$N268)</f>
        <v/>
      </c>
      <c r="P268" s="12" t="str">
        <f aca="false">IF($C268="","",IFERROR(ROUND(MIN(25,($N268/Instellingen!$B$3)*25)+MIN(25,($I268/Instellingen!$B$4)*25)+MIN(25,($J268/Instellingen!$B$5)*25)+MIN(25,(IF($M268="",0,$M268)/Instellingen!$B$6)*25),0),""))</f>
        <v/>
      </c>
      <c r="Q268" s="13" t="str">
        <f aca="false">IF($P268="","",IF($P268&gt;=Instellingen!$B$7,"Sterke niche",IF($P268&gt;=Instellingen!$B$8,"Belofte - opvolgen",IF($P268&gt;=Instellingen!$B$9,"Zwak - twijfel","Vermijden"))))</f>
        <v/>
      </c>
      <c r="R268" s="5"/>
      <c r="T268" s="1" t="str">
        <f aca="false">IF($C268="","",IF($P268=_xlfn.MAXIFS($P$3:$P$1000,$B$3:$B$1000,$B268),"★ Cash cow – handmatig onderzoeken",""))</f>
        <v/>
      </c>
    </row>
    <row r="269" customFormat="false" ht="14.25" hidden="false" customHeight="true" outlineLevel="0" collapsed="false">
      <c r="A269" s="4"/>
      <c r="B269" s="5"/>
      <c r="C269" s="5"/>
      <c r="D269" s="5"/>
      <c r="E269" s="6"/>
      <c r="F269" s="7"/>
      <c r="G269" s="8"/>
      <c r="H269" s="7"/>
      <c r="I269" s="7"/>
      <c r="J269" s="6"/>
      <c r="K269" s="9" t="str">
        <f aca="false">IF(OR($J269="",$J269=0),"",$I269/$J269)</f>
        <v/>
      </c>
      <c r="L269" s="9" t="str">
        <f aca="false">IF(OR($E269="",$E269=0),"",$H269/$E269)</f>
        <v/>
      </c>
      <c r="M269" s="10" t="str">
        <f aca="false">IF(OR($L269="",$L269=0),"",($I269/30)/$L269)</f>
        <v/>
      </c>
      <c r="N269" s="8"/>
      <c r="O269" s="11" t="str">
        <f aca="false">IF(OR($I269="",$N269=""),"",($I269/1000)*$N269)</f>
        <v/>
      </c>
      <c r="P269" s="12" t="str">
        <f aca="false">IF($C269="","",IFERROR(ROUND(MIN(25,($N269/Instellingen!$B$3)*25)+MIN(25,($I269/Instellingen!$B$4)*25)+MIN(25,($J269/Instellingen!$B$5)*25)+MIN(25,(IF($M269="",0,$M269)/Instellingen!$B$6)*25),0),""))</f>
        <v/>
      </c>
      <c r="Q269" s="13" t="str">
        <f aca="false">IF($P269="","",IF($P269&gt;=Instellingen!$B$7,"Sterke niche",IF($P269&gt;=Instellingen!$B$8,"Belofte - opvolgen",IF($P269&gt;=Instellingen!$B$9,"Zwak - twijfel","Vermijden"))))</f>
        <v/>
      </c>
      <c r="R269" s="5"/>
      <c r="T269" s="1" t="str">
        <f aca="false">IF($C269="","",IF($P269=_xlfn.MAXIFS($P$3:$P$1000,$B$3:$B$1000,$B269),"★ Cash cow – handmatig onderzoeken",""))</f>
        <v/>
      </c>
    </row>
    <row r="270" customFormat="false" ht="14.25" hidden="false" customHeight="true" outlineLevel="0" collapsed="false">
      <c r="A270" s="4"/>
      <c r="B270" s="5"/>
      <c r="C270" s="5"/>
      <c r="D270" s="5"/>
      <c r="E270" s="6"/>
      <c r="F270" s="7"/>
      <c r="G270" s="8"/>
      <c r="H270" s="7"/>
      <c r="I270" s="7"/>
      <c r="J270" s="6"/>
      <c r="K270" s="9" t="str">
        <f aca="false">IF(OR($J270="",$J270=0),"",$I270/$J270)</f>
        <v/>
      </c>
      <c r="L270" s="9" t="str">
        <f aca="false">IF(OR($E270="",$E270=0),"",$H270/$E270)</f>
        <v/>
      </c>
      <c r="M270" s="10" t="str">
        <f aca="false">IF(OR($L270="",$L270=0),"",($I270/30)/$L270)</f>
        <v/>
      </c>
      <c r="N270" s="8"/>
      <c r="O270" s="11" t="str">
        <f aca="false">IF(OR($I270="",$N270=""),"",($I270/1000)*$N270)</f>
        <v/>
      </c>
      <c r="P270" s="12" t="str">
        <f aca="false">IF($C270="","",IFERROR(ROUND(MIN(25,($N270/Instellingen!$B$3)*25)+MIN(25,($I270/Instellingen!$B$4)*25)+MIN(25,($J270/Instellingen!$B$5)*25)+MIN(25,(IF($M270="",0,$M270)/Instellingen!$B$6)*25),0),""))</f>
        <v/>
      </c>
      <c r="Q270" s="13" t="str">
        <f aca="false">IF($P270="","",IF($P270&gt;=Instellingen!$B$7,"Sterke niche",IF($P270&gt;=Instellingen!$B$8,"Belofte - opvolgen",IF($P270&gt;=Instellingen!$B$9,"Zwak - twijfel","Vermijden"))))</f>
        <v/>
      </c>
      <c r="R270" s="5"/>
      <c r="T270" s="1" t="str">
        <f aca="false">IF($C270="","",IF($P270=_xlfn.MAXIFS($P$3:$P$1000,$B$3:$B$1000,$B270),"★ Cash cow – handmatig onderzoeken",""))</f>
        <v/>
      </c>
    </row>
    <row r="271" customFormat="false" ht="14.25" hidden="false" customHeight="true" outlineLevel="0" collapsed="false">
      <c r="A271" s="4"/>
      <c r="B271" s="5"/>
      <c r="C271" s="5"/>
      <c r="D271" s="5"/>
      <c r="E271" s="6"/>
      <c r="F271" s="7"/>
      <c r="G271" s="8"/>
      <c r="H271" s="7"/>
      <c r="I271" s="7"/>
      <c r="J271" s="6"/>
      <c r="K271" s="9" t="str">
        <f aca="false">IF(OR($J271="",$J271=0),"",$I271/$J271)</f>
        <v/>
      </c>
      <c r="L271" s="9" t="str">
        <f aca="false">IF(OR($E271="",$E271=0),"",$H271/$E271)</f>
        <v/>
      </c>
      <c r="M271" s="10" t="str">
        <f aca="false">IF(OR($L271="",$L271=0),"",($I271/30)/$L271)</f>
        <v/>
      </c>
      <c r="N271" s="8"/>
      <c r="O271" s="11" t="str">
        <f aca="false">IF(OR($I271="",$N271=""),"",($I271/1000)*$N271)</f>
        <v/>
      </c>
      <c r="P271" s="12" t="str">
        <f aca="false">IF($C271="","",IFERROR(ROUND(MIN(25,($N271/Instellingen!$B$3)*25)+MIN(25,($I271/Instellingen!$B$4)*25)+MIN(25,($J271/Instellingen!$B$5)*25)+MIN(25,(IF($M271="",0,$M271)/Instellingen!$B$6)*25),0),""))</f>
        <v/>
      </c>
      <c r="Q271" s="13" t="str">
        <f aca="false">IF($P271="","",IF($P271&gt;=Instellingen!$B$7,"Sterke niche",IF($P271&gt;=Instellingen!$B$8,"Belofte - opvolgen",IF($P271&gt;=Instellingen!$B$9,"Zwak - twijfel","Vermijden"))))</f>
        <v/>
      </c>
      <c r="R271" s="5"/>
      <c r="T271" s="1" t="str">
        <f aca="false">IF($C271="","",IF($P271=_xlfn.MAXIFS($P$3:$P$1000,$B$3:$B$1000,$B271),"★ Cash cow – handmatig onderzoeken",""))</f>
        <v/>
      </c>
    </row>
    <row r="272" customFormat="false" ht="14.25" hidden="false" customHeight="true" outlineLevel="0" collapsed="false">
      <c r="A272" s="4"/>
      <c r="B272" s="5"/>
      <c r="C272" s="5"/>
      <c r="D272" s="5"/>
      <c r="E272" s="6"/>
      <c r="F272" s="7"/>
      <c r="G272" s="8"/>
      <c r="H272" s="7"/>
      <c r="I272" s="7"/>
      <c r="J272" s="6"/>
      <c r="K272" s="9" t="str">
        <f aca="false">IF(OR($J272="",$J272=0),"",$I272/$J272)</f>
        <v/>
      </c>
      <c r="L272" s="9" t="str">
        <f aca="false">IF(OR($E272="",$E272=0),"",$H272/$E272)</f>
        <v/>
      </c>
      <c r="M272" s="10" t="str">
        <f aca="false">IF(OR($L272="",$L272=0),"",($I272/30)/$L272)</f>
        <v/>
      </c>
      <c r="N272" s="8"/>
      <c r="O272" s="11" t="str">
        <f aca="false">IF(OR($I272="",$N272=""),"",($I272/1000)*$N272)</f>
        <v/>
      </c>
      <c r="P272" s="12" t="str">
        <f aca="false">IF($C272="","",IFERROR(ROUND(MIN(25,($N272/Instellingen!$B$3)*25)+MIN(25,($I272/Instellingen!$B$4)*25)+MIN(25,($J272/Instellingen!$B$5)*25)+MIN(25,(IF($M272="",0,$M272)/Instellingen!$B$6)*25),0),""))</f>
        <v/>
      </c>
      <c r="Q272" s="13" t="str">
        <f aca="false">IF($P272="","",IF($P272&gt;=Instellingen!$B$7,"Sterke niche",IF($P272&gt;=Instellingen!$B$8,"Belofte - opvolgen",IF($P272&gt;=Instellingen!$B$9,"Zwak - twijfel","Vermijden"))))</f>
        <v/>
      </c>
      <c r="R272" s="5"/>
      <c r="T272" s="1" t="str">
        <f aca="false">IF($C272="","",IF($P272=_xlfn.MAXIFS($P$3:$P$1000,$B$3:$B$1000,$B272),"★ Cash cow – handmatig onderzoeken",""))</f>
        <v/>
      </c>
    </row>
    <row r="273" customFormat="false" ht="14.25" hidden="false" customHeight="true" outlineLevel="0" collapsed="false">
      <c r="A273" s="4"/>
      <c r="B273" s="5"/>
      <c r="C273" s="5"/>
      <c r="D273" s="5"/>
      <c r="E273" s="6"/>
      <c r="F273" s="7"/>
      <c r="G273" s="8"/>
      <c r="H273" s="7"/>
      <c r="I273" s="7"/>
      <c r="J273" s="6"/>
      <c r="K273" s="9" t="str">
        <f aca="false">IF(OR($J273="",$J273=0),"",$I273/$J273)</f>
        <v/>
      </c>
      <c r="L273" s="9" t="str">
        <f aca="false">IF(OR($E273="",$E273=0),"",$H273/$E273)</f>
        <v/>
      </c>
      <c r="M273" s="10" t="str">
        <f aca="false">IF(OR($L273="",$L273=0),"",($I273/30)/$L273)</f>
        <v/>
      </c>
      <c r="N273" s="8"/>
      <c r="O273" s="11" t="str">
        <f aca="false">IF(OR($I273="",$N273=""),"",($I273/1000)*$N273)</f>
        <v/>
      </c>
      <c r="P273" s="12" t="str">
        <f aca="false">IF($C273="","",IFERROR(ROUND(MIN(25,($N273/Instellingen!$B$3)*25)+MIN(25,($I273/Instellingen!$B$4)*25)+MIN(25,($J273/Instellingen!$B$5)*25)+MIN(25,(IF($M273="",0,$M273)/Instellingen!$B$6)*25),0),""))</f>
        <v/>
      </c>
      <c r="Q273" s="13" t="str">
        <f aca="false">IF($P273="","",IF($P273&gt;=Instellingen!$B$7,"Sterke niche",IF($P273&gt;=Instellingen!$B$8,"Belofte - opvolgen",IF($P273&gt;=Instellingen!$B$9,"Zwak - twijfel","Vermijden"))))</f>
        <v/>
      </c>
      <c r="R273" s="5"/>
      <c r="T273" s="1" t="str">
        <f aca="false">IF($C273="","",IF($P273=_xlfn.MAXIFS($P$3:$P$1000,$B$3:$B$1000,$B273),"★ Cash cow – handmatig onderzoeken",""))</f>
        <v/>
      </c>
    </row>
    <row r="274" customFormat="false" ht="14.25" hidden="false" customHeight="true" outlineLevel="0" collapsed="false">
      <c r="A274" s="4"/>
      <c r="B274" s="5"/>
      <c r="C274" s="5"/>
      <c r="D274" s="5"/>
      <c r="E274" s="6"/>
      <c r="F274" s="7"/>
      <c r="G274" s="8"/>
      <c r="H274" s="7"/>
      <c r="I274" s="7"/>
      <c r="J274" s="6"/>
      <c r="K274" s="9" t="str">
        <f aca="false">IF(OR($J274="",$J274=0),"",$I274/$J274)</f>
        <v/>
      </c>
      <c r="L274" s="9" t="str">
        <f aca="false">IF(OR($E274="",$E274=0),"",$H274/$E274)</f>
        <v/>
      </c>
      <c r="M274" s="10" t="str">
        <f aca="false">IF(OR($L274="",$L274=0),"",($I274/30)/$L274)</f>
        <v/>
      </c>
      <c r="N274" s="8"/>
      <c r="O274" s="11" t="str">
        <f aca="false">IF(OR($I274="",$N274=""),"",($I274/1000)*$N274)</f>
        <v/>
      </c>
      <c r="P274" s="12" t="str">
        <f aca="false">IF($C274="","",IFERROR(ROUND(MIN(25,($N274/Instellingen!$B$3)*25)+MIN(25,($I274/Instellingen!$B$4)*25)+MIN(25,($J274/Instellingen!$B$5)*25)+MIN(25,(IF($M274="",0,$M274)/Instellingen!$B$6)*25),0),""))</f>
        <v/>
      </c>
      <c r="Q274" s="13" t="str">
        <f aca="false">IF($P274="","",IF($P274&gt;=Instellingen!$B$7,"Sterke niche",IF($P274&gt;=Instellingen!$B$8,"Belofte - opvolgen",IF($P274&gt;=Instellingen!$B$9,"Zwak - twijfel","Vermijden"))))</f>
        <v/>
      </c>
      <c r="R274" s="5"/>
      <c r="T274" s="1" t="str">
        <f aca="false">IF($C274="","",IF($P274=_xlfn.MAXIFS($P$3:$P$1000,$B$3:$B$1000,$B274),"★ Cash cow – handmatig onderzoeken",""))</f>
        <v/>
      </c>
    </row>
    <row r="275" customFormat="false" ht="14.25" hidden="false" customHeight="true" outlineLevel="0" collapsed="false">
      <c r="A275" s="4"/>
      <c r="B275" s="5"/>
      <c r="C275" s="5"/>
      <c r="D275" s="5"/>
      <c r="E275" s="6"/>
      <c r="F275" s="7"/>
      <c r="G275" s="8"/>
      <c r="H275" s="7"/>
      <c r="I275" s="7"/>
      <c r="J275" s="6"/>
      <c r="K275" s="9" t="str">
        <f aca="false">IF(OR($J275="",$J275=0),"",$I275/$J275)</f>
        <v/>
      </c>
      <c r="L275" s="9" t="str">
        <f aca="false">IF(OR($E275="",$E275=0),"",$H275/$E275)</f>
        <v/>
      </c>
      <c r="M275" s="10" t="str">
        <f aca="false">IF(OR($L275="",$L275=0),"",($I275/30)/$L275)</f>
        <v/>
      </c>
      <c r="N275" s="8"/>
      <c r="O275" s="11" t="str">
        <f aca="false">IF(OR($I275="",$N275=""),"",($I275/1000)*$N275)</f>
        <v/>
      </c>
      <c r="P275" s="12" t="str">
        <f aca="false">IF($C275="","",IFERROR(ROUND(MIN(25,($N275/Instellingen!$B$3)*25)+MIN(25,($I275/Instellingen!$B$4)*25)+MIN(25,($J275/Instellingen!$B$5)*25)+MIN(25,(IF($M275="",0,$M275)/Instellingen!$B$6)*25),0),""))</f>
        <v/>
      </c>
      <c r="Q275" s="13" t="str">
        <f aca="false">IF($P275="","",IF($P275&gt;=Instellingen!$B$7,"Sterke niche",IF($P275&gt;=Instellingen!$B$8,"Belofte - opvolgen",IF($P275&gt;=Instellingen!$B$9,"Zwak - twijfel","Vermijden"))))</f>
        <v/>
      </c>
      <c r="R275" s="5"/>
      <c r="T275" s="1" t="str">
        <f aca="false">IF($C275="","",IF($P275=_xlfn.MAXIFS($P$3:$P$1000,$B$3:$B$1000,$B275),"★ Cash cow – handmatig onderzoeken",""))</f>
        <v/>
      </c>
    </row>
    <row r="276" customFormat="false" ht="14.25" hidden="false" customHeight="true" outlineLevel="0" collapsed="false">
      <c r="A276" s="4"/>
      <c r="B276" s="5"/>
      <c r="C276" s="5"/>
      <c r="D276" s="5"/>
      <c r="E276" s="6"/>
      <c r="F276" s="7"/>
      <c r="G276" s="8"/>
      <c r="H276" s="7"/>
      <c r="I276" s="7"/>
      <c r="J276" s="6"/>
      <c r="K276" s="9" t="str">
        <f aca="false">IF(OR($J276="",$J276=0),"",$I276/$J276)</f>
        <v/>
      </c>
      <c r="L276" s="9" t="str">
        <f aca="false">IF(OR($E276="",$E276=0),"",$H276/$E276)</f>
        <v/>
      </c>
      <c r="M276" s="10" t="str">
        <f aca="false">IF(OR($L276="",$L276=0),"",($I276/30)/$L276)</f>
        <v/>
      </c>
      <c r="N276" s="8"/>
      <c r="O276" s="11" t="str">
        <f aca="false">IF(OR($I276="",$N276=""),"",($I276/1000)*$N276)</f>
        <v/>
      </c>
      <c r="P276" s="12" t="str">
        <f aca="false">IF($C276="","",IFERROR(ROUND(MIN(25,($N276/Instellingen!$B$3)*25)+MIN(25,($I276/Instellingen!$B$4)*25)+MIN(25,($J276/Instellingen!$B$5)*25)+MIN(25,(IF($M276="",0,$M276)/Instellingen!$B$6)*25),0),""))</f>
        <v/>
      </c>
      <c r="Q276" s="13" t="str">
        <f aca="false">IF($P276="","",IF($P276&gt;=Instellingen!$B$7,"Sterke niche",IF($P276&gt;=Instellingen!$B$8,"Belofte - opvolgen",IF($P276&gt;=Instellingen!$B$9,"Zwak - twijfel","Vermijden"))))</f>
        <v/>
      </c>
      <c r="R276" s="5"/>
      <c r="T276" s="1" t="str">
        <f aca="false">IF($C276="","",IF($P276=_xlfn.MAXIFS($P$3:$P$1000,$B$3:$B$1000,$B276),"★ Cash cow – handmatig onderzoeken",""))</f>
        <v/>
      </c>
    </row>
    <row r="277" customFormat="false" ht="14.25" hidden="false" customHeight="true" outlineLevel="0" collapsed="false">
      <c r="A277" s="4"/>
      <c r="B277" s="5"/>
      <c r="C277" s="5"/>
      <c r="D277" s="5"/>
      <c r="E277" s="6"/>
      <c r="F277" s="7"/>
      <c r="G277" s="8"/>
      <c r="H277" s="7"/>
      <c r="I277" s="7"/>
      <c r="J277" s="6"/>
      <c r="K277" s="9" t="str">
        <f aca="false">IF(OR($J277="",$J277=0),"",$I277/$J277)</f>
        <v/>
      </c>
      <c r="L277" s="9" t="str">
        <f aca="false">IF(OR($E277="",$E277=0),"",$H277/$E277)</f>
        <v/>
      </c>
      <c r="M277" s="10" t="str">
        <f aca="false">IF(OR($L277="",$L277=0),"",($I277/30)/$L277)</f>
        <v/>
      </c>
      <c r="N277" s="8"/>
      <c r="O277" s="11" t="str">
        <f aca="false">IF(OR($I277="",$N277=""),"",($I277/1000)*$N277)</f>
        <v/>
      </c>
      <c r="P277" s="12" t="str">
        <f aca="false">IF($C277="","",IFERROR(ROUND(MIN(25,($N277/Instellingen!$B$3)*25)+MIN(25,($I277/Instellingen!$B$4)*25)+MIN(25,($J277/Instellingen!$B$5)*25)+MIN(25,(IF($M277="",0,$M277)/Instellingen!$B$6)*25),0),""))</f>
        <v/>
      </c>
      <c r="Q277" s="13" t="str">
        <f aca="false">IF($P277="","",IF($P277&gt;=Instellingen!$B$7,"Sterke niche",IF($P277&gt;=Instellingen!$B$8,"Belofte - opvolgen",IF($P277&gt;=Instellingen!$B$9,"Zwak - twijfel","Vermijden"))))</f>
        <v/>
      </c>
      <c r="R277" s="5"/>
      <c r="T277" s="1" t="str">
        <f aca="false">IF($C277="","",IF($P277=_xlfn.MAXIFS($P$3:$P$1000,$B$3:$B$1000,$B277),"★ Cash cow – handmatig onderzoeken",""))</f>
        <v/>
      </c>
    </row>
    <row r="278" customFormat="false" ht="14.25" hidden="false" customHeight="true" outlineLevel="0" collapsed="false">
      <c r="A278" s="4"/>
      <c r="B278" s="5"/>
      <c r="C278" s="5"/>
      <c r="D278" s="5"/>
      <c r="E278" s="6"/>
      <c r="F278" s="7"/>
      <c r="G278" s="8"/>
      <c r="H278" s="7"/>
      <c r="I278" s="7"/>
      <c r="J278" s="6"/>
      <c r="K278" s="9" t="str">
        <f aca="false">IF(OR($J278="",$J278=0),"",$I278/$J278)</f>
        <v/>
      </c>
      <c r="L278" s="9" t="str">
        <f aca="false">IF(OR($E278="",$E278=0),"",$H278/$E278)</f>
        <v/>
      </c>
      <c r="M278" s="10" t="str">
        <f aca="false">IF(OR($L278="",$L278=0),"",($I278/30)/$L278)</f>
        <v/>
      </c>
      <c r="N278" s="8"/>
      <c r="O278" s="11" t="str">
        <f aca="false">IF(OR($I278="",$N278=""),"",($I278/1000)*$N278)</f>
        <v/>
      </c>
      <c r="P278" s="12" t="str">
        <f aca="false">IF($C278="","",IFERROR(ROUND(MIN(25,($N278/Instellingen!$B$3)*25)+MIN(25,($I278/Instellingen!$B$4)*25)+MIN(25,($J278/Instellingen!$B$5)*25)+MIN(25,(IF($M278="",0,$M278)/Instellingen!$B$6)*25),0),""))</f>
        <v/>
      </c>
      <c r="Q278" s="13" t="str">
        <f aca="false">IF($P278="","",IF($P278&gt;=Instellingen!$B$7,"Sterke niche",IF($P278&gt;=Instellingen!$B$8,"Belofte - opvolgen",IF($P278&gt;=Instellingen!$B$9,"Zwak - twijfel","Vermijden"))))</f>
        <v/>
      </c>
      <c r="R278" s="5"/>
      <c r="T278" s="1" t="str">
        <f aca="false">IF($C278="","",IF($P278=_xlfn.MAXIFS($P$3:$P$1000,$B$3:$B$1000,$B278),"★ Cash cow – handmatig onderzoeken",""))</f>
        <v/>
      </c>
    </row>
    <row r="279" customFormat="false" ht="14.25" hidden="false" customHeight="true" outlineLevel="0" collapsed="false">
      <c r="A279" s="4"/>
      <c r="B279" s="5"/>
      <c r="C279" s="5"/>
      <c r="D279" s="5"/>
      <c r="E279" s="6"/>
      <c r="F279" s="7"/>
      <c r="G279" s="8"/>
      <c r="H279" s="7"/>
      <c r="I279" s="7"/>
      <c r="J279" s="6"/>
      <c r="K279" s="9" t="str">
        <f aca="false">IF(OR($J279="",$J279=0),"",$I279/$J279)</f>
        <v/>
      </c>
      <c r="L279" s="9" t="str">
        <f aca="false">IF(OR($E279="",$E279=0),"",$H279/$E279)</f>
        <v/>
      </c>
      <c r="M279" s="10" t="str">
        <f aca="false">IF(OR($L279="",$L279=0),"",($I279/30)/$L279)</f>
        <v/>
      </c>
      <c r="N279" s="8"/>
      <c r="O279" s="11" t="str">
        <f aca="false">IF(OR($I279="",$N279=""),"",($I279/1000)*$N279)</f>
        <v/>
      </c>
      <c r="P279" s="12" t="str">
        <f aca="false">IF($C279="","",IFERROR(ROUND(MIN(25,($N279/Instellingen!$B$3)*25)+MIN(25,($I279/Instellingen!$B$4)*25)+MIN(25,($J279/Instellingen!$B$5)*25)+MIN(25,(IF($M279="",0,$M279)/Instellingen!$B$6)*25),0),""))</f>
        <v/>
      </c>
      <c r="Q279" s="13" t="str">
        <f aca="false">IF($P279="","",IF($P279&gt;=Instellingen!$B$7,"Sterke niche",IF($P279&gt;=Instellingen!$B$8,"Belofte - opvolgen",IF($P279&gt;=Instellingen!$B$9,"Zwak - twijfel","Vermijden"))))</f>
        <v/>
      </c>
      <c r="R279" s="5"/>
      <c r="T279" s="1" t="str">
        <f aca="false">IF($C279="","",IF($P279=_xlfn.MAXIFS($P$3:$P$1000,$B$3:$B$1000,$B279),"★ Cash cow – handmatig onderzoeken",""))</f>
        <v/>
      </c>
    </row>
    <row r="280" customFormat="false" ht="14.25" hidden="false" customHeight="true" outlineLevel="0" collapsed="false">
      <c r="A280" s="4"/>
      <c r="B280" s="5"/>
      <c r="C280" s="5"/>
      <c r="D280" s="5"/>
      <c r="E280" s="6"/>
      <c r="F280" s="7"/>
      <c r="G280" s="8"/>
      <c r="H280" s="7"/>
      <c r="I280" s="7"/>
      <c r="J280" s="6"/>
      <c r="K280" s="9" t="str">
        <f aca="false">IF(OR($J280="",$J280=0),"",$I280/$J280)</f>
        <v/>
      </c>
      <c r="L280" s="9" t="str">
        <f aca="false">IF(OR($E280="",$E280=0),"",$H280/$E280)</f>
        <v/>
      </c>
      <c r="M280" s="10" t="str">
        <f aca="false">IF(OR($L280="",$L280=0),"",($I280/30)/$L280)</f>
        <v/>
      </c>
      <c r="N280" s="8"/>
      <c r="O280" s="11" t="str">
        <f aca="false">IF(OR($I280="",$N280=""),"",($I280/1000)*$N280)</f>
        <v/>
      </c>
      <c r="P280" s="12" t="str">
        <f aca="false">IF($C280="","",IFERROR(ROUND(MIN(25,($N280/Instellingen!$B$3)*25)+MIN(25,($I280/Instellingen!$B$4)*25)+MIN(25,($J280/Instellingen!$B$5)*25)+MIN(25,(IF($M280="",0,$M280)/Instellingen!$B$6)*25),0),""))</f>
        <v/>
      </c>
      <c r="Q280" s="13" t="str">
        <f aca="false">IF($P280="","",IF($P280&gt;=Instellingen!$B$7,"Sterke niche",IF($P280&gt;=Instellingen!$B$8,"Belofte - opvolgen",IF($P280&gt;=Instellingen!$B$9,"Zwak - twijfel","Vermijden"))))</f>
        <v/>
      </c>
      <c r="R280" s="5"/>
      <c r="T280" s="1" t="str">
        <f aca="false">IF($C280="","",IF($P280=_xlfn.MAXIFS($P$3:$P$1000,$B$3:$B$1000,$B280),"★ Cash cow – handmatig onderzoeken",""))</f>
        <v/>
      </c>
    </row>
    <row r="281" customFormat="false" ht="14.25" hidden="false" customHeight="true" outlineLevel="0" collapsed="false">
      <c r="A281" s="4"/>
      <c r="B281" s="5"/>
      <c r="C281" s="5"/>
      <c r="D281" s="5"/>
      <c r="E281" s="6"/>
      <c r="F281" s="7"/>
      <c r="G281" s="8"/>
      <c r="H281" s="7"/>
      <c r="I281" s="7"/>
      <c r="J281" s="6"/>
      <c r="K281" s="9" t="str">
        <f aca="false">IF(OR($J281="",$J281=0),"",$I281/$J281)</f>
        <v/>
      </c>
      <c r="L281" s="9" t="str">
        <f aca="false">IF(OR($E281="",$E281=0),"",$H281/$E281)</f>
        <v/>
      </c>
      <c r="M281" s="10" t="str">
        <f aca="false">IF(OR($L281="",$L281=0),"",($I281/30)/$L281)</f>
        <v/>
      </c>
      <c r="N281" s="8"/>
      <c r="O281" s="11" t="str">
        <f aca="false">IF(OR($I281="",$N281=""),"",($I281/1000)*$N281)</f>
        <v/>
      </c>
      <c r="P281" s="12" t="str">
        <f aca="false">IF($C281="","",IFERROR(ROUND(MIN(25,($N281/Instellingen!$B$3)*25)+MIN(25,($I281/Instellingen!$B$4)*25)+MIN(25,($J281/Instellingen!$B$5)*25)+MIN(25,(IF($M281="",0,$M281)/Instellingen!$B$6)*25),0),""))</f>
        <v/>
      </c>
      <c r="Q281" s="13" t="str">
        <f aca="false">IF($P281="","",IF($P281&gt;=Instellingen!$B$7,"Sterke niche",IF($P281&gt;=Instellingen!$B$8,"Belofte - opvolgen",IF($P281&gt;=Instellingen!$B$9,"Zwak - twijfel","Vermijden"))))</f>
        <v/>
      </c>
      <c r="R281" s="5"/>
      <c r="T281" s="1" t="str">
        <f aca="false">IF($C281="","",IF($P281=_xlfn.MAXIFS($P$3:$P$1000,$B$3:$B$1000,$B281),"★ Cash cow – handmatig onderzoeken",""))</f>
        <v/>
      </c>
    </row>
    <row r="282" customFormat="false" ht="14.25" hidden="false" customHeight="true" outlineLevel="0" collapsed="false">
      <c r="A282" s="4"/>
      <c r="B282" s="5"/>
      <c r="C282" s="5"/>
      <c r="D282" s="5"/>
      <c r="E282" s="6"/>
      <c r="F282" s="7"/>
      <c r="G282" s="8"/>
      <c r="H282" s="7"/>
      <c r="I282" s="7"/>
      <c r="J282" s="6"/>
      <c r="K282" s="9" t="str">
        <f aca="false">IF(OR($J282="",$J282=0),"",$I282/$J282)</f>
        <v/>
      </c>
      <c r="L282" s="9" t="str">
        <f aca="false">IF(OR($E282="",$E282=0),"",$H282/$E282)</f>
        <v/>
      </c>
      <c r="M282" s="10" t="str">
        <f aca="false">IF(OR($L282="",$L282=0),"",($I282/30)/$L282)</f>
        <v/>
      </c>
      <c r="N282" s="8"/>
      <c r="O282" s="11" t="str">
        <f aca="false">IF(OR($I282="",$N282=""),"",($I282/1000)*$N282)</f>
        <v/>
      </c>
      <c r="P282" s="12" t="str">
        <f aca="false">IF($C282="","",IFERROR(ROUND(MIN(25,($N282/Instellingen!$B$3)*25)+MIN(25,($I282/Instellingen!$B$4)*25)+MIN(25,($J282/Instellingen!$B$5)*25)+MIN(25,(IF($M282="",0,$M282)/Instellingen!$B$6)*25),0),""))</f>
        <v/>
      </c>
      <c r="Q282" s="13" t="str">
        <f aca="false">IF($P282="","",IF($P282&gt;=Instellingen!$B$7,"Sterke niche",IF($P282&gt;=Instellingen!$B$8,"Belofte - opvolgen",IF($P282&gt;=Instellingen!$B$9,"Zwak - twijfel","Vermijden"))))</f>
        <v/>
      </c>
      <c r="R282" s="5"/>
      <c r="T282" s="1" t="str">
        <f aca="false">IF($C282="","",IF($P282=_xlfn.MAXIFS($P$3:$P$1000,$B$3:$B$1000,$B282),"★ Cash cow – handmatig onderzoeken",""))</f>
        <v/>
      </c>
    </row>
    <row r="283" customFormat="false" ht="14.25" hidden="false" customHeight="true" outlineLevel="0" collapsed="false">
      <c r="A283" s="4"/>
      <c r="B283" s="5"/>
      <c r="C283" s="5"/>
      <c r="D283" s="5"/>
      <c r="E283" s="6"/>
      <c r="F283" s="7"/>
      <c r="G283" s="8"/>
      <c r="H283" s="7"/>
      <c r="I283" s="7"/>
      <c r="J283" s="6"/>
      <c r="K283" s="9" t="str">
        <f aca="false">IF(OR($J283="",$J283=0),"",$I283/$J283)</f>
        <v/>
      </c>
      <c r="L283" s="9" t="str">
        <f aca="false">IF(OR($E283="",$E283=0),"",$H283/$E283)</f>
        <v/>
      </c>
      <c r="M283" s="10" t="str">
        <f aca="false">IF(OR($L283="",$L283=0),"",($I283/30)/$L283)</f>
        <v/>
      </c>
      <c r="N283" s="8"/>
      <c r="O283" s="11" t="str">
        <f aca="false">IF(OR($I283="",$N283=""),"",($I283/1000)*$N283)</f>
        <v/>
      </c>
      <c r="P283" s="12" t="str">
        <f aca="false">IF($C283="","",IFERROR(ROUND(MIN(25,($N283/Instellingen!$B$3)*25)+MIN(25,($I283/Instellingen!$B$4)*25)+MIN(25,($J283/Instellingen!$B$5)*25)+MIN(25,(IF($M283="",0,$M283)/Instellingen!$B$6)*25),0),""))</f>
        <v/>
      </c>
      <c r="Q283" s="13" t="str">
        <f aca="false">IF($P283="","",IF($P283&gt;=Instellingen!$B$7,"Sterke niche",IF($P283&gt;=Instellingen!$B$8,"Belofte - opvolgen",IF($P283&gt;=Instellingen!$B$9,"Zwak - twijfel","Vermijden"))))</f>
        <v/>
      </c>
      <c r="R283" s="5"/>
      <c r="T283" s="1" t="str">
        <f aca="false">IF($C283="","",IF($P283=_xlfn.MAXIFS($P$3:$P$1000,$B$3:$B$1000,$B283),"★ Cash cow – handmatig onderzoeken",""))</f>
        <v/>
      </c>
    </row>
    <row r="284" customFormat="false" ht="14.25" hidden="false" customHeight="true" outlineLevel="0" collapsed="false">
      <c r="A284" s="4"/>
      <c r="B284" s="5"/>
      <c r="C284" s="5"/>
      <c r="D284" s="5"/>
      <c r="E284" s="6"/>
      <c r="F284" s="7"/>
      <c r="G284" s="8"/>
      <c r="H284" s="7"/>
      <c r="I284" s="7"/>
      <c r="J284" s="6"/>
      <c r="K284" s="9" t="str">
        <f aca="false">IF(OR($J284="",$J284=0),"",$I284/$J284)</f>
        <v/>
      </c>
      <c r="L284" s="9" t="str">
        <f aca="false">IF(OR($E284="",$E284=0),"",$H284/$E284)</f>
        <v/>
      </c>
      <c r="M284" s="10" t="str">
        <f aca="false">IF(OR($L284="",$L284=0),"",($I284/30)/$L284)</f>
        <v/>
      </c>
      <c r="N284" s="8"/>
      <c r="O284" s="11" t="str">
        <f aca="false">IF(OR($I284="",$N284=""),"",($I284/1000)*$N284)</f>
        <v/>
      </c>
      <c r="P284" s="12" t="str">
        <f aca="false">IF($C284="","",IFERROR(ROUND(MIN(25,($N284/Instellingen!$B$3)*25)+MIN(25,($I284/Instellingen!$B$4)*25)+MIN(25,($J284/Instellingen!$B$5)*25)+MIN(25,(IF($M284="",0,$M284)/Instellingen!$B$6)*25),0),""))</f>
        <v/>
      </c>
      <c r="Q284" s="13" t="str">
        <f aca="false">IF($P284="","",IF($P284&gt;=Instellingen!$B$7,"Sterke niche",IF($P284&gt;=Instellingen!$B$8,"Belofte - opvolgen",IF($P284&gt;=Instellingen!$B$9,"Zwak - twijfel","Vermijden"))))</f>
        <v/>
      </c>
      <c r="R284" s="5"/>
      <c r="T284" s="1" t="str">
        <f aca="false">IF($C284="","",IF($P284=_xlfn.MAXIFS($P$3:$P$1000,$B$3:$B$1000,$B284),"★ Cash cow – handmatig onderzoeken",""))</f>
        <v/>
      </c>
    </row>
    <row r="285" customFormat="false" ht="14.25" hidden="false" customHeight="true" outlineLevel="0" collapsed="false">
      <c r="A285" s="4"/>
      <c r="B285" s="5"/>
      <c r="C285" s="5"/>
      <c r="D285" s="5"/>
      <c r="E285" s="6"/>
      <c r="F285" s="7"/>
      <c r="G285" s="8"/>
      <c r="H285" s="7"/>
      <c r="I285" s="7"/>
      <c r="J285" s="6"/>
      <c r="K285" s="9" t="str">
        <f aca="false">IF(OR($J285="",$J285=0),"",$I285/$J285)</f>
        <v/>
      </c>
      <c r="L285" s="9" t="str">
        <f aca="false">IF(OR($E285="",$E285=0),"",$H285/$E285)</f>
        <v/>
      </c>
      <c r="M285" s="10" t="str">
        <f aca="false">IF(OR($L285="",$L285=0),"",($I285/30)/$L285)</f>
        <v/>
      </c>
      <c r="N285" s="8"/>
      <c r="O285" s="11" t="str">
        <f aca="false">IF(OR($I285="",$N285=""),"",($I285/1000)*$N285)</f>
        <v/>
      </c>
      <c r="P285" s="12" t="str">
        <f aca="false">IF($C285="","",IFERROR(ROUND(MIN(25,($N285/Instellingen!$B$3)*25)+MIN(25,($I285/Instellingen!$B$4)*25)+MIN(25,($J285/Instellingen!$B$5)*25)+MIN(25,(IF($M285="",0,$M285)/Instellingen!$B$6)*25),0),""))</f>
        <v/>
      </c>
      <c r="Q285" s="13" t="str">
        <f aca="false">IF($P285="","",IF($P285&gt;=Instellingen!$B$7,"Sterke niche",IF($P285&gt;=Instellingen!$B$8,"Belofte - opvolgen",IF($P285&gt;=Instellingen!$B$9,"Zwak - twijfel","Vermijden"))))</f>
        <v/>
      </c>
      <c r="R285" s="5"/>
      <c r="T285" s="1" t="str">
        <f aca="false">IF($C285="","",IF($P285=_xlfn.MAXIFS($P$3:$P$1000,$B$3:$B$1000,$B285),"★ Cash cow – handmatig onderzoeken",""))</f>
        <v/>
      </c>
    </row>
    <row r="286" customFormat="false" ht="14.25" hidden="false" customHeight="true" outlineLevel="0" collapsed="false">
      <c r="A286" s="4"/>
      <c r="B286" s="5"/>
      <c r="C286" s="5"/>
      <c r="D286" s="5"/>
      <c r="E286" s="6"/>
      <c r="F286" s="7"/>
      <c r="G286" s="8"/>
      <c r="H286" s="7"/>
      <c r="I286" s="7"/>
      <c r="J286" s="6"/>
      <c r="K286" s="9" t="str">
        <f aca="false">IF(OR($J286="",$J286=0),"",$I286/$J286)</f>
        <v/>
      </c>
      <c r="L286" s="9" t="str">
        <f aca="false">IF(OR($E286="",$E286=0),"",$H286/$E286)</f>
        <v/>
      </c>
      <c r="M286" s="10" t="str">
        <f aca="false">IF(OR($L286="",$L286=0),"",($I286/30)/$L286)</f>
        <v/>
      </c>
      <c r="N286" s="8"/>
      <c r="O286" s="11" t="str">
        <f aca="false">IF(OR($I286="",$N286=""),"",($I286/1000)*$N286)</f>
        <v/>
      </c>
      <c r="P286" s="12" t="str">
        <f aca="false">IF($C286="","",IFERROR(ROUND(MIN(25,($N286/Instellingen!$B$3)*25)+MIN(25,($I286/Instellingen!$B$4)*25)+MIN(25,($J286/Instellingen!$B$5)*25)+MIN(25,(IF($M286="",0,$M286)/Instellingen!$B$6)*25),0),""))</f>
        <v/>
      </c>
      <c r="Q286" s="13" t="str">
        <f aca="false">IF($P286="","",IF($P286&gt;=Instellingen!$B$7,"Sterke niche",IF($P286&gt;=Instellingen!$B$8,"Belofte - opvolgen",IF($P286&gt;=Instellingen!$B$9,"Zwak - twijfel","Vermijden"))))</f>
        <v/>
      </c>
      <c r="R286" s="5"/>
      <c r="T286" s="1" t="str">
        <f aca="false">IF($C286="","",IF($P286=_xlfn.MAXIFS($P$3:$P$1000,$B$3:$B$1000,$B286),"★ Cash cow – handmatig onderzoeken",""))</f>
        <v/>
      </c>
    </row>
    <row r="287" customFormat="false" ht="14.25" hidden="false" customHeight="true" outlineLevel="0" collapsed="false">
      <c r="A287" s="4"/>
      <c r="B287" s="5"/>
      <c r="C287" s="5"/>
      <c r="D287" s="5"/>
      <c r="E287" s="6"/>
      <c r="F287" s="7"/>
      <c r="G287" s="8"/>
      <c r="H287" s="7"/>
      <c r="I287" s="7"/>
      <c r="J287" s="6"/>
      <c r="K287" s="9" t="str">
        <f aca="false">IF(OR($J287="",$J287=0),"",$I287/$J287)</f>
        <v/>
      </c>
      <c r="L287" s="9" t="str">
        <f aca="false">IF(OR($E287="",$E287=0),"",$H287/$E287)</f>
        <v/>
      </c>
      <c r="M287" s="10" t="str">
        <f aca="false">IF(OR($L287="",$L287=0),"",($I287/30)/$L287)</f>
        <v/>
      </c>
      <c r="N287" s="8"/>
      <c r="O287" s="11" t="str">
        <f aca="false">IF(OR($I287="",$N287=""),"",($I287/1000)*$N287)</f>
        <v/>
      </c>
      <c r="P287" s="12" t="str">
        <f aca="false">IF($C287="","",IFERROR(ROUND(MIN(25,($N287/Instellingen!$B$3)*25)+MIN(25,($I287/Instellingen!$B$4)*25)+MIN(25,($J287/Instellingen!$B$5)*25)+MIN(25,(IF($M287="",0,$M287)/Instellingen!$B$6)*25),0),""))</f>
        <v/>
      </c>
      <c r="Q287" s="13" t="str">
        <f aca="false">IF($P287="","",IF($P287&gt;=Instellingen!$B$7,"Sterke niche",IF($P287&gt;=Instellingen!$B$8,"Belofte - opvolgen",IF($P287&gt;=Instellingen!$B$9,"Zwak - twijfel","Vermijden"))))</f>
        <v/>
      </c>
      <c r="R287" s="5"/>
      <c r="T287" s="1" t="str">
        <f aca="false">IF($C287="","",IF($P287=_xlfn.MAXIFS($P$3:$P$1000,$B$3:$B$1000,$B287),"★ Cash cow – handmatig onderzoeken",""))</f>
        <v/>
      </c>
    </row>
    <row r="288" customFormat="false" ht="14.25" hidden="false" customHeight="true" outlineLevel="0" collapsed="false">
      <c r="A288" s="4"/>
      <c r="B288" s="5"/>
      <c r="C288" s="5"/>
      <c r="D288" s="5"/>
      <c r="E288" s="6"/>
      <c r="F288" s="7"/>
      <c r="G288" s="8"/>
      <c r="H288" s="7"/>
      <c r="I288" s="7"/>
      <c r="J288" s="6"/>
      <c r="K288" s="9" t="str">
        <f aca="false">IF(OR($J288="",$J288=0),"",$I288/$J288)</f>
        <v/>
      </c>
      <c r="L288" s="9" t="str">
        <f aca="false">IF(OR($E288="",$E288=0),"",$H288/$E288)</f>
        <v/>
      </c>
      <c r="M288" s="10" t="str">
        <f aca="false">IF(OR($L288="",$L288=0),"",($I288/30)/$L288)</f>
        <v/>
      </c>
      <c r="N288" s="8"/>
      <c r="O288" s="11" t="str">
        <f aca="false">IF(OR($I288="",$N288=""),"",($I288/1000)*$N288)</f>
        <v/>
      </c>
      <c r="P288" s="12" t="str">
        <f aca="false">IF($C288="","",IFERROR(ROUND(MIN(25,($N288/Instellingen!$B$3)*25)+MIN(25,($I288/Instellingen!$B$4)*25)+MIN(25,($J288/Instellingen!$B$5)*25)+MIN(25,(IF($M288="",0,$M288)/Instellingen!$B$6)*25),0),""))</f>
        <v/>
      </c>
      <c r="Q288" s="13" t="str">
        <f aca="false">IF($P288="","",IF($P288&gt;=Instellingen!$B$7,"Sterke niche",IF($P288&gt;=Instellingen!$B$8,"Belofte - opvolgen",IF($P288&gt;=Instellingen!$B$9,"Zwak - twijfel","Vermijden"))))</f>
        <v/>
      </c>
      <c r="R288" s="5"/>
      <c r="T288" s="1" t="str">
        <f aca="false">IF($C288="","",IF($P288=_xlfn.MAXIFS($P$3:$P$1000,$B$3:$B$1000,$B288),"★ Cash cow – handmatig onderzoeken",""))</f>
        <v/>
      </c>
    </row>
    <row r="289" customFormat="false" ht="14.25" hidden="false" customHeight="true" outlineLevel="0" collapsed="false">
      <c r="A289" s="4"/>
      <c r="B289" s="5"/>
      <c r="C289" s="5"/>
      <c r="D289" s="5"/>
      <c r="E289" s="6"/>
      <c r="F289" s="7"/>
      <c r="G289" s="8"/>
      <c r="H289" s="7"/>
      <c r="I289" s="7"/>
      <c r="J289" s="6"/>
      <c r="K289" s="9" t="str">
        <f aca="false">IF(OR($J289="",$J289=0),"",$I289/$J289)</f>
        <v/>
      </c>
      <c r="L289" s="9" t="str">
        <f aca="false">IF(OR($E289="",$E289=0),"",$H289/$E289)</f>
        <v/>
      </c>
      <c r="M289" s="10" t="str">
        <f aca="false">IF(OR($L289="",$L289=0),"",($I289/30)/$L289)</f>
        <v/>
      </c>
      <c r="N289" s="8"/>
      <c r="O289" s="11" t="str">
        <f aca="false">IF(OR($I289="",$N289=""),"",($I289/1000)*$N289)</f>
        <v/>
      </c>
      <c r="P289" s="12" t="str">
        <f aca="false">IF($C289="","",IFERROR(ROUND(MIN(25,($N289/Instellingen!$B$3)*25)+MIN(25,($I289/Instellingen!$B$4)*25)+MIN(25,($J289/Instellingen!$B$5)*25)+MIN(25,(IF($M289="",0,$M289)/Instellingen!$B$6)*25),0),""))</f>
        <v/>
      </c>
      <c r="Q289" s="13" t="str">
        <f aca="false">IF($P289="","",IF($P289&gt;=Instellingen!$B$7,"Sterke niche",IF($P289&gt;=Instellingen!$B$8,"Belofte - opvolgen",IF($P289&gt;=Instellingen!$B$9,"Zwak - twijfel","Vermijden"))))</f>
        <v/>
      </c>
      <c r="R289" s="5"/>
      <c r="T289" s="1" t="str">
        <f aca="false">IF($C289="","",IF($P289=_xlfn.MAXIFS($P$3:$P$1000,$B$3:$B$1000,$B289),"★ Cash cow – handmatig onderzoeken",""))</f>
        <v/>
      </c>
    </row>
    <row r="290" customFormat="false" ht="14.25" hidden="false" customHeight="true" outlineLevel="0" collapsed="false">
      <c r="A290" s="4"/>
      <c r="B290" s="5"/>
      <c r="C290" s="5"/>
      <c r="D290" s="5"/>
      <c r="E290" s="6"/>
      <c r="F290" s="7"/>
      <c r="G290" s="8"/>
      <c r="H290" s="7"/>
      <c r="I290" s="7"/>
      <c r="J290" s="6"/>
      <c r="K290" s="9" t="str">
        <f aca="false">IF(OR($J290="",$J290=0),"",$I290/$J290)</f>
        <v/>
      </c>
      <c r="L290" s="9" t="str">
        <f aca="false">IF(OR($E290="",$E290=0),"",$H290/$E290)</f>
        <v/>
      </c>
      <c r="M290" s="10" t="str">
        <f aca="false">IF(OR($L290="",$L290=0),"",($I290/30)/$L290)</f>
        <v/>
      </c>
      <c r="N290" s="8"/>
      <c r="O290" s="11" t="str">
        <f aca="false">IF(OR($I290="",$N290=""),"",($I290/1000)*$N290)</f>
        <v/>
      </c>
      <c r="P290" s="12" t="str">
        <f aca="false">IF($C290="","",IFERROR(ROUND(MIN(25,($N290/Instellingen!$B$3)*25)+MIN(25,($I290/Instellingen!$B$4)*25)+MIN(25,($J290/Instellingen!$B$5)*25)+MIN(25,(IF($M290="",0,$M290)/Instellingen!$B$6)*25),0),""))</f>
        <v/>
      </c>
      <c r="Q290" s="13" t="str">
        <f aca="false">IF($P290="","",IF($P290&gt;=Instellingen!$B$7,"Sterke niche",IF($P290&gt;=Instellingen!$B$8,"Belofte - opvolgen",IF($P290&gt;=Instellingen!$B$9,"Zwak - twijfel","Vermijden"))))</f>
        <v/>
      </c>
      <c r="R290" s="5"/>
      <c r="T290" s="1" t="str">
        <f aca="false">IF($C290="","",IF($P290=_xlfn.MAXIFS($P$3:$P$1000,$B$3:$B$1000,$B290),"★ Cash cow – handmatig onderzoeken",""))</f>
        <v/>
      </c>
    </row>
    <row r="291" customFormat="false" ht="14.25" hidden="false" customHeight="true" outlineLevel="0" collapsed="false">
      <c r="A291" s="4"/>
      <c r="B291" s="5"/>
      <c r="C291" s="5"/>
      <c r="D291" s="5"/>
      <c r="E291" s="6"/>
      <c r="F291" s="7"/>
      <c r="G291" s="8"/>
      <c r="H291" s="7"/>
      <c r="I291" s="7"/>
      <c r="J291" s="6"/>
      <c r="K291" s="9" t="str">
        <f aca="false">IF(OR($J291="",$J291=0),"",$I291/$J291)</f>
        <v/>
      </c>
      <c r="L291" s="9" t="str">
        <f aca="false">IF(OR($E291="",$E291=0),"",$H291/$E291)</f>
        <v/>
      </c>
      <c r="M291" s="10" t="str">
        <f aca="false">IF(OR($L291="",$L291=0),"",($I291/30)/$L291)</f>
        <v/>
      </c>
      <c r="N291" s="8"/>
      <c r="O291" s="11" t="str">
        <f aca="false">IF(OR($I291="",$N291=""),"",($I291/1000)*$N291)</f>
        <v/>
      </c>
      <c r="P291" s="12" t="str">
        <f aca="false">IF($C291="","",IFERROR(ROUND(MIN(25,($N291/Instellingen!$B$3)*25)+MIN(25,($I291/Instellingen!$B$4)*25)+MIN(25,($J291/Instellingen!$B$5)*25)+MIN(25,(IF($M291="",0,$M291)/Instellingen!$B$6)*25),0),""))</f>
        <v/>
      </c>
      <c r="Q291" s="13" t="str">
        <f aca="false">IF($P291="","",IF($P291&gt;=Instellingen!$B$7,"Sterke niche",IF($P291&gt;=Instellingen!$B$8,"Belofte - opvolgen",IF($P291&gt;=Instellingen!$B$9,"Zwak - twijfel","Vermijden"))))</f>
        <v/>
      </c>
      <c r="R291" s="5"/>
      <c r="T291" s="1" t="str">
        <f aca="false">IF($C291="","",IF($P291=_xlfn.MAXIFS($P$3:$P$1000,$B$3:$B$1000,$B291),"★ Cash cow – handmatig onderzoeken",""))</f>
        <v/>
      </c>
    </row>
    <row r="292" customFormat="false" ht="14.25" hidden="false" customHeight="true" outlineLevel="0" collapsed="false">
      <c r="A292" s="4"/>
      <c r="B292" s="5"/>
      <c r="C292" s="5"/>
      <c r="D292" s="5"/>
      <c r="E292" s="6"/>
      <c r="F292" s="7"/>
      <c r="G292" s="8"/>
      <c r="H292" s="7"/>
      <c r="I292" s="7"/>
      <c r="J292" s="6"/>
      <c r="K292" s="9" t="str">
        <f aca="false">IF(OR($J292="",$J292=0),"",$I292/$J292)</f>
        <v/>
      </c>
      <c r="L292" s="9" t="str">
        <f aca="false">IF(OR($E292="",$E292=0),"",$H292/$E292)</f>
        <v/>
      </c>
      <c r="M292" s="10" t="str">
        <f aca="false">IF(OR($L292="",$L292=0),"",($I292/30)/$L292)</f>
        <v/>
      </c>
      <c r="N292" s="8"/>
      <c r="O292" s="11" t="str">
        <f aca="false">IF(OR($I292="",$N292=""),"",($I292/1000)*$N292)</f>
        <v/>
      </c>
      <c r="P292" s="12" t="str">
        <f aca="false">IF($C292="","",IFERROR(ROUND(MIN(25,($N292/Instellingen!$B$3)*25)+MIN(25,($I292/Instellingen!$B$4)*25)+MIN(25,($J292/Instellingen!$B$5)*25)+MIN(25,(IF($M292="",0,$M292)/Instellingen!$B$6)*25),0),""))</f>
        <v/>
      </c>
      <c r="Q292" s="13" t="str">
        <f aca="false">IF($P292="","",IF($P292&gt;=Instellingen!$B$7,"Sterke niche",IF($P292&gt;=Instellingen!$B$8,"Belofte - opvolgen",IF($P292&gt;=Instellingen!$B$9,"Zwak - twijfel","Vermijden"))))</f>
        <v/>
      </c>
      <c r="R292" s="5"/>
      <c r="T292" s="1" t="str">
        <f aca="false">IF($C292="","",IF($P292=_xlfn.MAXIFS($P$3:$P$1000,$B$3:$B$1000,$B292),"★ Cash cow – handmatig onderzoeken",""))</f>
        <v/>
      </c>
    </row>
    <row r="293" customFormat="false" ht="14.25" hidden="false" customHeight="true" outlineLevel="0" collapsed="false">
      <c r="A293" s="4"/>
      <c r="B293" s="5"/>
      <c r="C293" s="5"/>
      <c r="D293" s="5"/>
      <c r="E293" s="6"/>
      <c r="F293" s="7"/>
      <c r="G293" s="8"/>
      <c r="H293" s="7"/>
      <c r="I293" s="7"/>
      <c r="J293" s="6"/>
      <c r="K293" s="9" t="str">
        <f aca="false">IF(OR($J293="",$J293=0),"",$I293/$J293)</f>
        <v/>
      </c>
      <c r="L293" s="9" t="str">
        <f aca="false">IF(OR($E293="",$E293=0),"",$H293/$E293)</f>
        <v/>
      </c>
      <c r="M293" s="10" t="str">
        <f aca="false">IF(OR($L293="",$L293=0),"",($I293/30)/$L293)</f>
        <v/>
      </c>
      <c r="N293" s="8"/>
      <c r="O293" s="11" t="str">
        <f aca="false">IF(OR($I293="",$N293=""),"",($I293/1000)*$N293)</f>
        <v/>
      </c>
      <c r="P293" s="12" t="str">
        <f aca="false">IF($C293="","",IFERROR(ROUND(MIN(25,($N293/Instellingen!$B$3)*25)+MIN(25,($I293/Instellingen!$B$4)*25)+MIN(25,($J293/Instellingen!$B$5)*25)+MIN(25,(IF($M293="",0,$M293)/Instellingen!$B$6)*25),0),""))</f>
        <v/>
      </c>
      <c r="Q293" s="13" t="str">
        <f aca="false">IF($P293="","",IF($P293&gt;=Instellingen!$B$7,"Sterke niche",IF($P293&gt;=Instellingen!$B$8,"Belofte - opvolgen",IF($P293&gt;=Instellingen!$B$9,"Zwak - twijfel","Vermijden"))))</f>
        <v/>
      </c>
      <c r="R293" s="5"/>
      <c r="T293" s="1" t="str">
        <f aca="false">IF($C293="","",IF($P293=_xlfn.MAXIFS($P$3:$P$1000,$B$3:$B$1000,$B293),"★ Cash cow – handmatig onderzoeken",""))</f>
        <v/>
      </c>
    </row>
    <row r="294" customFormat="false" ht="14.25" hidden="false" customHeight="true" outlineLevel="0" collapsed="false">
      <c r="A294" s="4"/>
      <c r="B294" s="5"/>
      <c r="C294" s="5"/>
      <c r="D294" s="5"/>
      <c r="E294" s="6"/>
      <c r="F294" s="7"/>
      <c r="G294" s="8"/>
      <c r="H294" s="7"/>
      <c r="I294" s="7"/>
      <c r="J294" s="6"/>
      <c r="K294" s="9" t="str">
        <f aca="false">IF(OR($J294="",$J294=0),"",$I294/$J294)</f>
        <v/>
      </c>
      <c r="L294" s="9" t="str">
        <f aca="false">IF(OR($E294="",$E294=0),"",$H294/$E294)</f>
        <v/>
      </c>
      <c r="M294" s="10" t="str">
        <f aca="false">IF(OR($L294="",$L294=0),"",($I294/30)/$L294)</f>
        <v/>
      </c>
      <c r="N294" s="8"/>
      <c r="O294" s="11" t="str">
        <f aca="false">IF(OR($I294="",$N294=""),"",($I294/1000)*$N294)</f>
        <v/>
      </c>
      <c r="P294" s="12" t="str">
        <f aca="false">IF($C294="","",IFERROR(ROUND(MIN(25,($N294/Instellingen!$B$3)*25)+MIN(25,($I294/Instellingen!$B$4)*25)+MIN(25,($J294/Instellingen!$B$5)*25)+MIN(25,(IF($M294="",0,$M294)/Instellingen!$B$6)*25),0),""))</f>
        <v/>
      </c>
      <c r="Q294" s="13" t="str">
        <f aca="false">IF($P294="","",IF($P294&gt;=Instellingen!$B$7,"Sterke niche",IF($P294&gt;=Instellingen!$B$8,"Belofte - opvolgen",IF($P294&gt;=Instellingen!$B$9,"Zwak - twijfel","Vermijden"))))</f>
        <v/>
      </c>
      <c r="R294" s="5"/>
      <c r="T294" s="1" t="str">
        <f aca="false">IF($C294="","",IF($P294=_xlfn.MAXIFS($P$3:$P$1000,$B$3:$B$1000,$B294),"★ Cash cow – handmatig onderzoeken",""))</f>
        <v/>
      </c>
    </row>
    <row r="295" customFormat="false" ht="14.25" hidden="false" customHeight="true" outlineLevel="0" collapsed="false">
      <c r="A295" s="4"/>
      <c r="B295" s="5"/>
      <c r="C295" s="5"/>
      <c r="D295" s="5"/>
      <c r="E295" s="6"/>
      <c r="F295" s="7"/>
      <c r="G295" s="8"/>
      <c r="H295" s="7"/>
      <c r="I295" s="7"/>
      <c r="J295" s="6"/>
      <c r="K295" s="9" t="str">
        <f aca="false">IF(OR($J295="",$J295=0),"",$I295/$J295)</f>
        <v/>
      </c>
      <c r="L295" s="9" t="str">
        <f aca="false">IF(OR($E295="",$E295=0),"",$H295/$E295)</f>
        <v/>
      </c>
      <c r="M295" s="10" t="str">
        <f aca="false">IF(OR($L295="",$L295=0),"",($I295/30)/$L295)</f>
        <v/>
      </c>
      <c r="N295" s="8"/>
      <c r="O295" s="11" t="str">
        <f aca="false">IF(OR($I295="",$N295=""),"",($I295/1000)*$N295)</f>
        <v/>
      </c>
      <c r="P295" s="12" t="str">
        <f aca="false">IF($C295="","",IFERROR(ROUND(MIN(25,($N295/Instellingen!$B$3)*25)+MIN(25,($I295/Instellingen!$B$4)*25)+MIN(25,($J295/Instellingen!$B$5)*25)+MIN(25,(IF($M295="",0,$M295)/Instellingen!$B$6)*25),0),""))</f>
        <v/>
      </c>
      <c r="Q295" s="13" t="str">
        <f aca="false">IF($P295="","",IF($P295&gt;=Instellingen!$B$7,"Sterke niche",IF($P295&gt;=Instellingen!$B$8,"Belofte - opvolgen",IF($P295&gt;=Instellingen!$B$9,"Zwak - twijfel","Vermijden"))))</f>
        <v/>
      </c>
      <c r="R295" s="5"/>
      <c r="T295" s="1" t="str">
        <f aca="false">IF($C295="","",IF($P295=_xlfn.MAXIFS($P$3:$P$1000,$B$3:$B$1000,$B295),"★ Cash cow – handmatig onderzoeken",""))</f>
        <v/>
      </c>
    </row>
    <row r="296" customFormat="false" ht="14.25" hidden="false" customHeight="true" outlineLevel="0" collapsed="false">
      <c r="A296" s="4"/>
      <c r="B296" s="5"/>
      <c r="C296" s="5"/>
      <c r="D296" s="5"/>
      <c r="E296" s="6"/>
      <c r="F296" s="7"/>
      <c r="G296" s="8"/>
      <c r="H296" s="7"/>
      <c r="I296" s="7"/>
      <c r="J296" s="6"/>
      <c r="K296" s="9" t="str">
        <f aca="false">IF(OR($J296="",$J296=0),"",$I296/$J296)</f>
        <v/>
      </c>
      <c r="L296" s="9" t="str">
        <f aca="false">IF(OR($E296="",$E296=0),"",$H296/$E296)</f>
        <v/>
      </c>
      <c r="M296" s="10" t="str">
        <f aca="false">IF(OR($L296="",$L296=0),"",($I296/30)/$L296)</f>
        <v/>
      </c>
      <c r="N296" s="8"/>
      <c r="O296" s="11" t="str">
        <f aca="false">IF(OR($I296="",$N296=""),"",($I296/1000)*$N296)</f>
        <v/>
      </c>
      <c r="P296" s="12" t="str">
        <f aca="false">IF($C296="","",IFERROR(ROUND(MIN(25,($N296/Instellingen!$B$3)*25)+MIN(25,($I296/Instellingen!$B$4)*25)+MIN(25,($J296/Instellingen!$B$5)*25)+MIN(25,(IF($M296="",0,$M296)/Instellingen!$B$6)*25),0),""))</f>
        <v/>
      </c>
      <c r="Q296" s="13" t="str">
        <f aca="false">IF($P296="","",IF($P296&gt;=Instellingen!$B$7,"Sterke niche",IF($P296&gt;=Instellingen!$B$8,"Belofte - opvolgen",IF($P296&gt;=Instellingen!$B$9,"Zwak - twijfel","Vermijden"))))</f>
        <v/>
      </c>
      <c r="R296" s="5"/>
      <c r="T296" s="1" t="str">
        <f aca="false">IF($C296="","",IF($P296=_xlfn.MAXIFS($P$3:$P$1000,$B$3:$B$1000,$B296),"★ Cash cow – handmatig onderzoeken",""))</f>
        <v/>
      </c>
    </row>
    <row r="297" customFormat="false" ht="14.25" hidden="false" customHeight="true" outlineLevel="0" collapsed="false">
      <c r="A297" s="4"/>
      <c r="B297" s="5"/>
      <c r="C297" s="5"/>
      <c r="D297" s="5"/>
      <c r="E297" s="6"/>
      <c r="F297" s="7"/>
      <c r="G297" s="8"/>
      <c r="H297" s="7"/>
      <c r="I297" s="7"/>
      <c r="J297" s="6"/>
      <c r="K297" s="9" t="str">
        <f aca="false">IF(OR($J297="",$J297=0),"",$I297/$J297)</f>
        <v/>
      </c>
      <c r="L297" s="9" t="str">
        <f aca="false">IF(OR($E297="",$E297=0),"",$H297/$E297)</f>
        <v/>
      </c>
      <c r="M297" s="10" t="str">
        <f aca="false">IF(OR($L297="",$L297=0),"",($I297/30)/$L297)</f>
        <v/>
      </c>
      <c r="N297" s="8"/>
      <c r="O297" s="11" t="str">
        <f aca="false">IF(OR($I297="",$N297=""),"",($I297/1000)*$N297)</f>
        <v/>
      </c>
      <c r="P297" s="12" t="str">
        <f aca="false">IF($C297="","",IFERROR(ROUND(MIN(25,($N297/Instellingen!$B$3)*25)+MIN(25,($I297/Instellingen!$B$4)*25)+MIN(25,($J297/Instellingen!$B$5)*25)+MIN(25,(IF($M297="",0,$M297)/Instellingen!$B$6)*25),0),""))</f>
        <v/>
      </c>
      <c r="Q297" s="13" t="str">
        <f aca="false">IF($P297="","",IF($P297&gt;=Instellingen!$B$7,"Sterke niche",IF($P297&gt;=Instellingen!$B$8,"Belofte - opvolgen",IF($P297&gt;=Instellingen!$B$9,"Zwak - twijfel","Vermijden"))))</f>
        <v/>
      </c>
      <c r="R297" s="5"/>
      <c r="T297" s="1" t="str">
        <f aca="false">IF($C297="","",IF($P297=_xlfn.MAXIFS($P$3:$P$1000,$B$3:$B$1000,$B297),"★ Cash cow – handmatig onderzoeken",""))</f>
        <v/>
      </c>
    </row>
    <row r="298" customFormat="false" ht="14.25" hidden="false" customHeight="true" outlineLevel="0" collapsed="false">
      <c r="A298" s="4"/>
      <c r="B298" s="5"/>
      <c r="C298" s="5"/>
      <c r="D298" s="5"/>
      <c r="E298" s="6"/>
      <c r="F298" s="7"/>
      <c r="G298" s="8"/>
      <c r="H298" s="7"/>
      <c r="I298" s="7"/>
      <c r="J298" s="6"/>
      <c r="K298" s="9" t="str">
        <f aca="false">IF(OR($J298="",$J298=0),"",$I298/$J298)</f>
        <v/>
      </c>
      <c r="L298" s="9" t="str">
        <f aca="false">IF(OR($E298="",$E298=0),"",$H298/$E298)</f>
        <v/>
      </c>
      <c r="M298" s="10" t="str">
        <f aca="false">IF(OR($L298="",$L298=0),"",($I298/30)/$L298)</f>
        <v/>
      </c>
      <c r="N298" s="8"/>
      <c r="O298" s="11" t="str">
        <f aca="false">IF(OR($I298="",$N298=""),"",($I298/1000)*$N298)</f>
        <v/>
      </c>
      <c r="P298" s="12" t="str">
        <f aca="false">IF($C298="","",IFERROR(ROUND(MIN(25,($N298/Instellingen!$B$3)*25)+MIN(25,($I298/Instellingen!$B$4)*25)+MIN(25,($J298/Instellingen!$B$5)*25)+MIN(25,(IF($M298="",0,$M298)/Instellingen!$B$6)*25),0),""))</f>
        <v/>
      </c>
      <c r="Q298" s="13" t="str">
        <f aca="false">IF($P298="","",IF($P298&gt;=Instellingen!$B$7,"Sterke niche",IF($P298&gt;=Instellingen!$B$8,"Belofte - opvolgen",IF($P298&gt;=Instellingen!$B$9,"Zwak - twijfel","Vermijden"))))</f>
        <v/>
      </c>
      <c r="R298" s="5"/>
      <c r="T298" s="1" t="str">
        <f aca="false">IF($C298="","",IF($P298=_xlfn.MAXIFS($P$3:$P$1000,$B$3:$B$1000,$B298),"★ Cash cow – handmatig onderzoeken",""))</f>
        <v/>
      </c>
    </row>
    <row r="299" customFormat="false" ht="14.25" hidden="false" customHeight="true" outlineLevel="0" collapsed="false">
      <c r="A299" s="4"/>
      <c r="B299" s="5"/>
      <c r="C299" s="5"/>
      <c r="D299" s="5"/>
      <c r="E299" s="6"/>
      <c r="F299" s="7"/>
      <c r="G299" s="8"/>
      <c r="H299" s="7"/>
      <c r="I299" s="7"/>
      <c r="J299" s="6"/>
      <c r="K299" s="9" t="str">
        <f aca="false">IF(OR($J299="",$J299=0),"",$I299/$J299)</f>
        <v/>
      </c>
      <c r="L299" s="9" t="str">
        <f aca="false">IF(OR($E299="",$E299=0),"",$H299/$E299)</f>
        <v/>
      </c>
      <c r="M299" s="10" t="str">
        <f aca="false">IF(OR($L299="",$L299=0),"",($I299/30)/$L299)</f>
        <v/>
      </c>
      <c r="N299" s="8"/>
      <c r="O299" s="11" t="str">
        <f aca="false">IF(OR($I299="",$N299=""),"",($I299/1000)*$N299)</f>
        <v/>
      </c>
      <c r="P299" s="12" t="str">
        <f aca="false">IF($C299="","",IFERROR(ROUND(MIN(25,($N299/Instellingen!$B$3)*25)+MIN(25,($I299/Instellingen!$B$4)*25)+MIN(25,($J299/Instellingen!$B$5)*25)+MIN(25,(IF($M299="",0,$M299)/Instellingen!$B$6)*25),0),""))</f>
        <v/>
      </c>
      <c r="Q299" s="13" t="str">
        <f aca="false">IF($P299="","",IF($P299&gt;=Instellingen!$B$7,"Sterke niche",IF($P299&gt;=Instellingen!$B$8,"Belofte - opvolgen",IF($P299&gt;=Instellingen!$B$9,"Zwak - twijfel","Vermijden"))))</f>
        <v/>
      </c>
      <c r="R299" s="5"/>
      <c r="T299" s="1" t="str">
        <f aca="false">IF($C299="","",IF($P299=_xlfn.MAXIFS($P$3:$P$1000,$B$3:$B$1000,$B299),"★ Cash cow – handmatig onderzoeken",""))</f>
        <v/>
      </c>
    </row>
    <row r="300" customFormat="false" ht="14.25" hidden="false" customHeight="true" outlineLevel="0" collapsed="false">
      <c r="A300" s="4"/>
      <c r="B300" s="5"/>
      <c r="C300" s="5"/>
      <c r="D300" s="5"/>
      <c r="E300" s="6"/>
      <c r="F300" s="7"/>
      <c r="G300" s="8"/>
      <c r="H300" s="7"/>
      <c r="I300" s="7"/>
      <c r="J300" s="6"/>
      <c r="K300" s="9" t="str">
        <f aca="false">IF(OR($J300="",$J300=0),"",$I300/$J300)</f>
        <v/>
      </c>
      <c r="L300" s="9" t="str">
        <f aca="false">IF(OR($E300="",$E300=0),"",$H300/$E300)</f>
        <v/>
      </c>
      <c r="M300" s="10" t="str">
        <f aca="false">IF(OR($L300="",$L300=0),"",($I300/30)/$L300)</f>
        <v/>
      </c>
      <c r="N300" s="8"/>
      <c r="O300" s="11" t="str">
        <f aca="false">IF(OR($I300="",$N300=""),"",($I300/1000)*$N300)</f>
        <v/>
      </c>
      <c r="P300" s="12" t="str">
        <f aca="false">IF($C300="","",IFERROR(ROUND(MIN(25,($N300/Instellingen!$B$3)*25)+MIN(25,($I300/Instellingen!$B$4)*25)+MIN(25,($J300/Instellingen!$B$5)*25)+MIN(25,(IF($M300="",0,$M300)/Instellingen!$B$6)*25),0),""))</f>
        <v/>
      </c>
      <c r="Q300" s="13" t="str">
        <f aca="false">IF($P300="","",IF($P300&gt;=Instellingen!$B$7,"Sterke niche",IF($P300&gt;=Instellingen!$B$8,"Belofte - opvolgen",IF($P300&gt;=Instellingen!$B$9,"Zwak - twijfel","Vermijden"))))</f>
        <v/>
      </c>
      <c r="R300" s="5"/>
      <c r="T300" s="1" t="str">
        <f aca="false">IF($C300="","",IF($P300=_xlfn.MAXIFS($P$3:$P$1000,$B$3:$B$1000,$B300),"★ Cash cow – handmatig onderzoeken",""))</f>
        <v/>
      </c>
    </row>
    <row r="301" customFormat="false" ht="14.25" hidden="false" customHeight="true" outlineLevel="0" collapsed="false">
      <c r="A301" s="4"/>
      <c r="B301" s="5"/>
      <c r="C301" s="5"/>
      <c r="D301" s="5"/>
      <c r="E301" s="6"/>
      <c r="F301" s="7"/>
      <c r="G301" s="8"/>
      <c r="H301" s="7"/>
      <c r="I301" s="7"/>
      <c r="J301" s="6"/>
      <c r="K301" s="9" t="str">
        <f aca="false">IF(OR($J301="",$J301=0),"",$I301/$J301)</f>
        <v/>
      </c>
      <c r="L301" s="9" t="str">
        <f aca="false">IF(OR($E301="",$E301=0),"",$H301/$E301)</f>
        <v/>
      </c>
      <c r="M301" s="10" t="str">
        <f aca="false">IF(OR($L301="",$L301=0),"",($I301/30)/$L301)</f>
        <v/>
      </c>
      <c r="N301" s="8"/>
      <c r="O301" s="11" t="str">
        <f aca="false">IF(OR($I301="",$N301=""),"",($I301/1000)*$N301)</f>
        <v/>
      </c>
      <c r="P301" s="12" t="str">
        <f aca="false">IF($C301="","",IFERROR(ROUND(MIN(25,($N301/Instellingen!$B$3)*25)+MIN(25,($I301/Instellingen!$B$4)*25)+MIN(25,($J301/Instellingen!$B$5)*25)+MIN(25,(IF($M301="",0,$M301)/Instellingen!$B$6)*25),0),""))</f>
        <v/>
      </c>
      <c r="Q301" s="13" t="str">
        <f aca="false">IF($P301="","",IF($P301&gt;=Instellingen!$B$7,"Sterke niche",IF($P301&gt;=Instellingen!$B$8,"Belofte - opvolgen",IF($P301&gt;=Instellingen!$B$9,"Zwak - twijfel","Vermijden"))))</f>
        <v/>
      </c>
      <c r="R301" s="5"/>
      <c r="T301" s="1" t="str">
        <f aca="false">IF($C301="","",IF($P301=_xlfn.MAXIFS($P$3:$P$1000,$B$3:$B$1000,$B301),"★ Cash cow – handmatig onderzoeken",""))</f>
        <v/>
      </c>
    </row>
    <row r="302" customFormat="false" ht="14.25" hidden="false" customHeight="true" outlineLevel="0" collapsed="false">
      <c r="A302" s="4"/>
      <c r="B302" s="5"/>
      <c r="C302" s="5"/>
      <c r="D302" s="5"/>
      <c r="E302" s="6"/>
      <c r="F302" s="7"/>
      <c r="G302" s="8"/>
      <c r="H302" s="7"/>
      <c r="I302" s="7"/>
      <c r="J302" s="6"/>
      <c r="K302" s="9" t="str">
        <f aca="false">IF(OR($J302="",$J302=0),"",$I302/$J302)</f>
        <v/>
      </c>
      <c r="L302" s="9" t="str">
        <f aca="false">IF(OR($E302="",$E302=0),"",$H302/$E302)</f>
        <v/>
      </c>
      <c r="M302" s="10" t="str">
        <f aca="false">IF(OR($L302="",$L302=0),"",($I302/30)/$L302)</f>
        <v/>
      </c>
      <c r="N302" s="8"/>
      <c r="O302" s="11" t="str">
        <f aca="false">IF(OR($I302="",$N302=""),"",($I302/1000)*$N302)</f>
        <v/>
      </c>
      <c r="P302" s="12" t="str">
        <f aca="false">IF($C302="","",IFERROR(ROUND(MIN(25,($N302/Instellingen!$B$3)*25)+MIN(25,($I302/Instellingen!$B$4)*25)+MIN(25,($J302/Instellingen!$B$5)*25)+MIN(25,(IF($M302="",0,$M302)/Instellingen!$B$6)*25),0),""))</f>
        <v/>
      </c>
      <c r="Q302" s="13" t="str">
        <f aca="false">IF($P302="","",IF($P302&gt;=Instellingen!$B$7,"Sterke niche",IF($P302&gt;=Instellingen!$B$8,"Belofte - opvolgen",IF($P302&gt;=Instellingen!$B$9,"Zwak - twijfel","Vermijden"))))</f>
        <v/>
      </c>
      <c r="R302" s="5"/>
      <c r="T302" s="1" t="str">
        <f aca="false">IF($C302="","",IF($P302=_xlfn.MAXIFS($P$3:$P$1000,$B$3:$B$1000,$B302),"★ Cash cow – handmatig onderzoeken",""))</f>
        <v/>
      </c>
    </row>
    <row r="303" customFormat="false" ht="14.25" hidden="false" customHeight="true" outlineLevel="0" collapsed="false">
      <c r="A303" s="4"/>
      <c r="B303" s="5"/>
      <c r="C303" s="5"/>
      <c r="D303" s="5"/>
      <c r="E303" s="6"/>
      <c r="F303" s="7"/>
      <c r="G303" s="8"/>
      <c r="H303" s="7"/>
      <c r="I303" s="7"/>
      <c r="J303" s="6"/>
      <c r="K303" s="9" t="str">
        <f aca="false">IF(OR($J303="",$J303=0),"",$I303/$J303)</f>
        <v/>
      </c>
      <c r="L303" s="9" t="str">
        <f aca="false">IF(OR($E303="",$E303=0),"",$H303/$E303)</f>
        <v/>
      </c>
      <c r="M303" s="10" t="str">
        <f aca="false">IF(OR($L303="",$L303=0),"",($I303/30)/$L303)</f>
        <v/>
      </c>
      <c r="N303" s="8"/>
      <c r="O303" s="11" t="str">
        <f aca="false">IF(OR($I303="",$N303=""),"",($I303/1000)*$N303)</f>
        <v/>
      </c>
      <c r="P303" s="12" t="str">
        <f aca="false">IF($C303="","",IFERROR(ROUND(MIN(25,($N303/Instellingen!$B$3)*25)+MIN(25,($I303/Instellingen!$B$4)*25)+MIN(25,($J303/Instellingen!$B$5)*25)+MIN(25,(IF($M303="",0,$M303)/Instellingen!$B$6)*25),0),""))</f>
        <v/>
      </c>
      <c r="Q303" s="13" t="str">
        <f aca="false">IF($P303="","",IF($P303&gt;=Instellingen!$B$7,"Sterke niche",IF($P303&gt;=Instellingen!$B$8,"Belofte - opvolgen",IF($P303&gt;=Instellingen!$B$9,"Zwak - twijfel","Vermijden"))))</f>
        <v/>
      </c>
      <c r="R303" s="5"/>
      <c r="T303" s="1" t="str">
        <f aca="false">IF($C303="","",IF($P303=_xlfn.MAXIFS($P$3:$P$1000,$B$3:$B$1000,$B303),"★ Cash cow – handmatig onderzoeken",""))</f>
        <v/>
      </c>
    </row>
    <row r="304" customFormat="false" ht="14.25" hidden="false" customHeight="true" outlineLevel="0" collapsed="false">
      <c r="A304" s="4"/>
      <c r="B304" s="5"/>
      <c r="C304" s="5"/>
      <c r="D304" s="5"/>
      <c r="E304" s="6"/>
      <c r="F304" s="7"/>
      <c r="G304" s="8"/>
      <c r="H304" s="7"/>
      <c r="I304" s="7"/>
      <c r="J304" s="6"/>
      <c r="K304" s="9" t="str">
        <f aca="false">IF(OR($J304="",$J304=0),"",$I304/$J304)</f>
        <v/>
      </c>
      <c r="L304" s="9" t="str">
        <f aca="false">IF(OR($E304="",$E304=0),"",$H304/$E304)</f>
        <v/>
      </c>
      <c r="M304" s="10" t="str">
        <f aca="false">IF(OR($L304="",$L304=0),"",($I304/30)/$L304)</f>
        <v/>
      </c>
      <c r="N304" s="8"/>
      <c r="O304" s="11" t="str">
        <f aca="false">IF(OR($I304="",$N304=""),"",($I304/1000)*$N304)</f>
        <v/>
      </c>
      <c r="P304" s="12" t="str">
        <f aca="false">IF($C304="","",IFERROR(ROUND(MIN(25,($N304/Instellingen!$B$3)*25)+MIN(25,($I304/Instellingen!$B$4)*25)+MIN(25,($J304/Instellingen!$B$5)*25)+MIN(25,(IF($M304="",0,$M304)/Instellingen!$B$6)*25),0),""))</f>
        <v/>
      </c>
      <c r="Q304" s="13" t="str">
        <f aca="false">IF($P304="","",IF($P304&gt;=Instellingen!$B$7,"Sterke niche",IF($P304&gt;=Instellingen!$B$8,"Belofte - opvolgen",IF($P304&gt;=Instellingen!$B$9,"Zwak - twijfel","Vermijden"))))</f>
        <v/>
      </c>
      <c r="R304" s="5"/>
      <c r="T304" s="1" t="str">
        <f aca="false">IF($C304="","",IF($P304=_xlfn.MAXIFS($P$3:$P$1000,$B$3:$B$1000,$B304),"★ Cash cow – handmatig onderzoeken",""))</f>
        <v/>
      </c>
    </row>
    <row r="305" customFormat="false" ht="14.25" hidden="false" customHeight="true" outlineLevel="0" collapsed="false">
      <c r="A305" s="4"/>
      <c r="B305" s="5"/>
      <c r="C305" s="5"/>
      <c r="D305" s="5"/>
      <c r="E305" s="6"/>
      <c r="F305" s="7"/>
      <c r="G305" s="8"/>
      <c r="H305" s="7"/>
      <c r="I305" s="7"/>
      <c r="J305" s="6"/>
      <c r="K305" s="9" t="str">
        <f aca="false">IF(OR($J305="",$J305=0),"",$I305/$J305)</f>
        <v/>
      </c>
      <c r="L305" s="9" t="str">
        <f aca="false">IF(OR($E305="",$E305=0),"",$H305/$E305)</f>
        <v/>
      </c>
      <c r="M305" s="10" t="str">
        <f aca="false">IF(OR($L305="",$L305=0),"",($I305/30)/$L305)</f>
        <v/>
      </c>
      <c r="N305" s="8"/>
      <c r="O305" s="11" t="str">
        <f aca="false">IF(OR($I305="",$N305=""),"",($I305/1000)*$N305)</f>
        <v/>
      </c>
      <c r="P305" s="12" t="str">
        <f aca="false">IF($C305="","",IFERROR(ROUND(MIN(25,($N305/Instellingen!$B$3)*25)+MIN(25,($I305/Instellingen!$B$4)*25)+MIN(25,($J305/Instellingen!$B$5)*25)+MIN(25,(IF($M305="",0,$M305)/Instellingen!$B$6)*25),0),""))</f>
        <v/>
      </c>
      <c r="Q305" s="13" t="str">
        <f aca="false">IF($P305="","",IF($P305&gt;=Instellingen!$B$7,"Sterke niche",IF($P305&gt;=Instellingen!$B$8,"Belofte - opvolgen",IF($P305&gt;=Instellingen!$B$9,"Zwak - twijfel","Vermijden"))))</f>
        <v/>
      </c>
      <c r="R305" s="5"/>
      <c r="T305" s="1" t="str">
        <f aca="false">IF($C305="","",IF($P305=_xlfn.MAXIFS($P$3:$P$1000,$B$3:$B$1000,$B305),"★ Cash cow – handmatig onderzoeken",""))</f>
        <v/>
      </c>
    </row>
    <row r="306" customFormat="false" ht="14.25" hidden="false" customHeight="true" outlineLevel="0" collapsed="false">
      <c r="A306" s="4"/>
      <c r="B306" s="5"/>
      <c r="C306" s="5"/>
      <c r="D306" s="5"/>
      <c r="E306" s="6"/>
      <c r="F306" s="7"/>
      <c r="G306" s="8"/>
      <c r="H306" s="7"/>
      <c r="I306" s="7"/>
      <c r="J306" s="6"/>
      <c r="K306" s="9" t="str">
        <f aca="false">IF(OR($J306="",$J306=0),"",$I306/$J306)</f>
        <v/>
      </c>
      <c r="L306" s="9" t="str">
        <f aca="false">IF(OR($E306="",$E306=0),"",$H306/$E306)</f>
        <v/>
      </c>
      <c r="M306" s="10" t="str">
        <f aca="false">IF(OR($L306="",$L306=0),"",($I306/30)/$L306)</f>
        <v/>
      </c>
      <c r="N306" s="8"/>
      <c r="O306" s="11" t="str">
        <f aca="false">IF(OR($I306="",$N306=""),"",($I306/1000)*$N306)</f>
        <v/>
      </c>
      <c r="P306" s="12" t="str">
        <f aca="false">IF($C306="","",IFERROR(ROUND(MIN(25,($N306/Instellingen!$B$3)*25)+MIN(25,($I306/Instellingen!$B$4)*25)+MIN(25,($J306/Instellingen!$B$5)*25)+MIN(25,(IF($M306="",0,$M306)/Instellingen!$B$6)*25),0),""))</f>
        <v/>
      </c>
      <c r="Q306" s="13" t="str">
        <f aca="false">IF($P306="","",IF($P306&gt;=Instellingen!$B$7,"Sterke niche",IF($P306&gt;=Instellingen!$B$8,"Belofte - opvolgen",IF($P306&gt;=Instellingen!$B$9,"Zwak - twijfel","Vermijden"))))</f>
        <v/>
      </c>
      <c r="R306" s="5"/>
      <c r="T306" s="1" t="str">
        <f aca="false">IF($C306="","",IF($P306=_xlfn.MAXIFS($P$3:$P$1000,$B$3:$B$1000,$B306),"★ Cash cow – handmatig onderzoeken",""))</f>
        <v/>
      </c>
    </row>
    <row r="307" customFormat="false" ht="14.25" hidden="false" customHeight="true" outlineLevel="0" collapsed="false">
      <c r="A307" s="4"/>
      <c r="B307" s="5"/>
      <c r="C307" s="5"/>
      <c r="D307" s="5"/>
      <c r="E307" s="6"/>
      <c r="F307" s="7"/>
      <c r="G307" s="8"/>
      <c r="H307" s="7"/>
      <c r="I307" s="7"/>
      <c r="J307" s="6"/>
      <c r="K307" s="9" t="str">
        <f aca="false">IF(OR($J307="",$J307=0),"",$I307/$J307)</f>
        <v/>
      </c>
      <c r="L307" s="9" t="str">
        <f aca="false">IF(OR($E307="",$E307=0),"",$H307/$E307)</f>
        <v/>
      </c>
      <c r="M307" s="10" t="str">
        <f aca="false">IF(OR($L307="",$L307=0),"",($I307/30)/$L307)</f>
        <v/>
      </c>
      <c r="N307" s="8"/>
      <c r="O307" s="11" t="str">
        <f aca="false">IF(OR($I307="",$N307=""),"",($I307/1000)*$N307)</f>
        <v/>
      </c>
      <c r="P307" s="12" t="str">
        <f aca="false">IF($C307="","",IFERROR(ROUND(MIN(25,($N307/Instellingen!$B$3)*25)+MIN(25,($I307/Instellingen!$B$4)*25)+MIN(25,($J307/Instellingen!$B$5)*25)+MIN(25,(IF($M307="",0,$M307)/Instellingen!$B$6)*25),0),""))</f>
        <v/>
      </c>
      <c r="Q307" s="13" t="str">
        <f aca="false">IF($P307="","",IF($P307&gt;=Instellingen!$B$7,"Sterke niche",IF($P307&gt;=Instellingen!$B$8,"Belofte - opvolgen",IF($P307&gt;=Instellingen!$B$9,"Zwak - twijfel","Vermijden"))))</f>
        <v/>
      </c>
      <c r="R307" s="5"/>
      <c r="T307" s="1" t="str">
        <f aca="false">IF($C307="","",IF($P307=_xlfn.MAXIFS($P$3:$P$1000,$B$3:$B$1000,$B307),"★ Cash cow – handmatig onderzoeken",""))</f>
        <v/>
      </c>
    </row>
    <row r="308" customFormat="false" ht="14.25" hidden="false" customHeight="true" outlineLevel="0" collapsed="false">
      <c r="A308" s="4"/>
      <c r="B308" s="5"/>
      <c r="C308" s="5"/>
      <c r="D308" s="5"/>
      <c r="E308" s="6"/>
      <c r="F308" s="7"/>
      <c r="G308" s="8"/>
      <c r="H308" s="7"/>
      <c r="I308" s="7"/>
      <c r="J308" s="6"/>
      <c r="K308" s="9" t="str">
        <f aca="false">IF(OR($J308="",$J308=0),"",$I308/$J308)</f>
        <v/>
      </c>
      <c r="L308" s="9" t="str">
        <f aca="false">IF(OR($E308="",$E308=0),"",$H308/$E308)</f>
        <v/>
      </c>
      <c r="M308" s="10" t="str">
        <f aca="false">IF(OR($L308="",$L308=0),"",($I308/30)/$L308)</f>
        <v/>
      </c>
      <c r="N308" s="8"/>
      <c r="O308" s="11" t="str">
        <f aca="false">IF(OR($I308="",$N308=""),"",($I308/1000)*$N308)</f>
        <v/>
      </c>
      <c r="P308" s="12" t="str">
        <f aca="false">IF($C308="","",IFERROR(ROUND(MIN(25,($N308/Instellingen!$B$3)*25)+MIN(25,($I308/Instellingen!$B$4)*25)+MIN(25,($J308/Instellingen!$B$5)*25)+MIN(25,(IF($M308="",0,$M308)/Instellingen!$B$6)*25),0),""))</f>
        <v/>
      </c>
      <c r="Q308" s="13" t="str">
        <f aca="false">IF($P308="","",IF($P308&gt;=Instellingen!$B$7,"Sterke niche",IF($P308&gt;=Instellingen!$B$8,"Belofte - opvolgen",IF($P308&gt;=Instellingen!$B$9,"Zwak - twijfel","Vermijden"))))</f>
        <v/>
      </c>
      <c r="R308" s="5"/>
      <c r="T308" s="1" t="str">
        <f aca="false">IF($C308="","",IF($P308=_xlfn.MAXIFS($P$3:$P$1000,$B$3:$B$1000,$B308),"★ Cash cow – handmatig onderzoeken",""))</f>
        <v/>
      </c>
    </row>
    <row r="309" customFormat="false" ht="14.25" hidden="false" customHeight="true" outlineLevel="0" collapsed="false">
      <c r="A309" s="4"/>
      <c r="B309" s="5"/>
      <c r="C309" s="5"/>
      <c r="D309" s="5"/>
      <c r="E309" s="6"/>
      <c r="F309" s="7"/>
      <c r="G309" s="8"/>
      <c r="H309" s="7"/>
      <c r="I309" s="7"/>
      <c r="J309" s="6"/>
      <c r="K309" s="9" t="str">
        <f aca="false">IF(OR($J309="",$J309=0),"",$I309/$J309)</f>
        <v/>
      </c>
      <c r="L309" s="9" t="str">
        <f aca="false">IF(OR($E309="",$E309=0),"",$H309/$E309)</f>
        <v/>
      </c>
      <c r="M309" s="10" t="str">
        <f aca="false">IF(OR($L309="",$L309=0),"",($I309/30)/$L309)</f>
        <v/>
      </c>
      <c r="N309" s="8"/>
      <c r="O309" s="11" t="str">
        <f aca="false">IF(OR($I309="",$N309=""),"",($I309/1000)*$N309)</f>
        <v/>
      </c>
      <c r="P309" s="12" t="str">
        <f aca="false">IF($C309="","",IFERROR(ROUND(MIN(25,($N309/Instellingen!$B$3)*25)+MIN(25,($I309/Instellingen!$B$4)*25)+MIN(25,($J309/Instellingen!$B$5)*25)+MIN(25,(IF($M309="",0,$M309)/Instellingen!$B$6)*25),0),""))</f>
        <v/>
      </c>
      <c r="Q309" s="13" t="str">
        <f aca="false">IF($P309="","",IF($P309&gt;=Instellingen!$B$7,"Sterke niche",IF($P309&gt;=Instellingen!$B$8,"Belofte - opvolgen",IF($P309&gt;=Instellingen!$B$9,"Zwak - twijfel","Vermijden"))))</f>
        <v/>
      </c>
      <c r="R309" s="5"/>
      <c r="T309" s="1" t="str">
        <f aca="false">IF($C309="","",IF($P309=_xlfn.MAXIFS($P$3:$P$1000,$B$3:$B$1000,$B309),"★ Cash cow – handmatig onderzoeken",""))</f>
        <v/>
      </c>
    </row>
    <row r="310" customFormat="false" ht="14.25" hidden="false" customHeight="true" outlineLevel="0" collapsed="false">
      <c r="A310" s="4"/>
      <c r="B310" s="5"/>
      <c r="C310" s="5"/>
      <c r="D310" s="5"/>
      <c r="E310" s="6"/>
      <c r="F310" s="7"/>
      <c r="G310" s="8"/>
      <c r="H310" s="7"/>
      <c r="I310" s="7"/>
      <c r="J310" s="6"/>
      <c r="K310" s="9" t="str">
        <f aca="false">IF(OR($J310="",$J310=0),"",$I310/$J310)</f>
        <v/>
      </c>
      <c r="L310" s="9" t="str">
        <f aca="false">IF(OR($E310="",$E310=0),"",$H310/$E310)</f>
        <v/>
      </c>
      <c r="M310" s="10" t="str">
        <f aca="false">IF(OR($L310="",$L310=0),"",($I310/30)/$L310)</f>
        <v/>
      </c>
      <c r="N310" s="8"/>
      <c r="O310" s="11" t="str">
        <f aca="false">IF(OR($I310="",$N310=""),"",($I310/1000)*$N310)</f>
        <v/>
      </c>
      <c r="P310" s="12" t="str">
        <f aca="false">IF($C310="","",IFERROR(ROUND(MIN(25,($N310/Instellingen!$B$3)*25)+MIN(25,($I310/Instellingen!$B$4)*25)+MIN(25,($J310/Instellingen!$B$5)*25)+MIN(25,(IF($M310="",0,$M310)/Instellingen!$B$6)*25),0),""))</f>
        <v/>
      </c>
      <c r="Q310" s="13" t="str">
        <f aca="false">IF($P310="","",IF($P310&gt;=Instellingen!$B$7,"Sterke niche",IF($P310&gt;=Instellingen!$B$8,"Belofte - opvolgen",IF($P310&gt;=Instellingen!$B$9,"Zwak - twijfel","Vermijden"))))</f>
        <v/>
      </c>
      <c r="R310" s="5"/>
      <c r="T310" s="1" t="str">
        <f aca="false">IF($C310="","",IF($P310=_xlfn.MAXIFS($P$3:$P$1000,$B$3:$B$1000,$B310),"★ Cash cow – handmatig onderzoeken",""))</f>
        <v/>
      </c>
    </row>
    <row r="311" customFormat="false" ht="14.25" hidden="false" customHeight="true" outlineLevel="0" collapsed="false">
      <c r="A311" s="4"/>
      <c r="B311" s="5"/>
      <c r="C311" s="5"/>
      <c r="D311" s="5"/>
      <c r="E311" s="6"/>
      <c r="F311" s="7"/>
      <c r="G311" s="8"/>
      <c r="H311" s="7"/>
      <c r="I311" s="7"/>
      <c r="J311" s="6"/>
      <c r="K311" s="9" t="str">
        <f aca="false">IF(OR($J311="",$J311=0),"",$I311/$J311)</f>
        <v/>
      </c>
      <c r="L311" s="9" t="str">
        <f aca="false">IF(OR($E311="",$E311=0),"",$H311/$E311)</f>
        <v/>
      </c>
      <c r="M311" s="10" t="str">
        <f aca="false">IF(OR($L311="",$L311=0),"",($I311/30)/$L311)</f>
        <v/>
      </c>
      <c r="N311" s="8"/>
      <c r="O311" s="11" t="str">
        <f aca="false">IF(OR($I311="",$N311=""),"",($I311/1000)*$N311)</f>
        <v/>
      </c>
      <c r="P311" s="12" t="str">
        <f aca="false">IF($C311="","",IFERROR(ROUND(MIN(25,($N311/Instellingen!$B$3)*25)+MIN(25,($I311/Instellingen!$B$4)*25)+MIN(25,($J311/Instellingen!$B$5)*25)+MIN(25,(IF($M311="",0,$M311)/Instellingen!$B$6)*25),0),""))</f>
        <v/>
      </c>
      <c r="Q311" s="13" t="str">
        <f aca="false">IF($P311="","",IF($P311&gt;=Instellingen!$B$7,"Sterke niche",IF($P311&gt;=Instellingen!$B$8,"Belofte - opvolgen",IF($P311&gt;=Instellingen!$B$9,"Zwak - twijfel","Vermijden"))))</f>
        <v/>
      </c>
      <c r="R311" s="5"/>
      <c r="T311" s="1" t="str">
        <f aca="false">IF($C311="","",IF($P311=_xlfn.MAXIFS($P$3:$P$1000,$B$3:$B$1000,$B311),"★ Cash cow – handmatig onderzoeken",""))</f>
        <v/>
      </c>
    </row>
    <row r="312" customFormat="false" ht="14.25" hidden="false" customHeight="true" outlineLevel="0" collapsed="false">
      <c r="A312" s="4"/>
      <c r="B312" s="5"/>
      <c r="C312" s="5"/>
      <c r="D312" s="5"/>
      <c r="E312" s="6"/>
      <c r="F312" s="7"/>
      <c r="G312" s="8"/>
      <c r="H312" s="7"/>
      <c r="I312" s="7"/>
      <c r="J312" s="6"/>
      <c r="K312" s="9" t="str">
        <f aca="false">IF(OR($J312="",$J312=0),"",$I312/$J312)</f>
        <v/>
      </c>
      <c r="L312" s="9" t="str">
        <f aca="false">IF(OR($E312="",$E312=0),"",$H312/$E312)</f>
        <v/>
      </c>
      <c r="M312" s="10" t="str">
        <f aca="false">IF(OR($L312="",$L312=0),"",($I312/30)/$L312)</f>
        <v/>
      </c>
      <c r="N312" s="8"/>
      <c r="O312" s="11" t="str">
        <f aca="false">IF(OR($I312="",$N312=""),"",($I312/1000)*$N312)</f>
        <v/>
      </c>
      <c r="P312" s="12" t="str">
        <f aca="false">IF($C312="","",IFERROR(ROUND(MIN(25,($N312/Instellingen!$B$3)*25)+MIN(25,($I312/Instellingen!$B$4)*25)+MIN(25,($J312/Instellingen!$B$5)*25)+MIN(25,(IF($M312="",0,$M312)/Instellingen!$B$6)*25),0),""))</f>
        <v/>
      </c>
      <c r="Q312" s="13" t="str">
        <f aca="false">IF($P312="","",IF($P312&gt;=Instellingen!$B$7,"Sterke niche",IF($P312&gt;=Instellingen!$B$8,"Belofte - opvolgen",IF($P312&gt;=Instellingen!$B$9,"Zwak - twijfel","Vermijden"))))</f>
        <v/>
      </c>
      <c r="R312" s="5"/>
      <c r="T312" s="1" t="str">
        <f aca="false">IF($C312="","",IF($P312=_xlfn.MAXIFS($P$3:$P$1000,$B$3:$B$1000,$B312),"★ Cash cow – handmatig onderzoeken",""))</f>
        <v/>
      </c>
    </row>
    <row r="313" customFormat="false" ht="14.25" hidden="false" customHeight="true" outlineLevel="0" collapsed="false">
      <c r="A313" s="4"/>
      <c r="B313" s="5"/>
      <c r="C313" s="5"/>
      <c r="D313" s="5"/>
      <c r="E313" s="6"/>
      <c r="F313" s="7"/>
      <c r="G313" s="8"/>
      <c r="H313" s="7"/>
      <c r="I313" s="7"/>
      <c r="J313" s="6"/>
      <c r="K313" s="9" t="str">
        <f aca="false">IF(OR($J313="",$J313=0),"",$I313/$J313)</f>
        <v/>
      </c>
      <c r="L313" s="9" t="str">
        <f aca="false">IF(OR($E313="",$E313=0),"",$H313/$E313)</f>
        <v/>
      </c>
      <c r="M313" s="10" t="str">
        <f aca="false">IF(OR($L313="",$L313=0),"",($I313/30)/$L313)</f>
        <v/>
      </c>
      <c r="N313" s="8"/>
      <c r="O313" s="11" t="str">
        <f aca="false">IF(OR($I313="",$N313=""),"",($I313/1000)*$N313)</f>
        <v/>
      </c>
      <c r="P313" s="12" t="str">
        <f aca="false">IF($C313="","",IFERROR(ROUND(MIN(25,($N313/Instellingen!$B$3)*25)+MIN(25,($I313/Instellingen!$B$4)*25)+MIN(25,($J313/Instellingen!$B$5)*25)+MIN(25,(IF($M313="",0,$M313)/Instellingen!$B$6)*25),0),""))</f>
        <v/>
      </c>
      <c r="Q313" s="13" t="str">
        <f aca="false">IF($P313="","",IF($P313&gt;=Instellingen!$B$7,"Sterke niche",IF($P313&gt;=Instellingen!$B$8,"Belofte - opvolgen",IF($P313&gt;=Instellingen!$B$9,"Zwak - twijfel","Vermijden"))))</f>
        <v/>
      </c>
      <c r="R313" s="5"/>
      <c r="T313" s="1" t="str">
        <f aca="false">IF($C313="","",IF($P313=_xlfn.MAXIFS($P$3:$P$1000,$B$3:$B$1000,$B313),"★ Cash cow – handmatig onderzoeken",""))</f>
        <v/>
      </c>
    </row>
    <row r="314" customFormat="false" ht="14.25" hidden="false" customHeight="true" outlineLevel="0" collapsed="false">
      <c r="A314" s="4"/>
      <c r="B314" s="5"/>
      <c r="C314" s="5"/>
      <c r="D314" s="5"/>
      <c r="E314" s="6"/>
      <c r="F314" s="7"/>
      <c r="G314" s="8"/>
      <c r="H314" s="7"/>
      <c r="I314" s="7"/>
      <c r="J314" s="6"/>
      <c r="K314" s="9" t="str">
        <f aca="false">IF(OR($J314="",$J314=0),"",$I314/$J314)</f>
        <v/>
      </c>
      <c r="L314" s="9" t="str">
        <f aca="false">IF(OR($E314="",$E314=0),"",$H314/$E314)</f>
        <v/>
      </c>
      <c r="M314" s="10" t="str">
        <f aca="false">IF(OR($L314="",$L314=0),"",($I314/30)/$L314)</f>
        <v/>
      </c>
      <c r="N314" s="8"/>
      <c r="O314" s="11" t="str">
        <f aca="false">IF(OR($I314="",$N314=""),"",($I314/1000)*$N314)</f>
        <v/>
      </c>
      <c r="P314" s="12" t="str">
        <f aca="false">IF($C314="","",IFERROR(ROUND(MIN(25,($N314/Instellingen!$B$3)*25)+MIN(25,($I314/Instellingen!$B$4)*25)+MIN(25,($J314/Instellingen!$B$5)*25)+MIN(25,(IF($M314="",0,$M314)/Instellingen!$B$6)*25),0),""))</f>
        <v/>
      </c>
      <c r="Q314" s="13" t="str">
        <f aca="false">IF($P314="","",IF($P314&gt;=Instellingen!$B$7,"Sterke niche",IF($P314&gt;=Instellingen!$B$8,"Belofte - opvolgen",IF($P314&gt;=Instellingen!$B$9,"Zwak - twijfel","Vermijden"))))</f>
        <v/>
      </c>
      <c r="R314" s="5"/>
      <c r="T314" s="1" t="str">
        <f aca="false">IF($C314="","",IF($P314=_xlfn.MAXIFS($P$3:$P$1000,$B$3:$B$1000,$B314),"★ Cash cow – handmatig onderzoeken",""))</f>
        <v/>
      </c>
    </row>
    <row r="315" customFormat="false" ht="14.25" hidden="false" customHeight="true" outlineLevel="0" collapsed="false">
      <c r="A315" s="4"/>
      <c r="B315" s="5"/>
      <c r="C315" s="5"/>
      <c r="D315" s="5"/>
      <c r="E315" s="6"/>
      <c r="F315" s="7"/>
      <c r="G315" s="8"/>
      <c r="H315" s="7"/>
      <c r="I315" s="7"/>
      <c r="J315" s="6"/>
      <c r="K315" s="9" t="str">
        <f aca="false">IF(OR($J315="",$J315=0),"",$I315/$J315)</f>
        <v/>
      </c>
      <c r="L315" s="9" t="str">
        <f aca="false">IF(OR($E315="",$E315=0),"",$H315/$E315)</f>
        <v/>
      </c>
      <c r="M315" s="10" t="str">
        <f aca="false">IF(OR($L315="",$L315=0),"",($I315/30)/$L315)</f>
        <v/>
      </c>
      <c r="N315" s="8"/>
      <c r="O315" s="11" t="str">
        <f aca="false">IF(OR($I315="",$N315=""),"",($I315/1000)*$N315)</f>
        <v/>
      </c>
      <c r="P315" s="12" t="str">
        <f aca="false">IF($C315="","",IFERROR(ROUND(MIN(25,($N315/Instellingen!$B$3)*25)+MIN(25,($I315/Instellingen!$B$4)*25)+MIN(25,($J315/Instellingen!$B$5)*25)+MIN(25,(IF($M315="",0,$M315)/Instellingen!$B$6)*25),0),""))</f>
        <v/>
      </c>
      <c r="Q315" s="13" t="str">
        <f aca="false">IF($P315="","",IF($P315&gt;=Instellingen!$B$7,"Sterke niche",IF($P315&gt;=Instellingen!$B$8,"Belofte - opvolgen",IF($P315&gt;=Instellingen!$B$9,"Zwak - twijfel","Vermijden"))))</f>
        <v/>
      </c>
      <c r="R315" s="5"/>
      <c r="T315" s="1" t="str">
        <f aca="false">IF($C315="","",IF($P315=_xlfn.MAXIFS($P$3:$P$1000,$B$3:$B$1000,$B315),"★ Cash cow – handmatig onderzoeken",""))</f>
        <v/>
      </c>
    </row>
    <row r="316" customFormat="false" ht="14.25" hidden="false" customHeight="true" outlineLevel="0" collapsed="false">
      <c r="A316" s="4"/>
      <c r="B316" s="5"/>
      <c r="C316" s="5"/>
      <c r="D316" s="5"/>
      <c r="E316" s="6"/>
      <c r="F316" s="7"/>
      <c r="G316" s="8"/>
      <c r="H316" s="7"/>
      <c r="I316" s="7"/>
      <c r="J316" s="6"/>
      <c r="K316" s="9" t="str">
        <f aca="false">IF(OR($J316="",$J316=0),"",$I316/$J316)</f>
        <v/>
      </c>
      <c r="L316" s="9" t="str">
        <f aca="false">IF(OR($E316="",$E316=0),"",$H316/$E316)</f>
        <v/>
      </c>
      <c r="M316" s="10" t="str">
        <f aca="false">IF(OR($L316="",$L316=0),"",($I316/30)/$L316)</f>
        <v/>
      </c>
      <c r="N316" s="8"/>
      <c r="O316" s="11" t="str">
        <f aca="false">IF(OR($I316="",$N316=""),"",($I316/1000)*$N316)</f>
        <v/>
      </c>
      <c r="P316" s="12" t="str">
        <f aca="false">IF($C316="","",IFERROR(ROUND(MIN(25,($N316/Instellingen!$B$3)*25)+MIN(25,($I316/Instellingen!$B$4)*25)+MIN(25,($J316/Instellingen!$B$5)*25)+MIN(25,(IF($M316="",0,$M316)/Instellingen!$B$6)*25),0),""))</f>
        <v/>
      </c>
      <c r="Q316" s="13" t="str">
        <f aca="false">IF($P316="","",IF($P316&gt;=Instellingen!$B$7,"Sterke niche",IF($P316&gt;=Instellingen!$B$8,"Belofte - opvolgen",IF($P316&gt;=Instellingen!$B$9,"Zwak - twijfel","Vermijden"))))</f>
        <v/>
      </c>
      <c r="R316" s="5"/>
      <c r="T316" s="1" t="str">
        <f aca="false">IF($C316="","",IF($P316=_xlfn.MAXIFS($P$3:$P$1000,$B$3:$B$1000,$B316),"★ Cash cow – handmatig onderzoeken",""))</f>
        <v/>
      </c>
    </row>
    <row r="317" customFormat="false" ht="14.25" hidden="false" customHeight="true" outlineLevel="0" collapsed="false">
      <c r="A317" s="4"/>
      <c r="B317" s="5"/>
      <c r="C317" s="5"/>
      <c r="D317" s="5"/>
      <c r="E317" s="6"/>
      <c r="F317" s="7"/>
      <c r="G317" s="8"/>
      <c r="H317" s="7"/>
      <c r="I317" s="7"/>
      <c r="J317" s="6"/>
      <c r="K317" s="9" t="str">
        <f aca="false">IF(OR($J317="",$J317=0),"",$I317/$J317)</f>
        <v/>
      </c>
      <c r="L317" s="9" t="str">
        <f aca="false">IF(OR($E317="",$E317=0),"",$H317/$E317)</f>
        <v/>
      </c>
      <c r="M317" s="10" t="str">
        <f aca="false">IF(OR($L317="",$L317=0),"",($I317/30)/$L317)</f>
        <v/>
      </c>
      <c r="N317" s="8"/>
      <c r="O317" s="11" t="str">
        <f aca="false">IF(OR($I317="",$N317=""),"",($I317/1000)*$N317)</f>
        <v/>
      </c>
      <c r="P317" s="12" t="str">
        <f aca="false">IF($C317="","",IFERROR(ROUND(MIN(25,($N317/Instellingen!$B$3)*25)+MIN(25,($I317/Instellingen!$B$4)*25)+MIN(25,($J317/Instellingen!$B$5)*25)+MIN(25,(IF($M317="",0,$M317)/Instellingen!$B$6)*25),0),""))</f>
        <v/>
      </c>
      <c r="Q317" s="13" t="str">
        <f aca="false">IF($P317="","",IF($P317&gt;=Instellingen!$B$7,"Sterke niche",IF($P317&gt;=Instellingen!$B$8,"Belofte - opvolgen",IF($P317&gt;=Instellingen!$B$9,"Zwak - twijfel","Vermijden"))))</f>
        <v/>
      </c>
      <c r="R317" s="5"/>
      <c r="T317" s="1" t="str">
        <f aca="false">IF($C317="","",IF($P317=_xlfn.MAXIFS($P$3:$P$1000,$B$3:$B$1000,$B317),"★ Cash cow – handmatig onderzoeken",""))</f>
        <v/>
      </c>
    </row>
    <row r="318" customFormat="false" ht="14.25" hidden="false" customHeight="true" outlineLevel="0" collapsed="false">
      <c r="A318" s="4"/>
      <c r="B318" s="5"/>
      <c r="C318" s="5"/>
      <c r="D318" s="5"/>
      <c r="E318" s="6"/>
      <c r="F318" s="7"/>
      <c r="G318" s="8"/>
      <c r="H318" s="7"/>
      <c r="I318" s="7"/>
      <c r="J318" s="6"/>
      <c r="K318" s="9" t="str">
        <f aca="false">IF(OR($J318="",$J318=0),"",$I318/$J318)</f>
        <v/>
      </c>
      <c r="L318" s="9" t="str">
        <f aca="false">IF(OR($E318="",$E318=0),"",$H318/$E318)</f>
        <v/>
      </c>
      <c r="M318" s="10" t="str">
        <f aca="false">IF(OR($L318="",$L318=0),"",($I318/30)/$L318)</f>
        <v/>
      </c>
      <c r="N318" s="8"/>
      <c r="O318" s="11" t="str">
        <f aca="false">IF(OR($I318="",$N318=""),"",($I318/1000)*$N318)</f>
        <v/>
      </c>
      <c r="P318" s="12" t="str">
        <f aca="false">IF($C318="","",IFERROR(ROUND(MIN(25,($N318/Instellingen!$B$3)*25)+MIN(25,($I318/Instellingen!$B$4)*25)+MIN(25,($J318/Instellingen!$B$5)*25)+MIN(25,(IF($M318="",0,$M318)/Instellingen!$B$6)*25),0),""))</f>
        <v/>
      </c>
      <c r="Q318" s="13" t="str">
        <f aca="false">IF($P318="","",IF($P318&gt;=Instellingen!$B$7,"Sterke niche",IF($P318&gt;=Instellingen!$B$8,"Belofte - opvolgen",IF($P318&gt;=Instellingen!$B$9,"Zwak - twijfel","Vermijden"))))</f>
        <v/>
      </c>
      <c r="R318" s="5"/>
      <c r="T318" s="1" t="str">
        <f aca="false">IF($C318="","",IF($P318=_xlfn.MAXIFS($P$3:$P$1000,$B$3:$B$1000,$B318),"★ Cash cow – handmatig onderzoeken",""))</f>
        <v/>
      </c>
    </row>
    <row r="319" customFormat="false" ht="14.25" hidden="false" customHeight="true" outlineLevel="0" collapsed="false">
      <c r="A319" s="4"/>
      <c r="B319" s="5"/>
      <c r="C319" s="5"/>
      <c r="D319" s="5"/>
      <c r="E319" s="6"/>
      <c r="F319" s="7"/>
      <c r="G319" s="8"/>
      <c r="H319" s="7"/>
      <c r="I319" s="7"/>
      <c r="J319" s="6"/>
      <c r="K319" s="9" t="str">
        <f aca="false">IF(OR($J319="",$J319=0),"",$I319/$J319)</f>
        <v/>
      </c>
      <c r="L319" s="9" t="str">
        <f aca="false">IF(OR($E319="",$E319=0),"",$H319/$E319)</f>
        <v/>
      </c>
      <c r="M319" s="10" t="str">
        <f aca="false">IF(OR($L319="",$L319=0),"",($I319/30)/$L319)</f>
        <v/>
      </c>
      <c r="N319" s="8"/>
      <c r="O319" s="11" t="str">
        <f aca="false">IF(OR($I319="",$N319=""),"",($I319/1000)*$N319)</f>
        <v/>
      </c>
      <c r="P319" s="12" t="str">
        <f aca="false">IF($C319="","",IFERROR(ROUND(MIN(25,($N319/Instellingen!$B$3)*25)+MIN(25,($I319/Instellingen!$B$4)*25)+MIN(25,($J319/Instellingen!$B$5)*25)+MIN(25,(IF($M319="",0,$M319)/Instellingen!$B$6)*25),0),""))</f>
        <v/>
      </c>
      <c r="Q319" s="13" t="str">
        <f aca="false">IF($P319="","",IF($P319&gt;=Instellingen!$B$7,"Sterke niche",IF($P319&gt;=Instellingen!$B$8,"Belofte - opvolgen",IF($P319&gt;=Instellingen!$B$9,"Zwak - twijfel","Vermijden"))))</f>
        <v/>
      </c>
      <c r="R319" s="5"/>
      <c r="T319" s="1" t="str">
        <f aca="false">IF($C319="","",IF($P319=_xlfn.MAXIFS($P$3:$P$1000,$B$3:$B$1000,$B319),"★ Cash cow – handmatig onderzoeken",""))</f>
        <v/>
      </c>
    </row>
    <row r="320" customFormat="false" ht="14.25" hidden="false" customHeight="true" outlineLevel="0" collapsed="false">
      <c r="A320" s="4"/>
      <c r="B320" s="5"/>
      <c r="C320" s="5"/>
      <c r="D320" s="5"/>
      <c r="E320" s="6"/>
      <c r="F320" s="7"/>
      <c r="G320" s="8"/>
      <c r="H320" s="7"/>
      <c r="I320" s="7"/>
      <c r="J320" s="6"/>
      <c r="K320" s="9" t="str">
        <f aca="false">IF(OR($J320="",$J320=0),"",$I320/$J320)</f>
        <v/>
      </c>
      <c r="L320" s="9" t="str">
        <f aca="false">IF(OR($E320="",$E320=0),"",$H320/$E320)</f>
        <v/>
      </c>
      <c r="M320" s="10" t="str">
        <f aca="false">IF(OR($L320="",$L320=0),"",($I320/30)/$L320)</f>
        <v/>
      </c>
      <c r="N320" s="8"/>
      <c r="O320" s="11" t="str">
        <f aca="false">IF(OR($I320="",$N320=""),"",($I320/1000)*$N320)</f>
        <v/>
      </c>
      <c r="P320" s="12" t="str">
        <f aca="false">IF($C320="","",IFERROR(ROUND(MIN(25,($N320/Instellingen!$B$3)*25)+MIN(25,($I320/Instellingen!$B$4)*25)+MIN(25,($J320/Instellingen!$B$5)*25)+MIN(25,(IF($M320="",0,$M320)/Instellingen!$B$6)*25),0),""))</f>
        <v/>
      </c>
      <c r="Q320" s="13" t="str">
        <f aca="false">IF($P320="","",IF($P320&gt;=Instellingen!$B$7,"Sterke niche",IF($P320&gt;=Instellingen!$B$8,"Belofte - opvolgen",IF($P320&gt;=Instellingen!$B$9,"Zwak - twijfel","Vermijden"))))</f>
        <v/>
      </c>
      <c r="R320" s="5"/>
      <c r="T320" s="1" t="str">
        <f aca="false">IF($C320="","",IF($P320=_xlfn.MAXIFS($P$3:$P$1000,$B$3:$B$1000,$B320),"★ Cash cow – handmatig onderzoeken",""))</f>
        <v/>
      </c>
    </row>
    <row r="321" customFormat="false" ht="14.25" hidden="false" customHeight="true" outlineLevel="0" collapsed="false">
      <c r="A321" s="4"/>
      <c r="B321" s="5"/>
      <c r="C321" s="5"/>
      <c r="D321" s="5"/>
      <c r="E321" s="6"/>
      <c r="F321" s="7"/>
      <c r="G321" s="8"/>
      <c r="H321" s="7"/>
      <c r="I321" s="7"/>
      <c r="J321" s="6"/>
      <c r="K321" s="9" t="str">
        <f aca="false">IF(OR($J321="",$J321=0),"",$I321/$J321)</f>
        <v/>
      </c>
      <c r="L321" s="9" t="str">
        <f aca="false">IF(OR($E321="",$E321=0),"",$H321/$E321)</f>
        <v/>
      </c>
      <c r="M321" s="10" t="str">
        <f aca="false">IF(OR($L321="",$L321=0),"",($I321/30)/$L321)</f>
        <v/>
      </c>
      <c r="N321" s="8"/>
      <c r="O321" s="11" t="str">
        <f aca="false">IF(OR($I321="",$N321=""),"",($I321/1000)*$N321)</f>
        <v/>
      </c>
      <c r="P321" s="12" t="str">
        <f aca="false">IF($C321="","",IFERROR(ROUND(MIN(25,($N321/Instellingen!$B$3)*25)+MIN(25,($I321/Instellingen!$B$4)*25)+MIN(25,($J321/Instellingen!$B$5)*25)+MIN(25,(IF($M321="",0,$M321)/Instellingen!$B$6)*25),0),""))</f>
        <v/>
      </c>
      <c r="Q321" s="13" t="str">
        <f aca="false">IF($P321="","",IF($P321&gt;=Instellingen!$B$7,"Sterke niche",IF($P321&gt;=Instellingen!$B$8,"Belofte - opvolgen",IF($P321&gt;=Instellingen!$B$9,"Zwak - twijfel","Vermijden"))))</f>
        <v/>
      </c>
      <c r="R321" s="5"/>
      <c r="T321" s="1" t="str">
        <f aca="false">IF($C321="","",IF($P321=_xlfn.MAXIFS($P$3:$P$1000,$B$3:$B$1000,$B321),"★ Cash cow – handmatig onderzoeken",""))</f>
        <v/>
      </c>
    </row>
    <row r="322" customFormat="false" ht="14.25" hidden="false" customHeight="true" outlineLevel="0" collapsed="false">
      <c r="A322" s="4"/>
      <c r="B322" s="5"/>
      <c r="C322" s="5"/>
      <c r="D322" s="5"/>
      <c r="E322" s="6"/>
      <c r="F322" s="7"/>
      <c r="G322" s="8"/>
      <c r="H322" s="7"/>
      <c r="I322" s="7"/>
      <c r="J322" s="6"/>
      <c r="K322" s="9" t="str">
        <f aca="false">IF(OR($J322="",$J322=0),"",$I322/$J322)</f>
        <v/>
      </c>
      <c r="L322" s="9" t="str">
        <f aca="false">IF(OR($E322="",$E322=0),"",$H322/$E322)</f>
        <v/>
      </c>
      <c r="M322" s="10" t="str">
        <f aca="false">IF(OR($L322="",$L322=0),"",($I322/30)/$L322)</f>
        <v/>
      </c>
      <c r="N322" s="8"/>
      <c r="O322" s="11" t="str">
        <f aca="false">IF(OR($I322="",$N322=""),"",($I322/1000)*$N322)</f>
        <v/>
      </c>
      <c r="P322" s="12" t="str">
        <f aca="false">IF($C322="","",IFERROR(ROUND(MIN(25,($N322/Instellingen!$B$3)*25)+MIN(25,($I322/Instellingen!$B$4)*25)+MIN(25,($J322/Instellingen!$B$5)*25)+MIN(25,(IF($M322="",0,$M322)/Instellingen!$B$6)*25),0),""))</f>
        <v/>
      </c>
      <c r="Q322" s="13" t="str">
        <f aca="false">IF($P322="","",IF($P322&gt;=Instellingen!$B$7,"Sterke niche",IF($P322&gt;=Instellingen!$B$8,"Belofte - opvolgen",IF($P322&gt;=Instellingen!$B$9,"Zwak - twijfel","Vermijden"))))</f>
        <v/>
      </c>
      <c r="R322" s="5"/>
      <c r="T322" s="1" t="str">
        <f aca="false">IF($C322="","",IF($P322=_xlfn.MAXIFS($P$3:$P$1000,$B$3:$B$1000,$B322),"★ Cash cow – handmatig onderzoeken",""))</f>
        <v/>
      </c>
    </row>
    <row r="323" customFormat="false" ht="14.25" hidden="false" customHeight="true" outlineLevel="0" collapsed="false">
      <c r="A323" s="4"/>
      <c r="B323" s="5"/>
      <c r="C323" s="5"/>
      <c r="D323" s="5"/>
      <c r="E323" s="6"/>
      <c r="F323" s="7"/>
      <c r="G323" s="8"/>
      <c r="H323" s="7"/>
      <c r="I323" s="7"/>
      <c r="J323" s="6"/>
      <c r="K323" s="9" t="str">
        <f aca="false">IF(OR($J323="",$J323=0),"",$I323/$J323)</f>
        <v/>
      </c>
      <c r="L323" s="9" t="str">
        <f aca="false">IF(OR($E323="",$E323=0),"",$H323/$E323)</f>
        <v/>
      </c>
      <c r="M323" s="10" t="str">
        <f aca="false">IF(OR($L323="",$L323=0),"",($I323/30)/$L323)</f>
        <v/>
      </c>
      <c r="N323" s="8"/>
      <c r="O323" s="11" t="str">
        <f aca="false">IF(OR($I323="",$N323=""),"",($I323/1000)*$N323)</f>
        <v/>
      </c>
      <c r="P323" s="12" t="str">
        <f aca="false">IF($C323="","",IFERROR(ROUND(MIN(25,($N323/Instellingen!$B$3)*25)+MIN(25,($I323/Instellingen!$B$4)*25)+MIN(25,($J323/Instellingen!$B$5)*25)+MIN(25,(IF($M323="",0,$M323)/Instellingen!$B$6)*25),0),""))</f>
        <v/>
      </c>
      <c r="Q323" s="13" t="str">
        <f aca="false">IF($P323="","",IF($P323&gt;=Instellingen!$B$7,"Sterke niche",IF($P323&gt;=Instellingen!$B$8,"Belofte - opvolgen",IF($P323&gt;=Instellingen!$B$9,"Zwak - twijfel","Vermijden"))))</f>
        <v/>
      </c>
      <c r="R323" s="5"/>
      <c r="T323" s="1" t="str">
        <f aca="false">IF($C323="","",IF($P323=_xlfn.MAXIFS($P$3:$P$1000,$B$3:$B$1000,$B323),"★ Cash cow – handmatig onderzoeken",""))</f>
        <v/>
      </c>
    </row>
    <row r="324" customFormat="false" ht="14.25" hidden="false" customHeight="true" outlineLevel="0" collapsed="false">
      <c r="A324" s="4"/>
      <c r="B324" s="5"/>
      <c r="C324" s="5"/>
      <c r="D324" s="5"/>
      <c r="E324" s="6"/>
      <c r="F324" s="7"/>
      <c r="G324" s="8"/>
      <c r="H324" s="7"/>
      <c r="I324" s="7"/>
      <c r="J324" s="6"/>
      <c r="K324" s="9" t="str">
        <f aca="false">IF(OR($J324="",$J324=0),"",$I324/$J324)</f>
        <v/>
      </c>
      <c r="L324" s="9" t="str">
        <f aca="false">IF(OR($E324="",$E324=0),"",$H324/$E324)</f>
        <v/>
      </c>
      <c r="M324" s="10" t="str">
        <f aca="false">IF(OR($L324="",$L324=0),"",($I324/30)/$L324)</f>
        <v/>
      </c>
      <c r="N324" s="8"/>
      <c r="O324" s="11" t="str">
        <f aca="false">IF(OR($I324="",$N324=""),"",($I324/1000)*$N324)</f>
        <v/>
      </c>
      <c r="P324" s="12" t="str">
        <f aca="false">IF($C324="","",IFERROR(ROUND(MIN(25,($N324/Instellingen!$B$3)*25)+MIN(25,($I324/Instellingen!$B$4)*25)+MIN(25,($J324/Instellingen!$B$5)*25)+MIN(25,(IF($M324="",0,$M324)/Instellingen!$B$6)*25),0),""))</f>
        <v/>
      </c>
      <c r="Q324" s="13" t="str">
        <f aca="false">IF($P324="","",IF($P324&gt;=Instellingen!$B$7,"Sterke niche",IF($P324&gt;=Instellingen!$B$8,"Belofte - opvolgen",IF($P324&gt;=Instellingen!$B$9,"Zwak - twijfel","Vermijden"))))</f>
        <v/>
      </c>
      <c r="R324" s="5"/>
      <c r="T324" s="1" t="str">
        <f aca="false">IF($C324="","",IF($P324=_xlfn.MAXIFS($P$3:$P$1000,$B$3:$B$1000,$B324),"★ Cash cow – handmatig onderzoeken",""))</f>
        <v/>
      </c>
    </row>
    <row r="325" customFormat="false" ht="14.25" hidden="false" customHeight="true" outlineLevel="0" collapsed="false">
      <c r="A325" s="4"/>
      <c r="B325" s="5"/>
      <c r="C325" s="5"/>
      <c r="D325" s="5"/>
      <c r="E325" s="6"/>
      <c r="F325" s="7"/>
      <c r="G325" s="8"/>
      <c r="H325" s="7"/>
      <c r="I325" s="7"/>
      <c r="J325" s="6"/>
      <c r="K325" s="9" t="str">
        <f aca="false">IF(OR($J325="",$J325=0),"",$I325/$J325)</f>
        <v/>
      </c>
      <c r="L325" s="9" t="str">
        <f aca="false">IF(OR($E325="",$E325=0),"",$H325/$E325)</f>
        <v/>
      </c>
      <c r="M325" s="10" t="str">
        <f aca="false">IF(OR($L325="",$L325=0),"",($I325/30)/$L325)</f>
        <v/>
      </c>
      <c r="N325" s="8"/>
      <c r="O325" s="11" t="str">
        <f aca="false">IF(OR($I325="",$N325=""),"",($I325/1000)*$N325)</f>
        <v/>
      </c>
      <c r="P325" s="12" t="str">
        <f aca="false">IF($C325="","",IFERROR(ROUND(MIN(25,($N325/Instellingen!$B$3)*25)+MIN(25,($I325/Instellingen!$B$4)*25)+MIN(25,($J325/Instellingen!$B$5)*25)+MIN(25,(IF($M325="",0,$M325)/Instellingen!$B$6)*25),0),""))</f>
        <v/>
      </c>
      <c r="Q325" s="13" t="str">
        <f aca="false">IF($P325="","",IF($P325&gt;=Instellingen!$B$7,"Sterke niche",IF($P325&gt;=Instellingen!$B$8,"Belofte - opvolgen",IF($P325&gt;=Instellingen!$B$9,"Zwak - twijfel","Vermijden"))))</f>
        <v/>
      </c>
      <c r="R325" s="5"/>
      <c r="T325" s="1" t="str">
        <f aca="false">IF($C325="","",IF($P325=_xlfn.MAXIFS($P$3:$P$1000,$B$3:$B$1000,$B325),"★ Cash cow – handmatig onderzoeken",""))</f>
        <v/>
      </c>
    </row>
    <row r="326" customFormat="false" ht="14.25" hidden="false" customHeight="true" outlineLevel="0" collapsed="false">
      <c r="A326" s="4"/>
      <c r="B326" s="5"/>
      <c r="C326" s="5"/>
      <c r="D326" s="5"/>
      <c r="E326" s="6"/>
      <c r="F326" s="7"/>
      <c r="G326" s="8"/>
      <c r="H326" s="7"/>
      <c r="I326" s="7"/>
      <c r="J326" s="6"/>
      <c r="K326" s="9" t="str">
        <f aca="false">IF(OR($J326="",$J326=0),"",$I326/$J326)</f>
        <v/>
      </c>
      <c r="L326" s="9" t="str">
        <f aca="false">IF(OR($E326="",$E326=0),"",$H326/$E326)</f>
        <v/>
      </c>
      <c r="M326" s="10" t="str">
        <f aca="false">IF(OR($L326="",$L326=0),"",($I326/30)/$L326)</f>
        <v/>
      </c>
      <c r="N326" s="8"/>
      <c r="O326" s="11" t="str">
        <f aca="false">IF(OR($I326="",$N326=""),"",($I326/1000)*$N326)</f>
        <v/>
      </c>
      <c r="P326" s="12" t="str">
        <f aca="false">IF($C326="","",IFERROR(ROUND(MIN(25,($N326/Instellingen!$B$3)*25)+MIN(25,($I326/Instellingen!$B$4)*25)+MIN(25,($J326/Instellingen!$B$5)*25)+MIN(25,(IF($M326="",0,$M326)/Instellingen!$B$6)*25),0),""))</f>
        <v/>
      </c>
      <c r="Q326" s="13" t="str">
        <f aca="false">IF($P326="","",IF($P326&gt;=Instellingen!$B$7,"Sterke niche",IF($P326&gt;=Instellingen!$B$8,"Belofte - opvolgen",IF($P326&gt;=Instellingen!$B$9,"Zwak - twijfel","Vermijden"))))</f>
        <v/>
      </c>
      <c r="R326" s="5"/>
      <c r="T326" s="1" t="str">
        <f aca="false">IF($C326="","",IF($P326=_xlfn.MAXIFS($P$3:$P$1000,$B$3:$B$1000,$B326),"★ Cash cow – handmatig onderzoeken",""))</f>
        <v/>
      </c>
    </row>
    <row r="327" customFormat="false" ht="14.25" hidden="false" customHeight="true" outlineLevel="0" collapsed="false">
      <c r="A327" s="4"/>
      <c r="B327" s="5"/>
      <c r="C327" s="5"/>
      <c r="D327" s="5"/>
      <c r="E327" s="6"/>
      <c r="F327" s="7"/>
      <c r="G327" s="8"/>
      <c r="H327" s="7"/>
      <c r="I327" s="7"/>
      <c r="J327" s="6"/>
      <c r="K327" s="9" t="str">
        <f aca="false">IF(OR($J327="",$J327=0),"",$I327/$J327)</f>
        <v/>
      </c>
      <c r="L327" s="9" t="str">
        <f aca="false">IF(OR($E327="",$E327=0),"",$H327/$E327)</f>
        <v/>
      </c>
      <c r="M327" s="10" t="str">
        <f aca="false">IF(OR($L327="",$L327=0),"",($I327/30)/$L327)</f>
        <v/>
      </c>
      <c r="N327" s="8"/>
      <c r="O327" s="11" t="str">
        <f aca="false">IF(OR($I327="",$N327=""),"",($I327/1000)*$N327)</f>
        <v/>
      </c>
      <c r="P327" s="12" t="str">
        <f aca="false">IF($C327="","",IFERROR(ROUND(MIN(25,($N327/Instellingen!$B$3)*25)+MIN(25,($I327/Instellingen!$B$4)*25)+MIN(25,($J327/Instellingen!$B$5)*25)+MIN(25,(IF($M327="",0,$M327)/Instellingen!$B$6)*25),0),""))</f>
        <v/>
      </c>
      <c r="Q327" s="13" t="str">
        <f aca="false">IF($P327="","",IF($P327&gt;=Instellingen!$B$7,"Sterke niche",IF($P327&gt;=Instellingen!$B$8,"Belofte - opvolgen",IF($P327&gt;=Instellingen!$B$9,"Zwak - twijfel","Vermijden"))))</f>
        <v/>
      </c>
      <c r="R327" s="5"/>
      <c r="T327" s="1" t="str">
        <f aca="false">IF($C327="","",IF($P327=_xlfn.MAXIFS($P$3:$P$1000,$B$3:$B$1000,$B327),"★ Cash cow – handmatig onderzoeken",""))</f>
        <v/>
      </c>
    </row>
    <row r="328" customFormat="false" ht="14.25" hidden="false" customHeight="true" outlineLevel="0" collapsed="false">
      <c r="A328" s="4"/>
      <c r="B328" s="5"/>
      <c r="C328" s="5"/>
      <c r="D328" s="5"/>
      <c r="E328" s="6"/>
      <c r="F328" s="7"/>
      <c r="G328" s="8"/>
      <c r="H328" s="7"/>
      <c r="I328" s="7"/>
      <c r="J328" s="6"/>
      <c r="K328" s="9" t="str">
        <f aca="false">IF(OR($J328="",$J328=0),"",$I328/$J328)</f>
        <v/>
      </c>
      <c r="L328" s="9" t="str">
        <f aca="false">IF(OR($E328="",$E328=0),"",$H328/$E328)</f>
        <v/>
      </c>
      <c r="M328" s="10" t="str">
        <f aca="false">IF(OR($L328="",$L328=0),"",($I328/30)/$L328)</f>
        <v/>
      </c>
      <c r="N328" s="8"/>
      <c r="O328" s="11" t="str">
        <f aca="false">IF(OR($I328="",$N328=""),"",($I328/1000)*$N328)</f>
        <v/>
      </c>
      <c r="P328" s="12" t="str">
        <f aca="false">IF($C328="","",IFERROR(ROUND(MIN(25,($N328/Instellingen!$B$3)*25)+MIN(25,($I328/Instellingen!$B$4)*25)+MIN(25,($J328/Instellingen!$B$5)*25)+MIN(25,(IF($M328="",0,$M328)/Instellingen!$B$6)*25),0),""))</f>
        <v/>
      </c>
      <c r="Q328" s="13" t="str">
        <f aca="false">IF($P328="","",IF($P328&gt;=Instellingen!$B$7,"Sterke niche",IF($P328&gt;=Instellingen!$B$8,"Belofte - opvolgen",IF($P328&gt;=Instellingen!$B$9,"Zwak - twijfel","Vermijden"))))</f>
        <v/>
      </c>
      <c r="R328" s="5"/>
      <c r="T328" s="1" t="str">
        <f aca="false">IF($C328="","",IF($P328=_xlfn.MAXIFS($P$3:$P$1000,$B$3:$B$1000,$B328),"★ Cash cow – handmatig onderzoeken",""))</f>
        <v/>
      </c>
    </row>
    <row r="329" customFormat="false" ht="14.25" hidden="false" customHeight="true" outlineLevel="0" collapsed="false">
      <c r="A329" s="4"/>
      <c r="B329" s="5"/>
      <c r="C329" s="5"/>
      <c r="D329" s="5"/>
      <c r="E329" s="6"/>
      <c r="F329" s="7"/>
      <c r="G329" s="8"/>
      <c r="H329" s="7"/>
      <c r="I329" s="7"/>
      <c r="J329" s="6"/>
      <c r="K329" s="9" t="str">
        <f aca="false">IF(OR($J329="",$J329=0),"",$I329/$J329)</f>
        <v/>
      </c>
      <c r="L329" s="9" t="str">
        <f aca="false">IF(OR($E329="",$E329=0),"",$H329/$E329)</f>
        <v/>
      </c>
      <c r="M329" s="10" t="str">
        <f aca="false">IF(OR($L329="",$L329=0),"",($I329/30)/$L329)</f>
        <v/>
      </c>
      <c r="N329" s="8"/>
      <c r="O329" s="11" t="str">
        <f aca="false">IF(OR($I329="",$N329=""),"",($I329/1000)*$N329)</f>
        <v/>
      </c>
      <c r="P329" s="12" t="str">
        <f aca="false">IF($C329="","",IFERROR(ROUND(MIN(25,($N329/Instellingen!$B$3)*25)+MIN(25,($I329/Instellingen!$B$4)*25)+MIN(25,($J329/Instellingen!$B$5)*25)+MIN(25,(IF($M329="",0,$M329)/Instellingen!$B$6)*25),0),""))</f>
        <v/>
      </c>
      <c r="Q329" s="13" t="str">
        <f aca="false">IF($P329="","",IF($P329&gt;=Instellingen!$B$7,"Sterke niche",IF($P329&gt;=Instellingen!$B$8,"Belofte - opvolgen",IF($P329&gt;=Instellingen!$B$9,"Zwak - twijfel","Vermijden"))))</f>
        <v/>
      </c>
      <c r="R329" s="5"/>
      <c r="T329" s="1" t="str">
        <f aca="false">IF($C329="","",IF($P329=_xlfn.MAXIFS($P$3:$P$1000,$B$3:$B$1000,$B329),"★ Cash cow – handmatig onderzoeken",""))</f>
        <v/>
      </c>
    </row>
    <row r="330" customFormat="false" ht="14.25" hidden="false" customHeight="true" outlineLevel="0" collapsed="false">
      <c r="A330" s="4"/>
      <c r="B330" s="5"/>
      <c r="C330" s="5"/>
      <c r="D330" s="5"/>
      <c r="E330" s="6"/>
      <c r="F330" s="7"/>
      <c r="G330" s="8"/>
      <c r="H330" s="7"/>
      <c r="I330" s="7"/>
      <c r="J330" s="6"/>
      <c r="K330" s="9" t="str">
        <f aca="false">IF(OR($J330="",$J330=0),"",$I330/$J330)</f>
        <v/>
      </c>
      <c r="L330" s="9" t="str">
        <f aca="false">IF(OR($E330="",$E330=0),"",$H330/$E330)</f>
        <v/>
      </c>
      <c r="M330" s="10" t="str">
        <f aca="false">IF(OR($L330="",$L330=0),"",($I330/30)/$L330)</f>
        <v/>
      </c>
      <c r="N330" s="8"/>
      <c r="O330" s="11" t="str">
        <f aca="false">IF(OR($I330="",$N330=""),"",($I330/1000)*$N330)</f>
        <v/>
      </c>
      <c r="P330" s="12" t="str">
        <f aca="false">IF($C330="","",IFERROR(ROUND(MIN(25,($N330/Instellingen!$B$3)*25)+MIN(25,($I330/Instellingen!$B$4)*25)+MIN(25,($J330/Instellingen!$B$5)*25)+MIN(25,(IF($M330="",0,$M330)/Instellingen!$B$6)*25),0),""))</f>
        <v/>
      </c>
      <c r="Q330" s="13" t="str">
        <f aca="false">IF($P330="","",IF($P330&gt;=Instellingen!$B$7,"Sterke niche",IF($P330&gt;=Instellingen!$B$8,"Belofte - opvolgen",IF($P330&gt;=Instellingen!$B$9,"Zwak - twijfel","Vermijden"))))</f>
        <v/>
      </c>
      <c r="R330" s="5"/>
      <c r="T330" s="1" t="str">
        <f aca="false">IF($C330="","",IF($P330=_xlfn.MAXIFS($P$3:$P$1000,$B$3:$B$1000,$B330),"★ Cash cow – handmatig onderzoeken",""))</f>
        <v/>
      </c>
    </row>
    <row r="331" customFormat="false" ht="14.25" hidden="false" customHeight="true" outlineLevel="0" collapsed="false">
      <c r="A331" s="4"/>
      <c r="B331" s="5"/>
      <c r="C331" s="5"/>
      <c r="D331" s="5"/>
      <c r="E331" s="6"/>
      <c r="F331" s="7"/>
      <c r="G331" s="8"/>
      <c r="H331" s="7"/>
      <c r="I331" s="7"/>
      <c r="J331" s="6"/>
      <c r="K331" s="9" t="str">
        <f aca="false">IF(OR($J331="",$J331=0),"",$I331/$J331)</f>
        <v/>
      </c>
      <c r="L331" s="9" t="str">
        <f aca="false">IF(OR($E331="",$E331=0),"",$H331/$E331)</f>
        <v/>
      </c>
      <c r="M331" s="10" t="str">
        <f aca="false">IF(OR($L331="",$L331=0),"",($I331/30)/$L331)</f>
        <v/>
      </c>
      <c r="N331" s="8"/>
      <c r="O331" s="11" t="str">
        <f aca="false">IF(OR($I331="",$N331=""),"",($I331/1000)*$N331)</f>
        <v/>
      </c>
      <c r="P331" s="12" t="str">
        <f aca="false">IF($C331="","",IFERROR(ROUND(MIN(25,($N331/Instellingen!$B$3)*25)+MIN(25,($I331/Instellingen!$B$4)*25)+MIN(25,($J331/Instellingen!$B$5)*25)+MIN(25,(IF($M331="",0,$M331)/Instellingen!$B$6)*25),0),""))</f>
        <v/>
      </c>
      <c r="Q331" s="13" t="str">
        <f aca="false">IF($P331="","",IF($P331&gt;=Instellingen!$B$7,"Sterke niche",IF($P331&gt;=Instellingen!$B$8,"Belofte - opvolgen",IF($P331&gt;=Instellingen!$B$9,"Zwak - twijfel","Vermijden"))))</f>
        <v/>
      </c>
      <c r="R331" s="5"/>
      <c r="T331" s="1" t="str">
        <f aca="false">IF($C331="","",IF($P331=_xlfn.MAXIFS($P$3:$P$1000,$B$3:$B$1000,$B331),"★ Cash cow – handmatig onderzoeken",""))</f>
        <v/>
      </c>
    </row>
    <row r="332" customFormat="false" ht="14.25" hidden="false" customHeight="true" outlineLevel="0" collapsed="false">
      <c r="A332" s="4"/>
      <c r="B332" s="5"/>
      <c r="C332" s="5"/>
      <c r="D332" s="5"/>
      <c r="E332" s="6"/>
      <c r="F332" s="7"/>
      <c r="G332" s="8"/>
      <c r="H332" s="7"/>
      <c r="I332" s="7"/>
      <c r="J332" s="6"/>
      <c r="K332" s="9" t="str">
        <f aca="false">IF(OR($J332="",$J332=0),"",$I332/$J332)</f>
        <v/>
      </c>
      <c r="L332" s="9" t="str">
        <f aca="false">IF(OR($E332="",$E332=0),"",$H332/$E332)</f>
        <v/>
      </c>
      <c r="M332" s="10" t="str">
        <f aca="false">IF(OR($L332="",$L332=0),"",($I332/30)/$L332)</f>
        <v/>
      </c>
      <c r="N332" s="8"/>
      <c r="O332" s="11" t="str">
        <f aca="false">IF(OR($I332="",$N332=""),"",($I332/1000)*$N332)</f>
        <v/>
      </c>
      <c r="P332" s="12" t="str">
        <f aca="false">IF($C332="","",IFERROR(ROUND(MIN(25,($N332/Instellingen!$B$3)*25)+MIN(25,($I332/Instellingen!$B$4)*25)+MIN(25,($J332/Instellingen!$B$5)*25)+MIN(25,(IF($M332="",0,$M332)/Instellingen!$B$6)*25),0),""))</f>
        <v/>
      </c>
      <c r="Q332" s="13" t="str">
        <f aca="false">IF($P332="","",IF($P332&gt;=Instellingen!$B$7,"Sterke niche",IF($P332&gt;=Instellingen!$B$8,"Belofte - opvolgen",IF($P332&gt;=Instellingen!$B$9,"Zwak - twijfel","Vermijden"))))</f>
        <v/>
      </c>
      <c r="R332" s="5"/>
      <c r="T332" s="1" t="str">
        <f aca="false">IF($C332="","",IF($P332=_xlfn.MAXIFS($P$3:$P$1000,$B$3:$B$1000,$B332),"★ Cash cow – handmatig onderzoeken",""))</f>
        <v/>
      </c>
    </row>
    <row r="333" customFormat="false" ht="14.25" hidden="false" customHeight="true" outlineLevel="0" collapsed="false">
      <c r="A333" s="4"/>
      <c r="B333" s="5"/>
      <c r="C333" s="5"/>
      <c r="D333" s="5"/>
      <c r="E333" s="6"/>
      <c r="F333" s="7"/>
      <c r="G333" s="8"/>
      <c r="H333" s="7"/>
      <c r="I333" s="7"/>
      <c r="J333" s="6"/>
      <c r="K333" s="9" t="str">
        <f aca="false">IF(OR($J333="",$J333=0),"",$I333/$J333)</f>
        <v/>
      </c>
      <c r="L333" s="9" t="str">
        <f aca="false">IF(OR($E333="",$E333=0),"",$H333/$E333)</f>
        <v/>
      </c>
      <c r="M333" s="10" t="str">
        <f aca="false">IF(OR($L333="",$L333=0),"",($I333/30)/$L333)</f>
        <v/>
      </c>
      <c r="N333" s="8"/>
      <c r="O333" s="11" t="str">
        <f aca="false">IF(OR($I333="",$N333=""),"",($I333/1000)*$N333)</f>
        <v/>
      </c>
      <c r="P333" s="12" t="str">
        <f aca="false">IF($C333="","",IFERROR(ROUND(MIN(25,($N333/Instellingen!$B$3)*25)+MIN(25,($I333/Instellingen!$B$4)*25)+MIN(25,($J333/Instellingen!$B$5)*25)+MIN(25,(IF($M333="",0,$M333)/Instellingen!$B$6)*25),0),""))</f>
        <v/>
      </c>
      <c r="Q333" s="13" t="str">
        <f aca="false">IF($P333="","",IF($P333&gt;=Instellingen!$B$7,"Sterke niche",IF($P333&gt;=Instellingen!$B$8,"Belofte - opvolgen",IF($P333&gt;=Instellingen!$B$9,"Zwak - twijfel","Vermijden"))))</f>
        <v/>
      </c>
      <c r="R333" s="5"/>
      <c r="T333" s="1" t="str">
        <f aca="false">IF($C333="","",IF($P333=_xlfn.MAXIFS($P$3:$P$1000,$B$3:$B$1000,$B333),"★ Cash cow – handmatig onderzoeken",""))</f>
        <v/>
      </c>
    </row>
    <row r="334" customFormat="false" ht="14.25" hidden="false" customHeight="true" outlineLevel="0" collapsed="false">
      <c r="A334" s="4"/>
      <c r="B334" s="5"/>
      <c r="C334" s="5"/>
      <c r="D334" s="5"/>
      <c r="E334" s="6"/>
      <c r="F334" s="7"/>
      <c r="G334" s="8"/>
      <c r="H334" s="7"/>
      <c r="I334" s="7"/>
      <c r="J334" s="6"/>
      <c r="K334" s="9" t="str">
        <f aca="false">IF(OR($J334="",$J334=0),"",$I334/$J334)</f>
        <v/>
      </c>
      <c r="L334" s="9" t="str">
        <f aca="false">IF(OR($E334="",$E334=0),"",$H334/$E334)</f>
        <v/>
      </c>
      <c r="M334" s="10" t="str">
        <f aca="false">IF(OR($L334="",$L334=0),"",($I334/30)/$L334)</f>
        <v/>
      </c>
      <c r="N334" s="8"/>
      <c r="O334" s="11" t="str">
        <f aca="false">IF(OR($I334="",$N334=""),"",($I334/1000)*$N334)</f>
        <v/>
      </c>
      <c r="P334" s="12" t="str">
        <f aca="false">IF($C334="","",IFERROR(ROUND(MIN(25,($N334/Instellingen!$B$3)*25)+MIN(25,($I334/Instellingen!$B$4)*25)+MIN(25,($J334/Instellingen!$B$5)*25)+MIN(25,(IF($M334="",0,$M334)/Instellingen!$B$6)*25),0),""))</f>
        <v/>
      </c>
      <c r="Q334" s="13" t="str">
        <f aca="false">IF($P334="","",IF($P334&gt;=Instellingen!$B$7,"Sterke niche",IF($P334&gt;=Instellingen!$B$8,"Belofte - opvolgen",IF($P334&gt;=Instellingen!$B$9,"Zwak - twijfel","Vermijden"))))</f>
        <v/>
      </c>
      <c r="R334" s="5"/>
      <c r="T334" s="1" t="str">
        <f aca="false">IF($C334="","",IF($P334=_xlfn.MAXIFS($P$3:$P$1000,$B$3:$B$1000,$B334),"★ Cash cow – handmatig onderzoeken",""))</f>
        <v/>
      </c>
    </row>
    <row r="335" customFormat="false" ht="14.25" hidden="false" customHeight="true" outlineLevel="0" collapsed="false">
      <c r="A335" s="4"/>
      <c r="B335" s="5"/>
      <c r="C335" s="5"/>
      <c r="D335" s="5"/>
      <c r="E335" s="6"/>
      <c r="F335" s="7"/>
      <c r="G335" s="8"/>
      <c r="H335" s="7"/>
      <c r="I335" s="7"/>
      <c r="J335" s="6"/>
      <c r="K335" s="9" t="str">
        <f aca="false">IF(OR($J335="",$J335=0),"",$I335/$J335)</f>
        <v/>
      </c>
      <c r="L335" s="9" t="str">
        <f aca="false">IF(OR($E335="",$E335=0),"",$H335/$E335)</f>
        <v/>
      </c>
      <c r="M335" s="10" t="str">
        <f aca="false">IF(OR($L335="",$L335=0),"",($I335/30)/$L335)</f>
        <v/>
      </c>
      <c r="N335" s="8"/>
      <c r="O335" s="11" t="str">
        <f aca="false">IF(OR($I335="",$N335=""),"",($I335/1000)*$N335)</f>
        <v/>
      </c>
      <c r="P335" s="12" t="str">
        <f aca="false">IF($C335="","",IFERROR(ROUND(MIN(25,($N335/Instellingen!$B$3)*25)+MIN(25,($I335/Instellingen!$B$4)*25)+MIN(25,($J335/Instellingen!$B$5)*25)+MIN(25,(IF($M335="",0,$M335)/Instellingen!$B$6)*25),0),""))</f>
        <v/>
      </c>
      <c r="Q335" s="13" t="str">
        <f aca="false">IF($P335="","",IF($P335&gt;=Instellingen!$B$7,"Sterke niche",IF($P335&gt;=Instellingen!$B$8,"Belofte - opvolgen",IF($P335&gt;=Instellingen!$B$9,"Zwak - twijfel","Vermijden"))))</f>
        <v/>
      </c>
      <c r="R335" s="5"/>
      <c r="T335" s="1" t="str">
        <f aca="false">IF($C335="","",IF($P335=_xlfn.MAXIFS($P$3:$P$1000,$B$3:$B$1000,$B335),"★ Cash cow – handmatig onderzoeken",""))</f>
        <v/>
      </c>
    </row>
    <row r="336" customFormat="false" ht="14.25" hidden="false" customHeight="true" outlineLevel="0" collapsed="false">
      <c r="A336" s="4"/>
      <c r="B336" s="5"/>
      <c r="C336" s="5"/>
      <c r="D336" s="5"/>
      <c r="E336" s="6"/>
      <c r="F336" s="7"/>
      <c r="G336" s="8"/>
      <c r="H336" s="7"/>
      <c r="I336" s="7"/>
      <c r="J336" s="6"/>
      <c r="K336" s="9" t="str">
        <f aca="false">IF(OR($J336="",$J336=0),"",$I336/$J336)</f>
        <v/>
      </c>
      <c r="L336" s="9" t="str">
        <f aca="false">IF(OR($E336="",$E336=0),"",$H336/$E336)</f>
        <v/>
      </c>
      <c r="M336" s="10" t="str">
        <f aca="false">IF(OR($L336="",$L336=0),"",($I336/30)/$L336)</f>
        <v/>
      </c>
      <c r="N336" s="8"/>
      <c r="O336" s="11" t="str">
        <f aca="false">IF(OR($I336="",$N336=""),"",($I336/1000)*$N336)</f>
        <v/>
      </c>
      <c r="P336" s="12" t="str">
        <f aca="false">IF($C336="","",IFERROR(ROUND(MIN(25,($N336/Instellingen!$B$3)*25)+MIN(25,($I336/Instellingen!$B$4)*25)+MIN(25,($J336/Instellingen!$B$5)*25)+MIN(25,(IF($M336="",0,$M336)/Instellingen!$B$6)*25),0),""))</f>
        <v/>
      </c>
      <c r="Q336" s="13" t="str">
        <f aca="false">IF($P336="","",IF($P336&gt;=Instellingen!$B$7,"Sterke niche",IF($P336&gt;=Instellingen!$B$8,"Belofte - opvolgen",IF($P336&gt;=Instellingen!$B$9,"Zwak - twijfel","Vermijden"))))</f>
        <v/>
      </c>
      <c r="R336" s="5"/>
      <c r="T336" s="1" t="str">
        <f aca="false">IF($C336="","",IF($P336=_xlfn.MAXIFS($P$3:$P$1000,$B$3:$B$1000,$B336),"★ Cash cow – handmatig onderzoeken",""))</f>
        <v/>
      </c>
    </row>
    <row r="337" customFormat="false" ht="14.25" hidden="false" customHeight="true" outlineLevel="0" collapsed="false">
      <c r="A337" s="4"/>
      <c r="B337" s="5"/>
      <c r="C337" s="5"/>
      <c r="D337" s="5"/>
      <c r="E337" s="6"/>
      <c r="F337" s="7"/>
      <c r="G337" s="8"/>
      <c r="H337" s="7"/>
      <c r="I337" s="7"/>
      <c r="J337" s="6"/>
      <c r="K337" s="9" t="str">
        <f aca="false">IF(OR($J337="",$J337=0),"",$I337/$J337)</f>
        <v/>
      </c>
      <c r="L337" s="9" t="str">
        <f aca="false">IF(OR($E337="",$E337=0),"",$H337/$E337)</f>
        <v/>
      </c>
      <c r="M337" s="10" t="str">
        <f aca="false">IF(OR($L337="",$L337=0),"",($I337/30)/$L337)</f>
        <v/>
      </c>
      <c r="N337" s="8"/>
      <c r="O337" s="11" t="str">
        <f aca="false">IF(OR($I337="",$N337=""),"",($I337/1000)*$N337)</f>
        <v/>
      </c>
      <c r="P337" s="12" t="str">
        <f aca="false">IF($C337="","",IFERROR(ROUND(MIN(25,($N337/Instellingen!$B$3)*25)+MIN(25,($I337/Instellingen!$B$4)*25)+MIN(25,($J337/Instellingen!$B$5)*25)+MIN(25,(IF($M337="",0,$M337)/Instellingen!$B$6)*25),0),""))</f>
        <v/>
      </c>
      <c r="Q337" s="13" t="str">
        <f aca="false">IF($P337="","",IF($P337&gt;=Instellingen!$B$7,"Sterke niche",IF($P337&gt;=Instellingen!$B$8,"Belofte - opvolgen",IF($P337&gt;=Instellingen!$B$9,"Zwak - twijfel","Vermijden"))))</f>
        <v/>
      </c>
      <c r="R337" s="5"/>
      <c r="T337" s="1" t="str">
        <f aca="false">IF($C337="","",IF($P337=_xlfn.MAXIFS($P$3:$P$1000,$B$3:$B$1000,$B337),"★ Cash cow – handmatig onderzoeken",""))</f>
        <v/>
      </c>
    </row>
    <row r="338" customFormat="false" ht="14.25" hidden="false" customHeight="true" outlineLevel="0" collapsed="false">
      <c r="A338" s="4"/>
      <c r="B338" s="5"/>
      <c r="C338" s="5"/>
      <c r="D338" s="5"/>
      <c r="E338" s="6"/>
      <c r="F338" s="7"/>
      <c r="G338" s="8"/>
      <c r="H338" s="7"/>
      <c r="I338" s="7"/>
      <c r="J338" s="6"/>
      <c r="K338" s="9" t="str">
        <f aca="false">IF(OR($J338="",$J338=0),"",$I338/$J338)</f>
        <v/>
      </c>
      <c r="L338" s="9" t="str">
        <f aca="false">IF(OR($E338="",$E338=0),"",$H338/$E338)</f>
        <v/>
      </c>
      <c r="M338" s="10" t="str">
        <f aca="false">IF(OR($L338="",$L338=0),"",($I338/30)/$L338)</f>
        <v/>
      </c>
      <c r="N338" s="8"/>
      <c r="O338" s="11" t="str">
        <f aca="false">IF(OR($I338="",$N338=""),"",($I338/1000)*$N338)</f>
        <v/>
      </c>
      <c r="P338" s="12" t="str">
        <f aca="false">IF($C338="","",IFERROR(ROUND(MIN(25,($N338/Instellingen!$B$3)*25)+MIN(25,($I338/Instellingen!$B$4)*25)+MIN(25,($J338/Instellingen!$B$5)*25)+MIN(25,(IF($M338="",0,$M338)/Instellingen!$B$6)*25),0),""))</f>
        <v/>
      </c>
      <c r="Q338" s="13" t="str">
        <f aca="false">IF($P338="","",IF($P338&gt;=Instellingen!$B$7,"Sterke niche",IF($P338&gt;=Instellingen!$B$8,"Belofte - opvolgen",IF($P338&gt;=Instellingen!$B$9,"Zwak - twijfel","Vermijden"))))</f>
        <v/>
      </c>
      <c r="R338" s="5"/>
      <c r="T338" s="1" t="str">
        <f aca="false">IF($C338="","",IF($P338=_xlfn.MAXIFS($P$3:$P$1000,$B$3:$B$1000,$B338),"★ Cash cow – handmatig onderzoeken",""))</f>
        <v/>
      </c>
    </row>
    <row r="339" customFormat="false" ht="14.25" hidden="false" customHeight="true" outlineLevel="0" collapsed="false">
      <c r="A339" s="4"/>
      <c r="B339" s="5"/>
      <c r="C339" s="5"/>
      <c r="D339" s="5"/>
      <c r="E339" s="6"/>
      <c r="F339" s="7"/>
      <c r="G339" s="8"/>
      <c r="H339" s="7"/>
      <c r="I339" s="7"/>
      <c r="J339" s="6"/>
      <c r="K339" s="9" t="str">
        <f aca="false">IF(OR($J339="",$J339=0),"",$I339/$J339)</f>
        <v/>
      </c>
      <c r="L339" s="9" t="str">
        <f aca="false">IF(OR($E339="",$E339=0),"",$H339/$E339)</f>
        <v/>
      </c>
      <c r="M339" s="10" t="str">
        <f aca="false">IF(OR($L339="",$L339=0),"",($I339/30)/$L339)</f>
        <v/>
      </c>
      <c r="N339" s="8"/>
      <c r="O339" s="11" t="str">
        <f aca="false">IF(OR($I339="",$N339=""),"",($I339/1000)*$N339)</f>
        <v/>
      </c>
      <c r="P339" s="12" t="str">
        <f aca="false">IF($C339="","",IFERROR(ROUND(MIN(25,($N339/Instellingen!$B$3)*25)+MIN(25,($I339/Instellingen!$B$4)*25)+MIN(25,($J339/Instellingen!$B$5)*25)+MIN(25,(IF($M339="",0,$M339)/Instellingen!$B$6)*25),0),""))</f>
        <v/>
      </c>
      <c r="Q339" s="13" t="str">
        <f aca="false">IF($P339="","",IF($P339&gt;=Instellingen!$B$7,"Sterke niche",IF($P339&gt;=Instellingen!$B$8,"Belofte - opvolgen",IF($P339&gt;=Instellingen!$B$9,"Zwak - twijfel","Vermijden"))))</f>
        <v/>
      </c>
      <c r="R339" s="5"/>
      <c r="T339" s="1" t="str">
        <f aca="false">IF($C339="","",IF($P339=_xlfn.MAXIFS($P$3:$P$1000,$B$3:$B$1000,$B339),"★ Cash cow – handmatig onderzoeken",""))</f>
        <v/>
      </c>
    </row>
    <row r="340" customFormat="false" ht="14.25" hidden="false" customHeight="true" outlineLevel="0" collapsed="false">
      <c r="A340" s="4"/>
      <c r="B340" s="5"/>
      <c r="C340" s="5"/>
      <c r="D340" s="5"/>
      <c r="E340" s="6"/>
      <c r="F340" s="7"/>
      <c r="G340" s="8"/>
      <c r="H340" s="7"/>
      <c r="I340" s="7"/>
      <c r="J340" s="6"/>
      <c r="K340" s="9" t="str">
        <f aca="false">IF(OR($J340="",$J340=0),"",$I340/$J340)</f>
        <v/>
      </c>
      <c r="L340" s="9" t="str">
        <f aca="false">IF(OR($E340="",$E340=0),"",$H340/$E340)</f>
        <v/>
      </c>
      <c r="M340" s="10" t="str">
        <f aca="false">IF(OR($L340="",$L340=0),"",($I340/30)/$L340)</f>
        <v/>
      </c>
      <c r="N340" s="8"/>
      <c r="O340" s="11" t="str">
        <f aca="false">IF(OR($I340="",$N340=""),"",($I340/1000)*$N340)</f>
        <v/>
      </c>
      <c r="P340" s="12" t="str">
        <f aca="false">IF($C340="","",IFERROR(ROUND(MIN(25,($N340/Instellingen!$B$3)*25)+MIN(25,($I340/Instellingen!$B$4)*25)+MIN(25,($J340/Instellingen!$B$5)*25)+MIN(25,(IF($M340="",0,$M340)/Instellingen!$B$6)*25),0),""))</f>
        <v/>
      </c>
      <c r="Q340" s="13" t="str">
        <f aca="false">IF($P340="","",IF($P340&gt;=Instellingen!$B$7,"Sterke niche",IF($P340&gt;=Instellingen!$B$8,"Belofte - opvolgen",IF($P340&gt;=Instellingen!$B$9,"Zwak - twijfel","Vermijden"))))</f>
        <v/>
      </c>
      <c r="R340" s="5"/>
      <c r="T340" s="1" t="str">
        <f aca="false">IF($C340="","",IF($P340=_xlfn.MAXIFS($P$3:$P$1000,$B$3:$B$1000,$B340),"★ Cash cow – handmatig onderzoeken",""))</f>
        <v/>
      </c>
    </row>
    <row r="341" customFormat="false" ht="14.25" hidden="false" customHeight="true" outlineLevel="0" collapsed="false">
      <c r="A341" s="4"/>
      <c r="B341" s="5"/>
      <c r="C341" s="5"/>
      <c r="D341" s="5"/>
      <c r="E341" s="6"/>
      <c r="F341" s="7"/>
      <c r="G341" s="8"/>
      <c r="H341" s="7"/>
      <c r="I341" s="7"/>
      <c r="J341" s="6"/>
      <c r="K341" s="9" t="str">
        <f aca="false">IF(OR($J341="",$J341=0),"",$I341/$J341)</f>
        <v/>
      </c>
      <c r="L341" s="9" t="str">
        <f aca="false">IF(OR($E341="",$E341=0),"",$H341/$E341)</f>
        <v/>
      </c>
      <c r="M341" s="10" t="str">
        <f aca="false">IF(OR($L341="",$L341=0),"",($I341/30)/$L341)</f>
        <v/>
      </c>
      <c r="N341" s="8"/>
      <c r="O341" s="11" t="str">
        <f aca="false">IF(OR($I341="",$N341=""),"",($I341/1000)*$N341)</f>
        <v/>
      </c>
      <c r="P341" s="12" t="str">
        <f aca="false">IF($C341="","",IFERROR(ROUND(MIN(25,($N341/Instellingen!$B$3)*25)+MIN(25,($I341/Instellingen!$B$4)*25)+MIN(25,($J341/Instellingen!$B$5)*25)+MIN(25,(IF($M341="",0,$M341)/Instellingen!$B$6)*25),0),""))</f>
        <v/>
      </c>
      <c r="Q341" s="13" t="str">
        <f aca="false">IF($P341="","",IF($P341&gt;=Instellingen!$B$7,"Sterke niche",IF($P341&gt;=Instellingen!$B$8,"Belofte - opvolgen",IF($P341&gt;=Instellingen!$B$9,"Zwak - twijfel","Vermijden"))))</f>
        <v/>
      </c>
      <c r="R341" s="5"/>
      <c r="T341" s="1" t="str">
        <f aca="false">IF($C341="","",IF($P341=_xlfn.MAXIFS($P$3:$P$1000,$B$3:$B$1000,$B341),"★ Cash cow – handmatig onderzoeken",""))</f>
        <v/>
      </c>
    </row>
    <row r="342" customFormat="false" ht="14.25" hidden="false" customHeight="true" outlineLevel="0" collapsed="false">
      <c r="A342" s="4"/>
      <c r="B342" s="5"/>
      <c r="C342" s="5"/>
      <c r="D342" s="5"/>
      <c r="E342" s="6"/>
      <c r="F342" s="7"/>
      <c r="G342" s="8"/>
      <c r="H342" s="7"/>
      <c r="I342" s="7"/>
      <c r="J342" s="6"/>
      <c r="K342" s="9" t="str">
        <f aca="false">IF(OR($J342="",$J342=0),"",$I342/$J342)</f>
        <v/>
      </c>
      <c r="L342" s="9" t="str">
        <f aca="false">IF(OR($E342="",$E342=0),"",$H342/$E342)</f>
        <v/>
      </c>
      <c r="M342" s="10" t="str">
        <f aca="false">IF(OR($L342="",$L342=0),"",($I342/30)/$L342)</f>
        <v/>
      </c>
      <c r="N342" s="8"/>
      <c r="O342" s="11" t="str">
        <f aca="false">IF(OR($I342="",$N342=""),"",($I342/1000)*$N342)</f>
        <v/>
      </c>
      <c r="P342" s="12" t="str">
        <f aca="false">IF($C342="","",IFERROR(ROUND(MIN(25,($N342/Instellingen!$B$3)*25)+MIN(25,($I342/Instellingen!$B$4)*25)+MIN(25,($J342/Instellingen!$B$5)*25)+MIN(25,(IF($M342="",0,$M342)/Instellingen!$B$6)*25),0),""))</f>
        <v/>
      </c>
      <c r="Q342" s="13" t="str">
        <f aca="false">IF($P342="","",IF($P342&gt;=Instellingen!$B$7,"Sterke niche",IF($P342&gt;=Instellingen!$B$8,"Belofte - opvolgen",IF($P342&gt;=Instellingen!$B$9,"Zwak - twijfel","Vermijden"))))</f>
        <v/>
      </c>
      <c r="R342" s="5"/>
      <c r="T342" s="1" t="str">
        <f aca="false">IF($C342="","",IF($P342=_xlfn.MAXIFS($P$3:$P$1000,$B$3:$B$1000,$B342),"★ Cash cow – handmatig onderzoeken",""))</f>
        <v/>
      </c>
    </row>
    <row r="343" customFormat="false" ht="14.25" hidden="false" customHeight="true" outlineLevel="0" collapsed="false">
      <c r="A343" s="4"/>
      <c r="B343" s="5"/>
      <c r="C343" s="5"/>
      <c r="D343" s="5"/>
      <c r="E343" s="6"/>
      <c r="F343" s="7"/>
      <c r="G343" s="8"/>
      <c r="H343" s="7"/>
      <c r="I343" s="7"/>
      <c r="J343" s="6"/>
      <c r="K343" s="9" t="str">
        <f aca="false">IF(OR($J343="",$J343=0),"",$I343/$J343)</f>
        <v/>
      </c>
      <c r="L343" s="9" t="str">
        <f aca="false">IF(OR($E343="",$E343=0),"",$H343/$E343)</f>
        <v/>
      </c>
      <c r="M343" s="10" t="str">
        <f aca="false">IF(OR($L343="",$L343=0),"",($I343/30)/$L343)</f>
        <v/>
      </c>
      <c r="N343" s="8"/>
      <c r="O343" s="11" t="str">
        <f aca="false">IF(OR($I343="",$N343=""),"",($I343/1000)*$N343)</f>
        <v/>
      </c>
      <c r="P343" s="12" t="str">
        <f aca="false">IF($C343="","",IFERROR(ROUND(MIN(25,($N343/Instellingen!$B$3)*25)+MIN(25,($I343/Instellingen!$B$4)*25)+MIN(25,($J343/Instellingen!$B$5)*25)+MIN(25,(IF($M343="",0,$M343)/Instellingen!$B$6)*25),0),""))</f>
        <v/>
      </c>
      <c r="Q343" s="13" t="str">
        <f aca="false">IF($P343="","",IF($P343&gt;=Instellingen!$B$7,"Sterke niche",IF($P343&gt;=Instellingen!$B$8,"Belofte - opvolgen",IF($P343&gt;=Instellingen!$B$9,"Zwak - twijfel","Vermijden"))))</f>
        <v/>
      </c>
      <c r="R343" s="5"/>
      <c r="T343" s="1" t="str">
        <f aca="false">IF($C343="","",IF($P343=_xlfn.MAXIFS($P$3:$P$1000,$B$3:$B$1000,$B343),"★ Cash cow – handmatig onderzoeken",""))</f>
        <v/>
      </c>
    </row>
    <row r="344" customFormat="false" ht="14.25" hidden="false" customHeight="true" outlineLevel="0" collapsed="false">
      <c r="A344" s="4"/>
      <c r="B344" s="5"/>
      <c r="C344" s="5"/>
      <c r="D344" s="5"/>
      <c r="E344" s="6"/>
      <c r="F344" s="7"/>
      <c r="G344" s="8"/>
      <c r="H344" s="7"/>
      <c r="I344" s="7"/>
      <c r="J344" s="6"/>
      <c r="K344" s="9" t="str">
        <f aca="false">IF(OR($J344="",$J344=0),"",$I344/$J344)</f>
        <v/>
      </c>
      <c r="L344" s="9" t="str">
        <f aca="false">IF(OR($E344="",$E344=0),"",$H344/$E344)</f>
        <v/>
      </c>
      <c r="M344" s="10" t="str">
        <f aca="false">IF(OR($L344="",$L344=0),"",($I344/30)/$L344)</f>
        <v/>
      </c>
      <c r="N344" s="8"/>
      <c r="O344" s="11" t="str">
        <f aca="false">IF(OR($I344="",$N344=""),"",($I344/1000)*$N344)</f>
        <v/>
      </c>
      <c r="P344" s="12" t="str">
        <f aca="false">IF($C344="","",IFERROR(ROUND(MIN(25,($N344/Instellingen!$B$3)*25)+MIN(25,($I344/Instellingen!$B$4)*25)+MIN(25,($J344/Instellingen!$B$5)*25)+MIN(25,(IF($M344="",0,$M344)/Instellingen!$B$6)*25),0),""))</f>
        <v/>
      </c>
      <c r="Q344" s="13" t="str">
        <f aca="false">IF($P344="","",IF($P344&gt;=Instellingen!$B$7,"Sterke niche",IF($P344&gt;=Instellingen!$B$8,"Belofte - opvolgen",IF($P344&gt;=Instellingen!$B$9,"Zwak - twijfel","Vermijden"))))</f>
        <v/>
      </c>
      <c r="R344" s="5"/>
      <c r="T344" s="1" t="str">
        <f aca="false">IF($C344="","",IF($P344=_xlfn.MAXIFS($P$3:$P$1000,$B$3:$B$1000,$B344),"★ Cash cow – handmatig onderzoeken",""))</f>
        <v/>
      </c>
    </row>
    <row r="345" customFormat="false" ht="14.25" hidden="false" customHeight="true" outlineLevel="0" collapsed="false">
      <c r="A345" s="4"/>
      <c r="B345" s="5"/>
      <c r="C345" s="5"/>
      <c r="D345" s="5"/>
      <c r="E345" s="6"/>
      <c r="F345" s="7"/>
      <c r="G345" s="8"/>
      <c r="H345" s="7"/>
      <c r="I345" s="7"/>
      <c r="J345" s="6"/>
      <c r="K345" s="9" t="str">
        <f aca="false">IF(OR($J345="",$J345=0),"",$I345/$J345)</f>
        <v/>
      </c>
      <c r="L345" s="9" t="str">
        <f aca="false">IF(OR($E345="",$E345=0),"",$H345/$E345)</f>
        <v/>
      </c>
      <c r="M345" s="10" t="str">
        <f aca="false">IF(OR($L345="",$L345=0),"",($I345/30)/$L345)</f>
        <v/>
      </c>
      <c r="N345" s="8"/>
      <c r="O345" s="11" t="str">
        <f aca="false">IF(OR($I345="",$N345=""),"",($I345/1000)*$N345)</f>
        <v/>
      </c>
      <c r="P345" s="12" t="str">
        <f aca="false">IF($C345="","",IFERROR(ROUND(MIN(25,($N345/Instellingen!$B$3)*25)+MIN(25,($I345/Instellingen!$B$4)*25)+MIN(25,($J345/Instellingen!$B$5)*25)+MIN(25,(IF($M345="",0,$M345)/Instellingen!$B$6)*25),0),""))</f>
        <v/>
      </c>
      <c r="Q345" s="13" t="str">
        <f aca="false">IF($P345="","",IF($P345&gt;=Instellingen!$B$7,"Sterke niche",IF($P345&gt;=Instellingen!$B$8,"Belofte - opvolgen",IF($P345&gt;=Instellingen!$B$9,"Zwak - twijfel","Vermijden"))))</f>
        <v/>
      </c>
      <c r="R345" s="5"/>
      <c r="T345" s="1" t="str">
        <f aca="false">IF($C345="","",IF($P345=_xlfn.MAXIFS($P$3:$P$1000,$B$3:$B$1000,$B345),"★ Cash cow – handmatig onderzoeken",""))</f>
        <v/>
      </c>
    </row>
    <row r="346" customFormat="false" ht="14.25" hidden="false" customHeight="true" outlineLevel="0" collapsed="false">
      <c r="A346" s="4"/>
      <c r="B346" s="5"/>
      <c r="C346" s="5"/>
      <c r="D346" s="5"/>
      <c r="E346" s="6"/>
      <c r="F346" s="7"/>
      <c r="G346" s="8"/>
      <c r="H346" s="7"/>
      <c r="I346" s="7"/>
      <c r="J346" s="6"/>
      <c r="K346" s="9" t="str">
        <f aca="false">IF(OR($J346="",$J346=0),"",$I346/$J346)</f>
        <v/>
      </c>
      <c r="L346" s="9" t="str">
        <f aca="false">IF(OR($E346="",$E346=0),"",$H346/$E346)</f>
        <v/>
      </c>
      <c r="M346" s="10" t="str">
        <f aca="false">IF(OR($L346="",$L346=0),"",($I346/30)/$L346)</f>
        <v/>
      </c>
      <c r="N346" s="8"/>
      <c r="O346" s="11" t="str">
        <f aca="false">IF(OR($I346="",$N346=""),"",($I346/1000)*$N346)</f>
        <v/>
      </c>
      <c r="P346" s="12" t="str">
        <f aca="false">IF($C346="","",IFERROR(ROUND(MIN(25,($N346/Instellingen!$B$3)*25)+MIN(25,($I346/Instellingen!$B$4)*25)+MIN(25,($J346/Instellingen!$B$5)*25)+MIN(25,(IF($M346="",0,$M346)/Instellingen!$B$6)*25),0),""))</f>
        <v/>
      </c>
      <c r="Q346" s="13" t="str">
        <f aca="false">IF($P346="","",IF($P346&gt;=Instellingen!$B$7,"Sterke niche",IF($P346&gt;=Instellingen!$B$8,"Belofte - opvolgen",IF($P346&gt;=Instellingen!$B$9,"Zwak - twijfel","Vermijden"))))</f>
        <v/>
      </c>
      <c r="R346" s="5"/>
      <c r="T346" s="1" t="str">
        <f aca="false">IF($C346="","",IF($P346=_xlfn.MAXIFS($P$3:$P$1000,$B$3:$B$1000,$B346),"★ Cash cow – handmatig onderzoeken",""))</f>
        <v/>
      </c>
    </row>
    <row r="347" customFormat="false" ht="14.25" hidden="false" customHeight="true" outlineLevel="0" collapsed="false">
      <c r="A347" s="4"/>
      <c r="B347" s="5"/>
      <c r="C347" s="5"/>
      <c r="D347" s="5"/>
      <c r="E347" s="6"/>
      <c r="F347" s="7"/>
      <c r="G347" s="8"/>
      <c r="H347" s="7"/>
      <c r="I347" s="7"/>
      <c r="J347" s="6"/>
      <c r="K347" s="9" t="str">
        <f aca="false">IF(OR($J347="",$J347=0),"",$I347/$J347)</f>
        <v/>
      </c>
      <c r="L347" s="9" t="str">
        <f aca="false">IF(OR($E347="",$E347=0),"",$H347/$E347)</f>
        <v/>
      </c>
      <c r="M347" s="10" t="str">
        <f aca="false">IF(OR($L347="",$L347=0),"",($I347/30)/$L347)</f>
        <v/>
      </c>
      <c r="N347" s="8"/>
      <c r="O347" s="11" t="str">
        <f aca="false">IF(OR($I347="",$N347=""),"",($I347/1000)*$N347)</f>
        <v/>
      </c>
      <c r="P347" s="12" t="str">
        <f aca="false">IF($C347="","",IFERROR(ROUND(MIN(25,($N347/Instellingen!$B$3)*25)+MIN(25,($I347/Instellingen!$B$4)*25)+MIN(25,($J347/Instellingen!$B$5)*25)+MIN(25,(IF($M347="",0,$M347)/Instellingen!$B$6)*25),0),""))</f>
        <v/>
      </c>
      <c r="Q347" s="13" t="str">
        <f aca="false">IF($P347="","",IF($P347&gt;=Instellingen!$B$7,"Sterke niche",IF($P347&gt;=Instellingen!$B$8,"Belofte - opvolgen",IF($P347&gt;=Instellingen!$B$9,"Zwak - twijfel","Vermijden"))))</f>
        <v/>
      </c>
      <c r="R347" s="5"/>
      <c r="T347" s="1" t="str">
        <f aca="false">IF($C347="","",IF($P347=_xlfn.MAXIFS($P$3:$P$1000,$B$3:$B$1000,$B347),"★ Cash cow – handmatig onderzoeken",""))</f>
        <v/>
      </c>
    </row>
    <row r="348" customFormat="false" ht="14.25" hidden="false" customHeight="true" outlineLevel="0" collapsed="false">
      <c r="A348" s="4"/>
      <c r="B348" s="5"/>
      <c r="C348" s="5"/>
      <c r="D348" s="5"/>
      <c r="E348" s="6"/>
      <c r="F348" s="7"/>
      <c r="G348" s="8"/>
      <c r="H348" s="7"/>
      <c r="I348" s="7"/>
      <c r="J348" s="6"/>
      <c r="K348" s="9" t="str">
        <f aca="false">IF(OR($J348="",$J348=0),"",$I348/$J348)</f>
        <v/>
      </c>
      <c r="L348" s="9" t="str">
        <f aca="false">IF(OR($E348="",$E348=0),"",$H348/$E348)</f>
        <v/>
      </c>
      <c r="M348" s="10" t="str">
        <f aca="false">IF(OR($L348="",$L348=0),"",($I348/30)/$L348)</f>
        <v/>
      </c>
      <c r="N348" s="8"/>
      <c r="O348" s="11" t="str">
        <f aca="false">IF(OR($I348="",$N348=""),"",($I348/1000)*$N348)</f>
        <v/>
      </c>
      <c r="P348" s="12" t="str">
        <f aca="false">IF($C348="","",IFERROR(ROUND(MIN(25,($N348/Instellingen!$B$3)*25)+MIN(25,($I348/Instellingen!$B$4)*25)+MIN(25,($J348/Instellingen!$B$5)*25)+MIN(25,(IF($M348="",0,$M348)/Instellingen!$B$6)*25),0),""))</f>
        <v/>
      </c>
      <c r="Q348" s="13" t="str">
        <f aca="false">IF($P348="","",IF($P348&gt;=Instellingen!$B$7,"Sterke niche",IF($P348&gt;=Instellingen!$B$8,"Belofte - opvolgen",IF($P348&gt;=Instellingen!$B$9,"Zwak - twijfel","Vermijden"))))</f>
        <v/>
      </c>
      <c r="R348" s="5"/>
      <c r="T348" s="1" t="str">
        <f aca="false">IF($C348="","",IF($P348=_xlfn.MAXIFS($P$3:$P$1000,$B$3:$B$1000,$B348),"★ Cash cow – handmatig onderzoeken",""))</f>
        <v/>
      </c>
    </row>
    <row r="349" customFormat="false" ht="14.25" hidden="false" customHeight="true" outlineLevel="0" collapsed="false">
      <c r="A349" s="4"/>
      <c r="B349" s="5"/>
      <c r="C349" s="5"/>
      <c r="D349" s="5"/>
      <c r="E349" s="6"/>
      <c r="F349" s="7"/>
      <c r="G349" s="8"/>
      <c r="H349" s="7"/>
      <c r="I349" s="7"/>
      <c r="J349" s="6"/>
      <c r="K349" s="9" t="str">
        <f aca="false">IF(OR($J349="",$J349=0),"",$I349/$J349)</f>
        <v/>
      </c>
      <c r="L349" s="9" t="str">
        <f aca="false">IF(OR($E349="",$E349=0),"",$H349/$E349)</f>
        <v/>
      </c>
      <c r="M349" s="10" t="str">
        <f aca="false">IF(OR($L349="",$L349=0),"",($I349/30)/$L349)</f>
        <v/>
      </c>
      <c r="N349" s="8"/>
      <c r="O349" s="11" t="str">
        <f aca="false">IF(OR($I349="",$N349=""),"",($I349/1000)*$N349)</f>
        <v/>
      </c>
      <c r="P349" s="12" t="str">
        <f aca="false">IF($C349="","",IFERROR(ROUND(MIN(25,($N349/Instellingen!$B$3)*25)+MIN(25,($I349/Instellingen!$B$4)*25)+MIN(25,($J349/Instellingen!$B$5)*25)+MIN(25,(IF($M349="",0,$M349)/Instellingen!$B$6)*25),0),""))</f>
        <v/>
      </c>
      <c r="Q349" s="13" t="str">
        <f aca="false">IF($P349="","",IF($P349&gt;=Instellingen!$B$7,"Sterke niche",IF($P349&gt;=Instellingen!$B$8,"Belofte - opvolgen",IF($P349&gt;=Instellingen!$B$9,"Zwak - twijfel","Vermijden"))))</f>
        <v/>
      </c>
      <c r="R349" s="5"/>
      <c r="T349" s="1" t="str">
        <f aca="false">IF($C349="","",IF($P349=_xlfn.MAXIFS($P$3:$P$1000,$B$3:$B$1000,$B349),"★ Cash cow – handmatig onderzoeken",""))</f>
        <v/>
      </c>
    </row>
    <row r="350" customFormat="false" ht="14.25" hidden="false" customHeight="true" outlineLevel="0" collapsed="false">
      <c r="A350" s="4"/>
      <c r="B350" s="5"/>
      <c r="C350" s="5"/>
      <c r="D350" s="5"/>
      <c r="E350" s="6"/>
      <c r="F350" s="7"/>
      <c r="G350" s="8"/>
      <c r="H350" s="7"/>
      <c r="I350" s="7"/>
      <c r="J350" s="6"/>
      <c r="K350" s="9" t="str">
        <f aca="false">IF(OR($J350="",$J350=0),"",$I350/$J350)</f>
        <v/>
      </c>
      <c r="L350" s="9" t="str">
        <f aca="false">IF(OR($E350="",$E350=0),"",$H350/$E350)</f>
        <v/>
      </c>
      <c r="M350" s="10" t="str">
        <f aca="false">IF(OR($L350="",$L350=0),"",($I350/30)/$L350)</f>
        <v/>
      </c>
      <c r="N350" s="8"/>
      <c r="O350" s="11" t="str">
        <f aca="false">IF(OR($I350="",$N350=""),"",($I350/1000)*$N350)</f>
        <v/>
      </c>
      <c r="P350" s="12" t="str">
        <f aca="false">IF($C350="","",IFERROR(ROUND(MIN(25,($N350/Instellingen!$B$3)*25)+MIN(25,($I350/Instellingen!$B$4)*25)+MIN(25,($J350/Instellingen!$B$5)*25)+MIN(25,(IF($M350="",0,$M350)/Instellingen!$B$6)*25),0),""))</f>
        <v/>
      </c>
      <c r="Q350" s="13" t="str">
        <f aca="false">IF($P350="","",IF($P350&gt;=Instellingen!$B$7,"Sterke niche",IF($P350&gt;=Instellingen!$B$8,"Belofte - opvolgen",IF($P350&gt;=Instellingen!$B$9,"Zwak - twijfel","Vermijden"))))</f>
        <v/>
      </c>
      <c r="R350" s="5"/>
      <c r="T350" s="1" t="str">
        <f aca="false">IF($C350="","",IF($P350=_xlfn.MAXIFS($P$3:$P$1000,$B$3:$B$1000,$B350),"★ Cash cow – handmatig onderzoeken",""))</f>
        <v/>
      </c>
    </row>
    <row r="351" customFormat="false" ht="14.25" hidden="false" customHeight="true" outlineLevel="0" collapsed="false">
      <c r="A351" s="4"/>
      <c r="B351" s="5"/>
      <c r="C351" s="5"/>
      <c r="D351" s="5"/>
      <c r="E351" s="6"/>
      <c r="F351" s="7"/>
      <c r="G351" s="8"/>
      <c r="H351" s="7"/>
      <c r="I351" s="7"/>
      <c r="J351" s="6"/>
      <c r="K351" s="9" t="str">
        <f aca="false">IF(OR($J351="",$J351=0),"",$I351/$J351)</f>
        <v/>
      </c>
      <c r="L351" s="9" t="str">
        <f aca="false">IF(OR($E351="",$E351=0),"",$H351/$E351)</f>
        <v/>
      </c>
      <c r="M351" s="10" t="str">
        <f aca="false">IF(OR($L351="",$L351=0),"",($I351/30)/$L351)</f>
        <v/>
      </c>
      <c r="N351" s="8"/>
      <c r="O351" s="11" t="str">
        <f aca="false">IF(OR($I351="",$N351=""),"",($I351/1000)*$N351)</f>
        <v/>
      </c>
      <c r="P351" s="12" t="str">
        <f aca="false">IF($C351="","",IFERROR(ROUND(MIN(25,($N351/Instellingen!$B$3)*25)+MIN(25,($I351/Instellingen!$B$4)*25)+MIN(25,($J351/Instellingen!$B$5)*25)+MIN(25,(IF($M351="",0,$M351)/Instellingen!$B$6)*25),0),""))</f>
        <v/>
      </c>
      <c r="Q351" s="13" t="str">
        <f aca="false">IF($P351="","",IF($P351&gt;=Instellingen!$B$7,"Sterke niche",IF($P351&gt;=Instellingen!$B$8,"Belofte - opvolgen",IF($P351&gt;=Instellingen!$B$9,"Zwak - twijfel","Vermijden"))))</f>
        <v/>
      </c>
      <c r="R351" s="5"/>
      <c r="T351" s="1" t="str">
        <f aca="false">IF($C351="","",IF($P351=_xlfn.MAXIFS($P$3:$P$1000,$B$3:$B$1000,$B351),"★ Cash cow – handmatig onderzoeken",""))</f>
        <v/>
      </c>
    </row>
    <row r="352" customFormat="false" ht="14.25" hidden="false" customHeight="true" outlineLevel="0" collapsed="false">
      <c r="A352" s="4"/>
      <c r="B352" s="5"/>
      <c r="C352" s="5"/>
      <c r="D352" s="5"/>
      <c r="E352" s="6"/>
      <c r="F352" s="7"/>
      <c r="G352" s="8"/>
      <c r="H352" s="7"/>
      <c r="I352" s="7"/>
      <c r="J352" s="6"/>
      <c r="K352" s="9" t="str">
        <f aca="false">IF(OR($J352="",$J352=0),"",$I352/$J352)</f>
        <v/>
      </c>
      <c r="L352" s="9" t="str">
        <f aca="false">IF(OR($E352="",$E352=0),"",$H352/$E352)</f>
        <v/>
      </c>
      <c r="M352" s="10" t="str">
        <f aca="false">IF(OR($L352="",$L352=0),"",($I352/30)/$L352)</f>
        <v/>
      </c>
      <c r="N352" s="8"/>
      <c r="O352" s="11" t="str">
        <f aca="false">IF(OR($I352="",$N352=""),"",($I352/1000)*$N352)</f>
        <v/>
      </c>
      <c r="P352" s="12" t="str">
        <f aca="false">IF($C352="","",IFERROR(ROUND(MIN(25,($N352/Instellingen!$B$3)*25)+MIN(25,($I352/Instellingen!$B$4)*25)+MIN(25,($J352/Instellingen!$B$5)*25)+MIN(25,(IF($M352="",0,$M352)/Instellingen!$B$6)*25),0),""))</f>
        <v/>
      </c>
      <c r="Q352" s="13" t="str">
        <f aca="false">IF($P352="","",IF($P352&gt;=Instellingen!$B$7,"Sterke niche",IF($P352&gt;=Instellingen!$B$8,"Belofte - opvolgen",IF($P352&gt;=Instellingen!$B$9,"Zwak - twijfel","Vermijden"))))</f>
        <v/>
      </c>
      <c r="R352" s="5"/>
      <c r="T352" s="1" t="str">
        <f aca="false">IF($C352="","",IF($P352=_xlfn.MAXIFS($P$3:$P$1000,$B$3:$B$1000,$B352),"★ Cash cow – handmatig onderzoeken",""))</f>
        <v/>
      </c>
    </row>
    <row r="353" customFormat="false" ht="14.25" hidden="false" customHeight="true" outlineLevel="0" collapsed="false">
      <c r="A353" s="4"/>
      <c r="B353" s="5"/>
      <c r="C353" s="5"/>
      <c r="D353" s="5"/>
      <c r="E353" s="6"/>
      <c r="F353" s="7"/>
      <c r="G353" s="8"/>
      <c r="H353" s="7"/>
      <c r="I353" s="7"/>
      <c r="J353" s="6"/>
      <c r="K353" s="9" t="str">
        <f aca="false">IF(OR($J353="",$J353=0),"",$I353/$J353)</f>
        <v/>
      </c>
      <c r="L353" s="9" t="str">
        <f aca="false">IF(OR($E353="",$E353=0),"",$H353/$E353)</f>
        <v/>
      </c>
      <c r="M353" s="10" t="str">
        <f aca="false">IF(OR($L353="",$L353=0),"",($I353/30)/$L353)</f>
        <v/>
      </c>
      <c r="N353" s="8"/>
      <c r="O353" s="11" t="str">
        <f aca="false">IF(OR($I353="",$N353=""),"",($I353/1000)*$N353)</f>
        <v/>
      </c>
      <c r="P353" s="12" t="str">
        <f aca="false">IF($C353="","",IFERROR(ROUND(MIN(25,($N353/Instellingen!$B$3)*25)+MIN(25,($I353/Instellingen!$B$4)*25)+MIN(25,($J353/Instellingen!$B$5)*25)+MIN(25,(IF($M353="",0,$M353)/Instellingen!$B$6)*25),0),""))</f>
        <v/>
      </c>
      <c r="Q353" s="13" t="str">
        <f aca="false">IF($P353="","",IF($P353&gt;=Instellingen!$B$7,"Sterke niche",IF($P353&gt;=Instellingen!$B$8,"Belofte - opvolgen",IF($P353&gt;=Instellingen!$B$9,"Zwak - twijfel","Vermijden"))))</f>
        <v/>
      </c>
      <c r="R353" s="5"/>
      <c r="T353" s="1" t="str">
        <f aca="false">IF($C353="","",IF($P353=_xlfn.MAXIFS($P$3:$P$1000,$B$3:$B$1000,$B353),"★ Cash cow – handmatig onderzoeken",""))</f>
        <v/>
      </c>
    </row>
    <row r="354" customFormat="false" ht="14.25" hidden="false" customHeight="true" outlineLevel="0" collapsed="false">
      <c r="A354" s="4"/>
      <c r="B354" s="5"/>
      <c r="C354" s="5"/>
      <c r="D354" s="5"/>
      <c r="E354" s="6"/>
      <c r="F354" s="7"/>
      <c r="G354" s="8"/>
      <c r="H354" s="7"/>
      <c r="I354" s="7"/>
      <c r="J354" s="6"/>
      <c r="K354" s="9" t="str">
        <f aca="false">IF(OR($J354="",$J354=0),"",$I354/$J354)</f>
        <v/>
      </c>
      <c r="L354" s="9" t="str">
        <f aca="false">IF(OR($E354="",$E354=0),"",$H354/$E354)</f>
        <v/>
      </c>
      <c r="M354" s="10" t="str">
        <f aca="false">IF(OR($L354="",$L354=0),"",($I354/30)/$L354)</f>
        <v/>
      </c>
      <c r="N354" s="8"/>
      <c r="O354" s="11" t="str">
        <f aca="false">IF(OR($I354="",$N354=""),"",($I354/1000)*$N354)</f>
        <v/>
      </c>
      <c r="P354" s="12" t="str">
        <f aca="false">IF($C354="","",IFERROR(ROUND(MIN(25,($N354/Instellingen!$B$3)*25)+MIN(25,($I354/Instellingen!$B$4)*25)+MIN(25,($J354/Instellingen!$B$5)*25)+MIN(25,(IF($M354="",0,$M354)/Instellingen!$B$6)*25),0),""))</f>
        <v/>
      </c>
      <c r="Q354" s="13" t="str">
        <f aca="false">IF($P354="","",IF($P354&gt;=Instellingen!$B$7,"Sterke niche",IF($P354&gt;=Instellingen!$B$8,"Belofte - opvolgen",IF($P354&gt;=Instellingen!$B$9,"Zwak - twijfel","Vermijden"))))</f>
        <v/>
      </c>
      <c r="R354" s="5"/>
      <c r="T354" s="1" t="str">
        <f aca="false">IF($C354="","",IF($P354=_xlfn.MAXIFS($P$3:$P$1000,$B$3:$B$1000,$B354),"★ Cash cow – handmatig onderzoeken",""))</f>
        <v/>
      </c>
    </row>
    <row r="355" customFormat="false" ht="14.25" hidden="false" customHeight="true" outlineLevel="0" collapsed="false">
      <c r="A355" s="4"/>
      <c r="B355" s="5"/>
      <c r="C355" s="5"/>
      <c r="D355" s="5"/>
      <c r="E355" s="6"/>
      <c r="F355" s="7"/>
      <c r="G355" s="8"/>
      <c r="H355" s="7"/>
      <c r="I355" s="7"/>
      <c r="J355" s="6"/>
      <c r="K355" s="9" t="str">
        <f aca="false">IF(OR($J355="",$J355=0),"",$I355/$J355)</f>
        <v/>
      </c>
      <c r="L355" s="9" t="str">
        <f aca="false">IF(OR($E355="",$E355=0),"",$H355/$E355)</f>
        <v/>
      </c>
      <c r="M355" s="10" t="str">
        <f aca="false">IF(OR($L355="",$L355=0),"",($I355/30)/$L355)</f>
        <v/>
      </c>
      <c r="N355" s="8"/>
      <c r="O355" s="11" t="str">
        <f aca="false">IF(OR($I355="",$N355=""),"",($I355/1000)*$N355)</f>
        <v/>
      </c>
      <c r="P355" s="12" t="str">
        <f aca="false">IF($C355="","",IFERROR(ROUND(MIN(25,($N355/Instellingen!$B$3)*25)+MIN(25,($I355/Instellingen!$B$4)*25)+MIN(25,($J355/Instellingen!$B$5)*25)+MIN(25,(IF($M355="",0,$M355)/Instellingen!$B$6)*25),0),""))</f>
        <v/>
      </c>
      <c r="Q355" s="13" t="str">
        <f aca="false">IF($P355="","",IF($P355&gt;=Instellingen!$B$7,"Sterke niche",IF($P355&gt;=Instellingen!$B$8,"Belofte - opvolgen",IF($P355&gt;=Instellingen!$B$9,"Zwak - twijfel","Vermijden"))))</f>
        <v/>
      </c>
      <c r="R355" s="5"/>
      <c r="T355" s="1" t="str">
        <f aca="false">IF($C355="","",IF($P355=_xlfn.MAXIFS($P$3:$P$1000,$B$3:$B$1000,$B355),"★ Cash cow – handmatig onderzoeken",""))</f>
        <v/>
      </c>
    </row>
    <row r="356" customFormat="false" ht="14.25" hidden="false" customHeight="true" outlineLevel="0" collapsed="false">
      <c r="A356" s="4"/>
      <c r="B356" s="5"/>
      <c r="C356" s="5"/>
      <c r="D356" s="5"/>
      <c r="E356" s="6"/>
      <c r="F356" s="7"/>
      <c r="G356" s="8"/>
      <c r="H356" s="7"/>
      <c r="I356" s="7"/>
      <c r="J356" s="6"/>
      <c r="K356" s="9" t="str">
        <f aca="false">IF(OR($J356="",$J356=0),"",$I356/$J356)</f>
        <v/>
      </c>
      <c r="L356" s="9" t="str">
        <f aca="false">IF(OR($E356="",$E356=0),"",$H356/$E356)</f>
        <v/>
      </c>
      <c r="M356" s="10" t="str">
        <f aca="false">IF(OR($L356="",$L356=0),"",($I356/30)/$L356)</f>
        <v/>
      </c>
      <c r="N356" s="8"/>
      <c r="O356" s="11" t="str">
        <f aca="false">IF(OR($I356="",$N356=""),"",($I356/1000)*$N356)</f>
        <v/>
      </c>
      <c r="P356" s="12" t="str">
        <f aca="false">IF($C356="","",IFERROR(ROUND(MIN(25,($N356/Instellingen!$B$3)*25)+MIN(25,($I356/Instellingen!$B$4)*25)+MIN(25,($J356/Instellingen!$B$5)*25)+MIN(25,(IF($M356="",0,$M356)/Instellingen!$B$6)*25),0),""))</f>
        <v/>
      </c>
      <c r="Q356" s="13" t="str">
        <f aca="false">IF($P356="","",IF($P356&gt;=Instellingen!$B$7,"Sterke niche",IF($P356&gt;=Instellingen!$B$8,"Belofte - opvolgen",IF($P356&gt;=Instellingen!$B$9,"Zwak - twijfel","Vermijden"))))</f>
        <v/>
      </c>
      <c r="R356" s="5"/>
      <c r="T356" s="1" t="str">
        <f aca="false">IF($C356="","",IF($P356=_xlfn.MAXIFS($P$3:$P$1000,$B$3:$B$1000,$B356),"★ Cash cow – handmatig onderzoeken",""))</f>
        <v/>
      </c>
    </row>
    <row r="357" customFormat="false" ht="14.25" hidden="false" customHeight="true" outlineLevel="0" collapsed="false">
      <c r="A357" s="4"/>
      <c r="B357" s="5"/>
      <c r="C357" s="5"/>
      <c r="D357" s="5"/>
      <c r="E357" s="6"/>
      <c r="F357" s="7"/>
      <c r="G357" s="8"/>
      <c r="H357" s="7"/>
      <c r="I357" s="7"/>
      <c r="J357" s="6"/>
      <c r="K357" s="9" t="str">
        <f aca="false">IF(OR($J357="",$J357=0),"",$I357/$J357)</f>
        <v/>
      </c>
      <c r="L357" s="9" t="str">
        <f aca="false">IF(OR($E357="",$E357=0),"",$H357/$E357)</f>
        <v/>
      </c>
      <c r="M357" s="10" t="str">
        <f aca="false">IF(OR($L357="",$L357=0),"",($I357/30)/$L357)</f>
        <v/>
      </c>
      <c r="N357" s="8"/>
      <c r="O357" s="11" t="str">
        <f aca="false">IF(OR($I357="",$N357=""),"",($I357/1000)*$N357)</f>
        <v/>
      </c>
      <c r="P357" s="12" t="str">
        <f aca="false">IF($C357="","",IFERROR(ROUND(MIN(25,($N357/Instellingen!$B$3)*25)+MIN(25,($I357/Instellingen!$B$4)*25)+MIN(25,($J357/Instellingen!$B$5)*25)+MIN(25,(IF($M357="",0,$M357)/Instellingen!$B$6)*25),0),""))</f>
        <v/>
      </c>
      <c r="Q357" s="13" t="str">
        <f aca="false">IF($P357="","",IF($P357&gt;=Instellingen!$B$7,"Sterke niche",IF($P357&gt;=Instellingen!$B$8,"Belofte - opvolgen",IF($P357&gt;=Instellingen!$B$9,"Zwak - twijfel","Vermijden"))))</f>
        <v/>
      </c>
      <c r="R357" s="5"/>
      <c r="T357" s="1" t="str">
        <f aca="false">IF($C357="","",IF($P357=_xlfn.MAXIFS($P$3:$P$1000,$B$3:$B$1000,$B357),"★ Cash cow – handmatig onderzoeken",""))</f>
        <v/>
      </c>
    </row>
    <row r="358" customFormat="false" ht="14.25" hidden="false" customHeight="true" outlineLevel="0" collapsed="false">
      <c r="A358" s="4"/>
      <c r="B358" s="5"/>
      <c r="C358" s="5"/>
      <c r="D358" s="5"/>
      <c r="E358" s="6"/>
      <c r="F358" s="7"/>
      <c r="G358" s="8"/>
      <c r="H358" s="7"/>
      <c r="I358" s="7"/>
      <c r="J358" s="6"/>
      <c r="K358" s="9" t="str">
        <f aca="false">IF(OR($J358="",$J358=0),"",$I358/$J358)</f>
        <v/>
      </c>
      <c r="L358" s="9" t="str">
        <f aca="false">IF(OR($E358="",$E358=0),"",$H358/$E358)</f>
        <v/>
      </c>
      <c r="M358" s="10" t="str">
        <f aca="false">IF(OR($L358="",$L358=0),"",($I358/30)/$L358)</f>
        <v/>
      </c>
      <c r="N358" s="8"/>
      <c r="O358" s="11" t="str">
        <f aca="false">IF(OR($I358="",$N358=""),"",($I358/1000)*$N358)</f>
        <v/>
      </c>
      <c r="P358" s="12" t="str">
        <f aca="false">IF($C358="","",IFERROR(ROUND(MIN(25,($N358/Instellingen!$B$3)*25)+MIN(25,($I358/Instellingen!$B$4)*25)+MIN(25,($J358/Instellingen!$B$5)*25)+MIN(25,(IF($M358="",0,$M358)/Instellingen!$B$6)*25),0),""))</f>
        <v/>
      </c>
      <c r="Q358" s="13" t="str">
        <f aca="false">IF($P358="","",IF($P358&gt;=Instellingen!$B$7,"Sterke niche",IF($P358&gt;=Instellingen!$B$8,"Belofte - opvolgen",IF($P358&gt;=Instellingen!$B$9,"Zwak - twijfel","Vermijden"))))</f>
        <v/>
      </c>
      <c r="R358" s="5"/>
      <c r="T358" s="1" t="str">
        <f aca="false">IF($C358="","",IF($P358=_xlfn.MAXIFS($P$3:$P$1000,$B$3:$B$1000,$B358),"★ Cash cow – handmatig onderzoeken",""))</f>
        <v/>
      </c>
    </row>
    <row r="359" customFormat="false" ht="14.25" hidden="false" customHeight="true" outlineLevel="0" collapsed="false">
      <c r="A359" s="4"/>
      <c r="B359" s="5"/>
      <c r="C359" s="5"/>
      <c r="D359" s="5"/>
      <c r="E359" s="6"/>
      <c r="F359" s="7"/>
      <c r="G359" s="8"/>
      <c r="H359" s="7"/>
      <c r="I359" s="7"/>
      <c r="J359" s="6"/>
      <c r="K359" s="9" t="str">
        <f aca="false">IF(OR($J359="",$J359=0),"",$I359/$J359)</f>
        <v/>
      </c>
      <c r="L359" s="9" t="str">
        <f aca="false">IF(OR($E359="",$E359=0),"",$H359/$E359)</f>
        <v/>
      </c>
      <c r="M359" s="10" t="str">
        <f aca="false">IF(OR($L359="",$L359=0),"",($I359/30)/$L359)</f>
        <v/>
      </c>
      <c r="N359" s="8"/>
      <c r="O359" s="11" t="str">
        <f aca="false">IF(OR($I359="",$N359=""),"",($I359/1000)*$N359)</f>
        <v/>
      </c>
      <c r="P359" s="12" t="str">
        <f aca="false">IF($C359="","",IFERROR(ROUND(MIN(25,($N359/Instellingen!$B$3)*25)+MIN(25,($I359/Instellingen!$B$4)*25)+MIN(25,($J359/Instellingen!$B$5)*25)+MIN(25,(IF($M359="",0,$M359)/Instellingen!$B$6)*25),0),""))</f>
        <v/>
      </c>
      <c r="Q359" s="13" t="str">
        <f aca="false">IF($P359="","",IF($P359&gt;=Instellingen!$B$7,"Sterke niche",IF($P359&gt;=Instellingen!$B$8,"Belofte - opvolgen",IF($P359&gt;=Instellingen!$B$9,"Zwak - twijfel","Vermijden"))))</f>
        <v/>
      </c>
      <c r="R359" s="5"/>
      <c r="T359" s="1" t="str">
        <f aca="false">IF($C359="","",IF($P359=_xlfn.MAXIFS($P$3:$P$1000,$B$3:$B$1000,$B359),"★ Cash cow – handmatig onderzoeken",""))</f>
        <v/>
      </c>
    </row>
    <row r="360" customFormat="false" ht="14.25" hidden="false" customHeight="true" outlineLevel="0" collapsed="false">
      <c r="A360" s="4"/>
      <c r="B360" s="5"/>
      <c r="C360" s="5"/>
      <c r="D360" s="5"/>
      <c r="E360" s="6"/>
      <c r="F360" s="7"/>
      <c r="G360" s="8"/>
      <c r="H360" s="7"/>
      <c r="I360" s="7"/>
      <c r="J360" s="6"/>
      <c r="K360" s="9" t="str">
        <f aca="false">IF(OR($J360="",$J360=0),"",$I360/$J360)</f>
        <v/>
      </c>
      <c r="L360" s="9" t="str">
        <f aca="false">IF(OR($E360="",$E360=0),"",$H360/$E360)</f>
        <v/>
      </c>
      <c r="M360" s="10" t="str">
        <f aca="false">IF(OR($L360="",$L360=0),"",($I360/30)/$L360)</f>
        <v/>
      </c>
      <c r="N360" s="8"/>
      <c r="O360" s="11" t="str">
        <f aca="false">IF(OR($I360="",$N360=""),"",($I360/1000)*$N360)</f>
        <v/>
      </c>
      <c r="P360" s="12" t="str">
        <f aca="false">IF($C360="","",IFERROR(ROUND(MIN(25,($N360/Instellingen!$B$3)*25)+MIN(25,($I360/Instellingen!$B$4)*25)+MIN(25,($J360/Instellingen!$B$5)*25)+MIN(25,(IF($M360="",0,$M360)/Instellingen!$B$6)*25),0),""))</f>
        <v/>
      </c>
      <c r="Q360" s="13" t="str">
        <f aca="false">IF($P360="","",IF($P360&gt;=Instellingen!$B$7,"Sterke niche",IF($P360&gt;=Instellingen!$B$8,"Belofte - opvolgen",IF($P360&gt;=Instellingen!$B$9,"Zwak - twijfel","Vermijden"))))</f>
        <v/>
      </c>
      <c r="R360" s="5"/>
      <c r="T360" s="1" t="str">
        <f aca="false">IF($C360="","",IF($P360=_xlfn.MAXIFS($P$3:$P$1000,$B$3:$B$1000,$B360),"★ Cash cow – handmatig onderzoeken",""))</f>
        <v/>
      </c>
    </row>
    <row r="361" customFormat="false" ht="14.25" hidden="false" customHeight="true" outlineLevel="0" collapsed="false">
      <c r="A361" s="4"/>
      <c r="B361" s="5"/>
      <c r="C361" s="5"/>
      <c r="D361" s="5"/>
      <c r="E361" s="6"/>
      <c r="F361" s="7"/>
      <c r="G361" s="8"/>
      <c r="H361" s="7"/>
      <c r="I361" s="7"/>
      <c r="J361" s="6"/>
      <c r="K361" s="9" t="str">
        <f aca="false">IF(OR($J361="",$J361=0),"",$I361/$J361)</f>
        <v/>
      </c>
      <c r="L361" s="9" t="str">
        <f aca="false">IF(OR($E361="",$E361=0),"",$H361/$E361)</f>
        <v/>
      </c>
      <c r="M361" s="10" t="str">
        <f aca="false">IF(OR($L361="",$L361=0),"",($I361/30)/$L361)</f>
        <v/>
      </c>
      <c r="N361" s="8"/>
      <c r="O361" s="11" t="str">
        <f aca="false">IF(OR($I361="",$N361=""),"",($I361/1000)*$N361)</f>
        <v/>
      </c>
      <c r="P361" s="12" t="str">
        <f aca="false">IF($C361="","",IFERROR(ROUND(MIN(25,($N361/Instellingen!$B$3)*25)+MIN(25,($I361/Instellingen!$B$4)*25)+MIN(25,($J361/Instellingen!$B$5)*25)+MIN(25,(IF($M361="",0,$M361)/Instellingen!$B$6)*25),0),""))</f>
        <v/>
      </c>
      <c r="Q361" s="13" t="str">
        <f aca="false">IF($P361="","",IF($P361&gt;=Instellingen!$B$7,"Sterke niche",IF($P361&gt;=Instellingen!$B$8,"Belofte - opvolgen",IF($P361&gt;=Instellingen!$B$9,"Zwak - twijfel","Vermijden"))))</f>
        <v/>
      </c>
      <c r="R361" s="5"/>
      <c r="T361" s="1" t="str">
        <f aca="false">IF($C361="","",IF($P361=_xlfn.MAXIFS($P$3:$P$1000,$B$3:$B$1000,$B361),"★ Cash cow – handmatig onderzoeken",""))</f>
        <v/>
      </c>
    </row>
    <row r="362" customFormat="false" ht="14.25" hidden="false" customHeight="true" outlineLevel="0" collapsed="false">
      <c r="A362" s="4"/>
      <c r="B362" s="5"/>
      <c r="C362" s="5"/>
      <c r="D362" s="5"/>
      <c r="E362" s="6"/>
      <c r="F362" s="7"/>
      <c r="G362" s="8"/>
      <c r="H362" s="7"/>
      <c r="I362" s="7"/>
      <c r="J362" s="6"/>
      <c r="K362" s="9" t="str">
        <f aca="false">IF(OR($J362="",$J362=0),"",$I362/$J362)</f>
        <v/>
      </c>
      <c r="L362" s="9" t="str">
        <f aca="false">IF(OR($E362="",$E362=0),"",$H362/$E362)</f>
        <v/>
      </c>
      <c r="M362" s="10" t="str">
        <f aca="false">IF(OR($L362="",$L362=0),"",($I362/30)/$L362)</f>
        <v/>
      </c>
      <c r="N362" s="8"/>
      <c r="O362" s="11" t="str">
        <f aca="false">IF(OR($I362="",$N362=""),"",($I362/1000)*$N362)</f>
        <v/>
      </c>
      <c r="P362" s="12" t="str">
        <f aca="false">IF($C362="","",IFERROR(ROUND(MIN(25,($N362/Instellingen!$B$3)*25)+MIN(25,($I362/Instellingen!$B$4)*25)+MIN(25,($J362/Instellingen!$B$5)*25)+MIN(25,(IF($M362="",0,$M362)/Instellingen!$B$6)*25),0),""))</f>
        <v/>
      </c>
      <c r="Q362" s="13" t="str">
        <f aca="false">IF($P362="","",IF($P362&gt;=Instellingen!$B$7,"Sterke niche",IF($P362&gt;=Instellingen!$B$8,"Belofte - opvolgen",IF($P362&gt;=Instellingen!$B$9,"Zwak - twijfel","Vermijden"))))</f>
        <v/>
      </c>
      <c r="R362" s="5"/>
      <c r="T362" s="1" t="str">
        <f aca="false">IF($C362="","",IF($P362=_xlfn.MAXIFS($P$3:$P$1000,$B$3:$B$1000,$B362),"★ Cash cow – handmatig onderzoeken",""))</f>
        <v/>
      </c>
    </row>
    <row r="363" customFormat="false" ht="14.25" hidden="false" customHeight="true" outlineLevel="0" collapsed="false">
      <c r="A363" s="4"/>
      <c r="B363" s="5"/>
      <c r="C363" s="5"/>
      <c r="D363" s="5"/>
      <c r="E363" s="6"/>
      <c r="F363" s="7"/>
      <c r="G363" s="8"/>
      <c r="H363" s="7"/>
      <c r="I363" s="7"/>
      <c r="J363" s="6"/>
      <c r="K363" s="9" t="str">
        <f aca="false">IF(OR($J363="",$J363=0),"",$I363/$J363)</f>
        <v/>
      </c>
      <c r="L363" s="9" t="str">
        <f aca="false">IF(OR($E363="",$E363=0),"",$H363/$E363)</f>
        <v/>
      </c>
      <c r="M363" s="10" t="str">
        <f aca="false">IF(OR($L363="",$L363=0),"",($I363/30)/$L363)</f>
        <v/>
      </c>
      <c r="N363" s="8"/>
      <c r="O363" s="11" t="str">
        <f aca="false">IF(OR($I363="",$N363=""),"",($I363/1000)*$N363)</f>
        <v/>
      </c>
      <c r="P363" s="12" t="str">
        <f aca="false">IF($C363="","",IFERROR(ROUND(MIN(25,($N363/Instellingen!$B$3)*25)+MIN(25,($I363/Instellingen!$B$4)*25)+MIN(25,($J363/Instellingen!$B$5)*25)+MIN(25,(IF($M363="",0,$M363)/Instellingen!$B$6)*25),0),""))</f>
        <v/>
      </c>
      <c r="Q363" s="13" t="str">
        <f aca="false">IF($P363="","",IF($P363&gt;=Instellingen!$B$7,"Sterke niche",IF($P363&gt;=Instellingen!$B$8,"Belofte - opvolgen",IF($P363&gt;=Instellingen!$B$9,"Zwak - twijfel","Vermijden"))))</f>
        <v/>
      </c>
      <c r="R363" s="5"/>
      <c r="T363" s="1" t="str">
        <f aca="false">IF($C363="","",IF($P363=_xlfn.MAXIFS($P$3:$P$1000,$B$3:$B$1000,$B363),"★ Cash cow – handmatig onderzoeken",""))</f>
        <v/>
      </c>
    </row>
    <row r="364" customFormat="false" ht="14.25" hidden="false" customHeight="true" outlineLevel="0" collapsed="false">
      <c r="A364" s="4"/>
      <c r="B364" s="5"/>
      <c r="C364" s="5"/>
      <c r="D364" s="5"/>
      <c r="E364" s="6"/>
      <c r="F364" s="7"/>
      <c r="G364" s="8"/>
      <c r="H364" s="7"/>
      <c r="I364" s="7"/>
      <c r="J364" s="6"/>
      <c r="K364" s="9" t="str">
        <f aca="false">IF(OR($J364="",$J364=0),"",$I364/$J364)</f>
        <v/>
      </c>
      <c r="L364" s="9" t="str">
        <f aca="false">IF(OR($E364="",$E364=0),"",$H364/$E364)</f>
        <v/>
      </c>
      <c r="M364" s="10" t="str">
        <f aca="false">IF(OR($L364="",$L364=0),"",($I364/30)/$L364)</f>
        <v/>
      </c>
      <c r="N364" s="8"/>
      <c r="O364" s="11" t="str">
        <f aca="false">IF(OR($I364="",$N364=""),"",($I364/1000)*$N364)</f>
        <v/>
      </c>
      <c r="P364" s="12" t="str">
        <f aca="false">IF($C364="","",IFERROR(ROUND(MIN(25,($N364/Instellingen!$B$3)*25)+MIN(25,($I364/Instellingen!$B$4)*25)+MIN(25,($J364/Instellingen!$B$5)*25)+MIN(25,(IF($M364="",0,$M364)/Instellingen!$B$6)*25),0),""))</f>
        <v/>
      </c>
      <c r="Q364" s="13" t="str">
        <f aca="false">IF($P364="","",IF($P364&gt;=Instellingen!$B$7,"Sterke niche",IF($P364&gt;=Instellingen!$B$8,"Belofte - opvolgen",IF($P364&gt;=Instellingen!$B$9,"Zwak - twijfel","Vermijden"))))</f>
        <v/>
      </c>
      <c r="R364" s="5"/>
      <c r="T364" s="1" t="str">
        <f aca="false">IF($C364="","",IF($P364=_xlfn.MAXIFS($P$3:$P$1000,$B$3:$B$1000,$B364),"★ Cash cow – handmatig onderzoeken",""))</f>
        <v/>
      </c>
    </row>
    <row r="365" customFormat="false" ht="14.25" hidden="false" customHeight="true" outlineLevel="0" collapsed="false">
      <c r="A365" s="4"/>
      <c r="B365" s="5"/>
      <c r="C365" s="5"/>
      <c r="D365" s="5"/>
      <c r="E365" s="6"/>
      <c r="F365" s="7"/>
      <c r="G365" s="8"/>
      <c r="H365" s="7"/>
      <c r="I365" s="7"/>
      <c r="J365" s="6"/>
      <c r="K365" s="9" t="str">
        <f aca="false">IF(OR($J365="",$J365=0),"",$I365/$J365)</f>
        <v/>
      </c>
      <c r="L365" s="9" t="str">
        <f aca="false">IF(OR($E365="",$E365=0),"",$H365/$E365)</f>
        <v/>
      </c>
      <c r="M365" s="10" t="str">
        <f aca="false">IF(OR($L365="",$L365=0),"",($I365/30)/$L365)</f>
        <v/>
      </c>
      <c r="N365" s="8"/>
      <c r="O365" s="11" t="str">
        <f aca="false">IF(OR($I365="",$N365=""),"",($I365/1000)*$N365)</f>
        <v/>
      </c>
      <c r="P365" s="12" t="str">
        <f aca="false">IF($C365="","",IFERROR(ROUND(MIN(25,($N365/Instellingen!$B$3)*25)+MIN(25,($I365/Instellingen!$B$4)*25)+MIN(25,($J365/Instellingen!$B$5)*25)+MIN(25,(IF($M365="",0,$M365)/Instellingen!$B$6)*25),0),""))</f>
        <v/>
      </c>
      <c r="Q365" s="13" t="str">
        <f aca="false">IF($P365="","",IF($P365&gt;=Instellingen!$B$7,"Sterke niche",IF($P365&gt;=Instellingen!$B$8,"Belofte - opvolgen",IF($P365&gt;=Instellingen!$B$9,"Zwak - twijfel","Vermijden"))))</f>
        <v/>
      </c>
      <c r="R365" s="5"/>
      <c r="T365" s="1" t="str">
        <f aca="false">IF($C365="","",IF($P365=_xlfn.MAXIFS($P$3:$P$1000,$B$3:$B$1000,$B365),"★ Cash cow – handmatig onderzoeken",""))</f>
        <v/>
      </c>
    </row>
    <row r="366" customFormat="false" ht="14.25" hidden="false" customHeight="true" outlineLevel="0" collapsed="false">
      <c r="A366" s="4"/>
      <c r="B366" s="5"/>
      <c r="C366" s="5"/>
      <c r="D366" s="5"/>
      <c r="E366" s="6"/>
      <c r="F366" s="7"/>
      <c r="G366" s="8"/>
      <c r="H366" s="7"/>
      <c r="I366" s="7"/>
      <c r="J366" s="6"/>
      <c r="K366" s="9" t="str">
        <f aca="false">IF(OR($J366="",$J366=0),"",$I366/$J366)</f>
        <v/>
      </c>
      <c r="L366" s="9" t="str">
        <f aca="false">IF(OR($E366="",$E366=0),"",$H366/$E366)</f>
        <v/>
      </c>
      <c r="M366" s="10" t="str">
        <f aca="false">IF(OR($L366="",$L366=0),"",($I366/30)/$L366)</f>
        <v/>
      </c>
      <c r="N366" s="8"/>
      <c r="O366" s="11" t="str">
        <f aca="false">IF(OR($I366="",$N366=""),"",($I366/1000)*$N366)</f>
        <v/>
      </c>
      <c r="P366" s="12" t="str">
        <f aca="false">IF($C366="","",IFERROR(ROUND(MIN(25,($N366/Instellingen!$B$3)*25)+MIN(25,($I366/Instellingen!$B$4)*25)+MIN(25,($J366/Instellingen!$B$5)*25)+MIN(25,(IF($M366="",0,$M366)/Instellingen!$B$6)*25),0),""))</f>
        <v/>
      </c>
      <c r="Q366" s="13" t="str">
        <f aca="false">IF($P366="","",IF($P366&gt;=Instellingen!$B$7,"Sterke niche",IF($P366&gt;=Instellingen!$B$8,"Belofte - opvolgen",IF($P366&gt;=Instellingen!$B$9,"Zwak - twijfel","Vermijden"))))</f>
        <v/>
      </c>
      <c r="R366" s="5"/>
      <c r="T366" s="1" t="str">
        <f aca="false">IF($C366="","",IF($P366=_xlfn.MAXIFS($P$3:$P$1000,$B$3:$B$1000,$B366),"★ Cash cow – handmatig onderzoeken",""))</f>
        <v/>
      </c>
    </row>
    <row r="367" customFormat="false" ht="14.25" hidden="false" customHeight="true" outlineLevel="0" collapsed="false">
      <c r="A367" s="4"/>
      <c r="B367" s="5"/>
      <c r="C367" s="5"/>
      <c r="D367" s="5"/>
      <c r="E367" s="6"/>
      <c r="F367" s="7"/>
      <c r="G367" s="8"/>
      <c r="H367" s="7"/>
      <c r="I367" s="7"/>
      <c r="J367" s="6"/>
      <c r="K367" s="9" t="str">
        <f aca="false">IF(OR($J367="",$J367=0),"",$I367/$J367)</f>
        <v/>
      </c>
      <c r="L367" s="9" t="str">
        <f aca="false">IF(OR($E367="",$E367=0),"",$H367/$E367)</f>
        <v/>
      </c>
      <c r="M367" s="10" t="str">
        <f aca="false">IF(OR($L367="",$L367=0),"",($I367/30)/$L367)</f>
        <v/>
      </c>
      <c r="N367" s="8"/>
      <c r="O367" s="11" t="str">
        <f aca="false">IF(OR($I367="",$N367=""),"",($I367/1000)*$N367)</f>
        <v/>
      </c>
      <c r="P367" s="12" t="str">
        <f aca="false">IF($C367="","",IFERROR(ROUND(MIN(25,($N367/Instellingen!$B$3)*25)+MIN(25,($I367/Instellingen!$B$4)*25)+MIN(25,($J367/Instellingen!$B$5)*25)+MIN(25,(IF($M367="",0,$M367)/Instellingen!$B$6)*25),0),""))</f>
        <v/>
      </c>
      <c r="Q367" s="13" t="str">
        <f aca="false">IF($P367="","",IF($P367&gt;=Instellingen!$B$7,"Sterke niche",IF($P367&gt;=Instellingen!$B$8,"Belofte - opvolgen",IF($P367&gt;=Instellingen!$B$9,"Zwak - twijfel","Vermijden"))))</f>
        <v/>
      </c>
      <c r="R367" s="5"/>
      <c r="T367" s="1" t="str">
        <f aca="false">IF($C367="","",IF($P367=_xlfn.MAXIFS($P$3:$P$1000,$B$3:$B$1000,$B367),"★ Cash cow – handmatig onderzoeken",""))</f>
        <v/>
      </c>
    </row>
    <row r="368" customFormat="false" ht="14.25" hidden="false" customHeight="true" outlineLevel="0" collapsed="false">
      <c r="A368" s="4"/>
      <c r="B368" s="5"/>
      <c r="C368" s="5"/>
      <c r="D368" s="5"/>
      <c r="E368" s="6"/>
      <c r="F368" s="7"/>
      <c r="G368" s="8"/>
      <c r="H368" s="7"/>
      <c r="I368" s="7"/>
      <c r="J368" s="6"/>
      <c r="K368" s="9" t="str">
        <f aca="false">IF(OR($J368="",$J368=0),"",$I368/$J368)</f>
        <v/>
      </c>
      <c r="L368" s="9" t="str">
        <f aca="false">IF(OR($E368="",$E368=0),"",$H368/$E368)</f>
        <v/>
      </c>
      <c r="M368" s="10" t="str">
        <f aca="false">IF(OR($L368="",$L368=0),"",($I368/30)/$L368)</f>
        <v/>
      </c>
      <c r="N368" s="8"/>
      <c r="O368" s="11" t="str">
        <f aca="false">IF(OR($I368="",$N368=""),"",($I368/1000)*$N368)</f>
        <v/>
      </c>
      <c r="P368" s="12" t="str">
        <f aca="false">IF($C368="","",IFERROR(ROUND(MIN(25,($N368/Instellingen!$B$3)*25)+MIN(25,($I368/Instellingen!$B$4)*25)+MIN(25,($J368/Instellingen!$B$5)*25)+MIN(25,(IF($M368="",0,$M368)/Instellingen!$B$6)*25),0),""))</f>
        <v/>
      </c>
      <c r="Q368" s="13" t="str">
        <f aca="false">IF($P368="","",IF($P368&gt;=Instellingen!$B$7,"Sterke niche",IF($P368&gt;=Instellingen!$B$8,"Belofte - opvolgen",IF($P368&gt;=Instellingen!$B$9,"Zwak - twijfel","Vermijden"))))</f>
        <v/>
      </c>
      <c r="R368" s="5"/>
      <c r="T368" s="1" t="str">
        <f aca="false">IF($C368="","",IF($P368=_xlfn.MAXIFS($P$3:$P$1000,$B$3:$B$1000,$B368),"★ Cash cow – handmatig onderzoeken",""))</f>
        <v/>
      </c>
    </row>
    <row r="369" customFormat="false" ht="14.25" hidden="false" customHeight="true" outlineLevel="0" collapsed="false">
      <c r="A369" s="4"/>
      <c r="B369" s="5"/>
      <c r="C369" s="5"/>
      <c r="D369" s="5"/>
      <c r="E369" s="6"/>
      <c r="F369" s="7"/>
      <c r="G369" s="8"/>
      <c r="H369" s="7"/>
      <c r="I369" s="7"/>
      <c r="J369" s="6"/>
      <c r="K369" s="9" t="str">
        <f aca="false">IF(OR($J369="",$J369=0),"",$I369/$J369)</f>
        <v/>
      </c>
      <c r="L369" s="9" t="str">
        <f aca="false">IF(OR($E369="",$E369=0),"",$H369/$E369)</f>
        <v/>
      </c>
      <c r="M369" s="10" t="str">
        <f aca="false">IF(OR($L369="",$L369=0),"",($I369/30)/$L369)</f>
        <v/>
      </c>
      <c r="N369" s="8"/>
      <c r="O369" s="11" t="str">
        <f aca="false">IF(OR($I369="",$N369=""),"",($I369/1000)*$N369)</f>
        <v/>
      </c>
      <c r="P369" s="12" t="str">
        <f aca="false">IF($C369="","",IFERROR(ROUND(MIN(25,($N369/Instellingen!$B$3)*25)+MIN(25,($I369/Instellingen!$B$4)*25)+MIN(25,($J369/Instellingen!$B$5)*25)+MIN(25,(IF($M369="",0,$M369)/Instellingen!$B$6)*25),0),""))</f>
        <v/>
      </c>
      <c r="Q369" s="13" t="str">
        <f aca="false">IF($P369="","",IF($P369&gt;=Instellingen!$B$7,"Sterke niche",IF($P369&gt;=Instellingen!$B$8,"Belofte - opvolgen",IF($P369&gt;=Instellingen!$B$9,"Zwak - twijfel","Vermijden"))))</f>
        <v/>
      </c>
      <c r="R369" s="5"/>
      <c r="T369" s="1" t="str">
        <f aca="false">IF($C369="","",IF($P369=_xlfn.MAXIFS($P$3:$P$1000,$B$3:$B$1000,$B369),"★ Cash cow – handmatig onderzoeken",""))</f>
        <v/>
      </c>
    </row>
    <row r="370" customFormat="false" ht="14.25" hidden="false" customHeight="true" outlineLevel="0" collapsed="false">
      <c r="A370" s="4"/>
      <c r="B370" s="5"/>
      <c r="C370" s="5"/>
      <c r="D370" s="5"/>
      <c r="E370" s="6"/>
      <c r="F370" s="7"/>
      <c r="G370" s="8"/>
      <c r="H370" s="7"/>
      <c r="I370" s="7"/>
      <c r="J370" s="6"/>
      <c r="K370" s="9" t="str">
        <f aca="false">IF(OR($J370="",$J370=0),"",$I370/$J370)</f>
        <v/>
      </c>
      <c r="L370" s="9" t="str">
        <f aca="false">IF(OR($E370="",$E370=0),"",$H370/$E370)</f>
        <v/>
      </c>
      <c r="M370" s="10" t="str">
        <f aca="false">IF(OR($L370="",$L370=0),"",($I370/30)/$L370)</f>
        <v/>
      </c>
      <c r="N370" s="8"/>
      <c r="O370" s="11" t="str">
        <f aca="false">IF(OR($I370="",$N370=""),"",($I370/1000)*$N370)</f>
        <v/>
      </c>
      <c r="P370" s="12" t="str">
        <f aca="false">IF($C370="","",IFERROR(ROUND(MIN(25,($N370/Instellingen!$B$3)*25)+MIN(25,($I370/Instellingen!$B$4)*25)+MIN(25,($J370/Instellingen!$B$5)*25)+MIN(25,(IF($M370="",0,$M370)/Instellingen!$B$6)*25),0),""))</f>
        <v/>
      </c>
      <c r="Q370" s="13" t="str">
        <f aca="false">IF($P370="","",IF($P370&gt;=Instellingen!$B$7,"Sterke niche",IF($P370&gt;=Instellingen!$B$8,"Belofte - opvolgen",IF($P370&gt;=Instellingen!$B$9,"Zwak - twijfel","Vermijden"))))</f>
        <v/>
      </c>
      <c r="R370" s="5"/>
      <c r="T370" s="1" t="str">
        <f aca="false">IF($C370="","",IF($P370=_xlfn.MAXIFS($P$3:$P$1000,$B$3:$B$1000,$B370),"★ Cash cow – handmatig onderzoeken",""))</f>
        <v/>
      </c>
    </row>
    <row r="371" customFormat="false" ht="14.25" hidden="false" customHeight="true" outlineLevel="0" collapsed="false">
      <c r="A371" s="4"/>
      <c r="B371" s="5"/>
      <c r="C371" s="5"/>
      <c r="D371" s="5"/>
      <c r="E371" s="6"/>
      <c r="F371" s="7"/>
      <c r="G371" s="8"/>
      <c r="H371" s="7"/>
      <c r="I371" s="7"/>
      <c r="J371" s="6"/>
      <c r="K371" s="9" t="str">
        <f aca="false">IF(OR($J371="",$J371=0),"",$I371/$J371)</f>
        <v/>
      </c>
      <c r="L371" s="9" t="str">
        <f aca="false">IF(OR($E371="",$E371=0),"",$H371/$E371)</f>
        <v/>
      </c>
      <c r="M371" s="10" t="str">
        <f aca="false">IF(OR($L371="",$L371=0),"",($I371/30)/$L371)</f>
        <v/>
      </c>
      <c r="N371" s="8"/>
      <c r="O371" s="11" t="str">
        <f aca="false">IF(OR($I371="",$N371=""),"",($I371/1000)*$N371)</f>
        <v/>
      </c>
      <c r="P371" s="12" t="str">
        <f aca="false">IF($C371="","",IFERROR(ROUND(MIN(25,($N371/Instellingen!$B$3)*25)+MIN(25,($I371/Instellingen!$B$4)*25)+MIN(25,($J371/Instellingen!$B$5)*25)+MIN(25,(IF($M371="",0,$M371)/Instellingen!$B$6)*25),0),""))</f>
        <v/>
      </c>
      <c r="Q371" s="13" t="str">
        <f aca="false">IF($P371="","",IF($P371&gt;=Instellingen!$B$7,"Sterke niche",IF($P371&gt;=Instellingen!$B$8,"Belofte - opvolgen",IF($P371&gt;=Instellingen!$B$9,"Zwak - twijfel","Vermijden"))))</f>
        <v/>
      </c>
      <c r="R371" s="5"/>
      <c r="T371" s="1" t="str">
        <f aca="false">IF($C371="","",IF($P371=_xlfn.MAXIFS($P$3:$P$1000,$B$3:$B$1000,$B371),"★ Cash cow – handmatig onderzoeken",""))</f>
        <v/>
      </c>
    </row>
    <row r="372" customFormat="false" ht="14.25" hidden="false" customHeight="true" outlineLevel="0" collapsed="false">
      <c r="A372" s="4"/>
      <c r="B372" s="5"/>
      <c r="C372" s="5"/>
      <c r="D372" s="5"/>
      <c r="E372" s="6"/>
      <c r="F372" s="7"/>
      <c r="G372" s="8"/>
      <c r="H372" s="7"/>
      <c r="I372" s="7"/>
      <c r="J372" s="6"/>
      <c r="K372" s="9" t="str">
        <f aca="false">IF(OR($J372="",$J372=0),"",$I372/$J372)</f>
        <v/>
      </c>
      <c r="L372" s="9" t="str">
        <f aca="false">IF(OR($E372="",$E372=0),"",$H372/$E372)</f>
        <v/>
      </c>
      <c r="M372" s="10" t="str">
        <f aca="false">IF(OR($L372="",$L372=0),"",($I372/30)/$L372)</f>
        <v/>
      </c>
      <c r="N372" s="8"/>
      <c r="O372" s="11" t="str">
        <f aca="false">IF(OR($I372="",$N372=""),"",($I372/1000)*$N372)</f>
        <v/>
      </c>
      <c r="P372" s="12" t="str">
        <f aca="false">IF($C372="","",IFERROR(ROUND(MIN(25,($N372/Instellingen!$B$3)*25)+MIN(25,($I372/Instellingen!$B$4)*25)+MIN(25,($J372/Instellingen!$B$5)*25)+MIN(25,(IF($M372="",0,$M372)/Instellingen!$B$6)*25),0),""))</f>
        <v/>
      </c>
      <c r="Q372" s="13" t="str">
        <f aca="false">IF($P372="","",IF($P372&gt;=Instellingen!$B$7,"Sterke niche",IF($P372&gt;=Instellingen!$B$8,"Belofte - opvolgen",IF($P372&gt;=Instellingen!$B$9,"Zwak - twijfel","Vermijden"))))</f>
        <v/>
      </c>
      <c r="R372" s="5"/>
      <c r="T372" s="1" t="str">
        <f aca="false">IF($C372="","",IF($P372=_xlfn.MAXIFS($P$3:$P$1000,$B$3:$B$1000,$B372),"★ Cash cow – handmatig onderzoeken",""))</f>
        <v/>
      </c>
    </row>
    <row r="373" customFormat="false" ht="14.25" hidden="false" customHeight="true" outlineLevel="0" collapsed="false">
      <c r="A373" s="4"/>
      <c r="B373" s="5"/>
      <c r="C373" s="5"/>
      <c r="D373" s="5"/>
      <c r="E373" s="6"/>
      <c r="F373" s="7"/>
      <c r="G373" s="8"/>
      <c r="H373" s="7"/>
      <c r="I373" s="7"/>
      <c r="J373" s="6"/>
      <c r="K373" s="9" t="str">
        <f aca="false">IF(OR($J373="",$J373=0),"",$I373/$J373)</f>
        <v/>
      </c>
      <c r="L373" s="9" t="str">
        <f aca="false">IF(OR($E373="",$E373=0),"",$H373/$E373)</f>
        <v/>
      </c>
      <c r="M373" s="10" t="str">
        <f aca="false">IF(OR($L373="",$L373=0),"",($I373/30)/$L373)</f>
        <v/>
      </c>
      <c r="N373" s="8"/>
      <c r="O373" s="11" t="str">
        <f aca="false">IF(OR($I373="",$N373=""),"",($I373/1000)*$N373)</f>
        <v/>
      </c>
      <c r="P373" s="12" t="str">
        <f aca="false">IF($C373="","",IFERROR(ROUND(MIN(25,($N373/Instellingen!$B$3)*25)+MIN(25,($I373/Instellingen!$B$4)*25)+MIN(25,($J373/Instellingen!$B$5)*25)+MIN(25,(IF($M373="",0,$M373)/Instellingen!$B$6)*25),0),""))</f>
        <v/>
      </c>
      <c r="Q373" s="13" t="str">
        <f aca="false">IF($P373="","",IF($P373&gt;=Instellingen!$B$7,"Sterke niche",IF($P373&gt;=Instellingen!$B$8,"Belofte - opvolgen",IF($P373&gt;=Instellingen!$B$9,"Zwak - twijfel","Vermijden"))))</f>
        <v/>
      </c>
      <c r="R373" s="5"/>
      <c r="T373" s="1" t="str">
        <f aca="false">IF($C373="","",IF($P373=_xlfn.MAXIFS($P$3:$P$1000,$B$3:$B$1000,$B373),"★ Cash cow – handmatig onderzoeken",""))</f>
        <v/>
      </c>
    </row>
    <row r="374" customFormat="false" ht="14.25" hidden="false" customHeight="true" outlineLevel="0" collapsed="false">
      <c r="A374" s="4"/>
      <c r="B374" s="5"/>
      <c r="C374" s="5"/>
      <c r="D374" s="5"/>
      <c r="E374" s="6"/>
      <c r="F374" s="7"/>
      <c r="G374" s="8"/>
      <c r="H374" s="7"/>
      <c r="I374" s="7"/>
      <c r="J374" s="6"/>
      <c r="K374" s="9" t="str">
        <f aca="false">IF(OR($J374="",$J374=0),"",$I374/$J374)</f>
        <v/>
      </c>
      <c r="L374" s="9" t="str">
        <f aca="false">IF(OR($E374="",$E374=0),"",$H374/$E374)</f>
        <v/>
      </c>
      <c r="M374" s="10" t="str">
        <f aca="false">IF(OR($L374="",$L374=0),"",($I374/30)/$L374)</f>
        <v/>
      </c>
      <c r="N374" s="8"/>
      <c r="O374" s="11" t="str">
        <f aca="false">IF(OR($I374="",$N374=""),"",($I374/1000)*$N374)</f>
        <v/>
      </c>
      <c r="P374" s="12" t="str">
        <f aca="false">IF($C374="","",IFERROR(ROUND(MIN(25,($N374/Instellingen!$B$3)*25)+MIN(25,($I374/Instellingen!$B$4)*25)+MIN(25,($J374/Instellingen!$B$5)*25)+MIN(25,(IF($M374="",0,$M374)/Instellingen!$B$6)*25),0),""))</f>
        <v/>
      </c>
      <c r="Q374" s="13" t="str">
        <f aca="false">IF($P374="","",IF($P374&gt;=Instellingen!$B$7,"Sterke niche",IF($P374&gt;=Instellingen!$B$8,"Belofte - opvolgen",IF($P374&gt;=Instellingen!$B$9,"Zwak - twijfel","Vermijden"))))</f>
        <v/>
      </c>
      <c r="R374" s="5"/>
      <c r="T374" s="1" t="str">
        <f aca="false">IF($C374="","",IF($P374=_xlfn.MAXIFS($P$3:$P$1000,$B$3:$B$1000,$B374),"★ Cash cow – handmatig onderzoeken",""))</f>
        <v/>
      </c>
    </row>
    <row r="375" customFormat="false" ht="14.25" hidden="false" customHeight="true" outlineLevel="0" collapsed="false">
      <c r="A375" s="4"/>
      <c r="B375" s="5"/>
      <c r="C375" s="5"/>
      <c r="D375" s="5"/>
      <c r="E375" s="6"/>
      <c r="F375" s="7"/>
      <c r="G375" s="8"/>
      <c r="H375" s="7"/>
      <c r="I375" s="7"/>
      <c r="J375" s="6"/>
      <c r="K375" s="9" t="str">
        <f aca="false">IF(OR($J375="",$J375=0),"",$I375/$J375)</f>
        <v/>
      </c>
      <c r="L375" s="9" t="str">
        <f aca="false">IF(OR($E375="",$E375=0),"",$H375/$E375)</f>
        <v/>
      </c>
      <c r="M375" s="10" t="str">
        <f aca="false">IF(OR($L375="",$L375=0),"",($I375/30)/$L375)</f>
        <v/>
      </c>
      <c r="N375" s="8"/>
      <c r="O375" s="11" t="str">
        <f aca="false">IF(OR($I375="",$N375=""),"",($I375/1000)*$N375)</f>
        <v/>
      </c>
      <c r="P375" s="12" t="str">
        <f aca="false">IF($C375="","",IFERROR(ROUND(MIN(25,($N375/Instellingen!$B$3)*25)+MIN(25,($I375/Instellingen!$B$4)*25)+MIN(25,($J375/Instellingen!$B$5)*25)+MIN(25,(IF($M375="",0,$M375)/Instellingen!$B$6)*25),0),""))</f>
        <v/>
      </c>
      <c r="Q375" s="13" t="str">
        <f aca="false">IF($P375="","",IF($P375&gt;=Instellingen!$B$7,"Sterke niche",IF($P375&gt;=Instellingen!$B$8,"Belofte - opvolgen",IF($P375&gt;=Instellingen!$B$9,"Zwak - twijfel","Vermijden"))))</f>
        <v/>
      </c>
      <c r="R375" s="5"/>
      <c r="T375" s="1" t="str">
        <f aca="false">IF($C375="","",IF($P375=_xlfn.MAXIFS($P$3:$P$1000,$B$3:$B$1000,$B375),"★ Cash cow – handmatig onderzoeken",""))</f>
        <v/>
      </c>
    </row>
    <row r="376" customFormat="false" ht="14.25" hidden="false" customHeight="true" outlineLevel="0" collapsed="false">
      <c r="A376" s="4"/>
      <c r="B376" s="5"/>
      <c r="C376" s="5"/>
      <c r="D376" s="5"/>
      <c r="E376" s="6"/>
      <c r="F376" s="7"/>
      <c r="G376" s="8"/>
      <c r="H376" s="7"/>
      <c r="I376" s="7"/>
      <c r="J376" s="6"/>
      <c r="K376" s="9" t="str">
        <f aca="false">IF(OR($J376="",$J376=0),"",$I376/$J376)</f>
        <v/>
      </c>
      <c r="L376" s="9" t="str">
        <f aca="false">IF(OR($E376="",$E376=0),"",$H376/$E376)</f>
        <v/>
      </c>
      <c r="M376" s="10" t="str">
        <f aca="false">IF(OR($L376="",$L376=0),"",($I376/30)/$L376)</f>
        <v/>
      </c>
      <c r="N376" s="8"/>
      <c r="O376" s="11" t="str">
        <f aca="false">IF(OR($I376="",$N376=""),"",($I376/1000)*$N376)</f>
        <v/>
      </c>
      <c r="P376" s="12" t="str">
        <f aca="false">IF($C376="","",IFERROR(ROUND(MIN(25,($N376/Instellingen!$B$3)*25)+MIN(25,($I376/Instellingen!$B$4)*25)+MIN(25,($J376/Instellingen!$B$5)*25)+MIN(25,(IF($M376="",0,$M376)/Instellingen!$B$6)*25),0),""))</f>
        <v/>
      </c>
      <c r="Q376" s="13" t="str">
        <f aca="false">IF($P376="","",IF($P376&gt;=Instellingen!$B$7,"Sterke niche",IF($P376&gt;=Instellingen!$B$8,"Belofte - opvolgen",IF($P376&gt;=Instellingen!$B$9,"Zwak - twijfel","Vermijden"))))</f>
        <v/>
      </c>
      <c r="R376" s="5"/>
      <c r="T376" s="1" t="str">
        <f aca="false">IF($C376="","",IF($P376=_xlfn.MAXIFS($P$3:$P$1000,$B$3:$B$1000,$B376),"★ Cash cow – handmatig onderzoeken",""))</f>
        <v/>
      </c>
    </row>
    <row r="377" customFormat="false" ht="14.25" hidden="false" customHeight="true" outlineLevel="0" collapsed="false">
      <c r="A377" s="4"/>
      <c r="B377" s="5"/>
      <c r="C377" s="5"/>
      <c r="D377" s="5"/>
      <c r="E377" s="6"/>
      <c r="F377" s="7"/>
      <c r="G377" s="8"/>
      <c r="H377" s="7"/>
      <c r="I377" s="7"/>
      <c r="J377" s="6"/>
      <c r="K377" s="9" t="str">
        <f aca="false">IF(OR($J377="",$J377=0),"",$I377/$J377)</f>
        <v/>
      </c>
      <c r="L377" s="9" t="str">
        <f aca="false">IF(OR($E377="",$E377=0),"",$H377/$E377)</f>
        <v/>
      </c>
      <c r="M377" s="10" t="str">
        <f aca="false">IF(OR($L377="",$L377=0),"",($I377/30)/$L377)</f>
        <v/>
      </c>
      <c r="N377" s="8"/>
      <c r="O377" s="11" t="str">
        <f aca="false">IF(OR($I377="",$N377=""),"",($I377/1000)*$N377)</f>
        <v/>
      </c>
      <c r="P377" s="12" t="str">
        <f aca="false">IF($C377="","",IFERROR(ROUND(MIN(25,($N377/Instellingen!$B$3)*25)+MIN(25,($I377/Instellingen!$B$4)*25)+MIN(25,($J377/Instellingen!$B$5)*25)+MIN(25,(IF($M377="",0,$M377)/Instellingen!$B$6)*25),0),""))</f>
        <v/>
      </c>
      <c r="Q377" s="13" t="str">
        <f aca="false">IF($P377="","",IF($P377&gt;=Instellingen!$B$7,"Sterke niche",IF($P377&gt;=Instellingen!$B$8,"Belofte - opvolgen",IF($P377&gt;=Instellingen!$B$9,"Zwak - twijfel","Vermijden"))))</f>
        <v/>
      </c>
      <c r="R377" s="5"/>
      <c r="T377" s="1" t="str">
        <f aca="false">IF($C377="","",IF($P377=_xlfn.MAXIFS($P$3:$P$1000,$B$3:$B$1000,$B377),"★ Cash cow – handmatig onderzoeken",""))</f>
        <v/>
      </c>
    </row>
    <row r="378" customFormat="false" ht="14.25" hidden="false" customHeight="true" outlineLevel="0" collapsed="false">
      <c r="A378" s="4"/>
      <c r="B378" s="5"/>
      <c r="C378" s="5"/>
      <c r="D378" s="5"/>
      <c r="E378" s="6"/>
      <c r="F378" s="7"/>
      <c r="G378" s="8"/>
      <c r="H378" s="7"/>
      <c r="I378" s="7"/>
      <c r="J378" s="6"/>
      <c r="K378" s="9" t="str">
        <f aca="false">IF(OR($J378="",$J378=0),"",$I378/$J378)</f>
        <v/>
      </c>
      <c r="L378" s="9" t="str">
        <f aca="false">IF(OR($E378="",$E378=0),"",$H378/$E378)</f>
        <v/>
      </c>
      <c r="M378" s="10" t="str">
        <f aca="false">IF(OR($L378="",$L378=0),"",($I378/30)/$L378)</f>
        <v/>
      </c>
      <c r="N378" s="8"/>
      <c r="O378" s="11" t="str">
        <f aca="false">IF(OR($I378="",$N378=""),"",($I378/1000)*$N378)</f>
        <v/>
      </c>
      <c r="P378" s="12" t="str">
        <f aca="false">IF($C378="","",IFERROR(ROUND(MIN(25,($N378/Instellingen!$B$3)*25)+MIN(25,($I378/Instellingen!$B$4)*25)+MIN(25,($J378/Instellingen!$B$5)*25)+MIN(25,(IF($M378="",0,$M378)/Instellingen!$B$6)*25),0),""))</f>
        <v/>
      </c>
      <c r="Q378" s="13" t="str">
        <f aca="false">IF($P378="","",IF($P378&gt;=Instellingen!$B$7,"Sterke niche",IF($P378&gt;=Instellingen!$B$8,"Belofte - opvolgen",IF($P378&gt;=Instellingen!$B$9,"Zwak - twijfel","Vermijden"))))</f>
        <v/>
      </c>
      <c r="R378" s="5"/>
      <c r="T378" s="1" t="str">
        <f aca="false">IF($C378="","",IF($P378=_xlfn.MAXIFS($P$3:$P$1000,$B$3:$B$1000,$B378),"★ Cash cow – handmatig onderzoeken",""))</f>
        <v/>
      </c>
    </row>
    <row r="379" customFormat="false" ht="14.25" hidden="false" customHeight="true" outlineLevel="0" collapsed="false">
      <c r="A379" s="4"/>
      <c r="B379" s="5"/>
      <c r="C379" s="5"/>
      <c r="D379" s="5"/>
      <c r="E379" s="6"/>
      <c r="F379" s="7"/>
      <c r="G379" s="8"/>
      <c r="H379" s="7"/>
      <c r="I379" s="7"/>
      <c r="J379" s="6"/>
      <c r="K379" s="9" t="str">
        <f aca="false">IF(OR($J379="",$J379=0),"",$I379/$J379)</f>
        <v/>
      </c>
      <c r="L379" s="9" t="str">
        <f aca="false">IF(OR($E379="",$E379=0),"",$H379/$E379)</f>
        <v/>
      </c>
      <c r="M379" s="10" t="str">
        <f aca="false">IF(OR($L379="",$L379=0),"",($I379/30)/$L379)</f>
        <v/>
      </c>
      <c r="N379" s="8"/>
      <c r="O379" s="11" t="str">
        <f aca="false">IF(OR($I379="",$N379=""),"",($I379/1000)*$N379)</f>
        <v/>
      </c>
      <c r="P379" s="12" t="str">
        <f aca="false">IF($C379="","",IFERROR(ROUND(MIN(25,($N379/Instellingen!$B$3)*25)+MIN(25,($I379/Instellingen!$B$4)*25)+MIN(25,($J379/Instellingen!$B$5)*25)+MIN(25,(IF($M379="",0,$M379)/Instellingen!$B$6)*25),0),""))</f>
        <v/>
      </c>
      <c r="Q379" s="13" t="str">
        <f aca="false">IF($P379="","",IF($P379&gt;=Instellingen!$B$7,"Sterke niche",IF($P379&gt;=Instellingen!$B$8,"Belofte - opvolgen",IF($P379&gt;=Instellingen!$B$9,"Zwak - twijfel","Vermijden"))))</f>
        <v/>
      </c>
      <c r="R379" s="5"/>
      <c r="T379" s="1" t="str">
        <f aca="false">IF($C379="","",IF($P379=_xlfn.MAXIFS($P$3:$P$1000,$B$3:$B$1000,$B379),"★ Cash cow – handmatig onderzoeken",""))</f>
        <v/>
      </c>
    </row>
    <row r="380" customFormat="false" ht="14.25" hidden="false" customHeight="true" outlineLevel="0" collapsed="false">
      <c r="A380" s="4"/>
      <c r="B380" s="5"/>
      <c r="C380" s="5"/>
      <c r="D380" s="5"/>
      <c r="E380" s="6"/>
      <c r="F380" s="7"/>
      <c r="G380" s="8"/>
      <c r="H380" s="7"/>
      <c r="I380" s="7"/>
      <c r="J380" s="6"/>
      <c r="K380" s="9" t="str">
        <f aca="false">IF(OR($J380="",$J380=0),"",$I380/$J380)</f>
        <v/>
      </c>
      <c r="L380" s="9" t="str">
        <f aca="false">IF(OR($E380="",$E380=0),"",$H380/$E380)</f>
        <v/>
      </c>
      <c r="M380" s="10" t="str">
        <f aca="false">IF(OR($L380="",$L380=0),"",($I380/30)/$L380)</f>
        <v/>
      </c>
      <c r="N380" s="8"/>
      <c r="O380" s="11" t="str">
        <f aca="false">IF(OR($I380="",$N380=""),"",($I380/1000)*$N380)</f>
        <v/>
      </c>
      <c r="P380" s="12" t="str">
        <f aca="false">IF($C380="","",IFERROR(ROUND(MIN(25,($N380/Instellingen!$B$3)*25)+MIN(25,($I380/Instellingen!$B$4)*25)+MIN(25,($J380/Instellingen!$B$5)*25)+MIN(25,(IF($M380="",0,$M380)/Instellingen!$B$6)*25),0),""))</f>
        <v/>
      </c>
      <c r="Q380" s="13" t="str">
        <f aca="false">IF($P380="","",IF($P380&gt;=Instellingen!$B$7,"Sterke niche",IF($P380&gt;=Instellingen!$B$8,"Belofte - opvolgen",IF($P380&gt;=Instellingen!$B$9,"Zwak - twijfel","Vermijden"))))</f>
        <v/>
      </c>
      <c r="R380" s="5"/>
      <c r="T380" s="1" t="str">
        <f aca="false">IF($C380="","",IF($P380=_xlfn.MAXIFS($P$3:$P$1000,$B$3:$B$1000,$B380),"★ Cash cow – handmatig onderzoeken",""))</f>
        <v/>
      </c>
    </row>
    <row r="381" customFormat="false" ht="14.25" hidden="false" customHeight="true" outlineLevel="0" collapsed="false">
      <c r="A381" s="4"/>
      <c r="B381" s="5"/>
      <c r="C381" s="5"/>
      <c r="D381" s="5"/>
      <c r="E381" s="6"/>
      <c r="F381" s="7"/>
      <c r="G381" s="8"/>
      <c r="H381" s="7"/>
      <c r="I381" s="7"/>
      <c r="J381" s="6"/>
      <c r="K381" s="9" t="str">
        <f aca="false">IF(OR($J381="",$J381=0),"",$I381/$J381)</f>
        <v/>
      </c>
      <c r="L381" s="9" t="str">
        <f aca="false">IF(OR($E381="",$E381=0),"",$H381/$E381)</f>
        <v/>
      </c>
      <c r="M381" s="10" t="str">
        <f aca="false">IF(OR($L381="",$L381=0),"",($I381/30)/$L381)</f>
        <v/>
      </c>
      <c r="N381" s="8"/>
      <c r="O381" s="11" t="str">
        <f aca="false">IF(OR($I381="",$N381=""),"",($I381/1000)*$N381)</f>
        <v/>
      </c>
      <c r="P381" s="12" t="str">
        <f aca="false">IF($C381="","",IFERROR(ROUND(MIN(25,($N381/Instellingen!$B$3)*25)+MIN(25,($I381/Instellingen!$B$4)*25)+MIN(25,($J381/Instellingen!$B$5)*25)+MIN(25,(IF($M381="",0,$M381)/Instellingen!$B$6)*25),0),""))</f>
        <v/>
      </c>
      <c r="Q381" s="13" t="str">
        <f aca="false">IF($P381="","",IF($P381&gt;=Instellingen!$B$7,"Sterke niche",IF($P381&gt;=Instellingen!$B$8,"Belofte - opvolgen",IF($P381&gt;=Instellingen!$B$9,"Zwak - twijfel","Vermijden"))))</f>
        <v/>
      </c>
      <c r="R381" s="5"/>
      <c r="T381" s="1" t="str">
        <f aca="false">IF($C381="","",IF($P381=_xlfn.MAXIFS($P$3:$P$1000,$B$3:$B$1000,$B381),"★ Cash cow – handmatig onderzoeken",""))</f>
        <v/>
      </c>
    </row>
    <row r="382" customFormat="false" ht="14.25" hidden="false" customHeight="true" outlineLevel="0" collapsed="false">
      <c r="A382" s="4"/>
      <c r="B382" s="5"/>
      <c r="C382" s="5"/>
      <c r="D382" s="5"/>
      <c r="E382" s="6"/>
      <c r="F382" s="7"/>
      <c r="G382" s="8"/>
      <c r="H382" s="7"/>
      <c r="I382" s="7"/>
      <c r="J382" s="6"/>
      <c r="K382" s="9" t="str">
        <f aca="false">IF(OR($J382="",$J382=0),"",$I382/$J382)</f>
        <v/>
      </c>
      <c r="L382" s="9" t="str">
        <f aca="false">IF(OR($E382="",$E382=0),"",$H382/$E382)</f>
        <v/>
      </c>
      <c r="M382" s="10" t="str">
        <f aca="false">IF(OR($L382="",$L382=0),"",($I382/30)/$L382)</f>
        <v/>
      </c>
      <c r="N382" s="8"/>
      <c r="O382" s="11" t="str">
        <f aca="false">IF(OR($I382="",$N382=""),"",($I382/1000)*$N382)</f>
        <v/>
      </c>
      <c r="P382" s="12" t="str">
        <f aca="false">IF($C382="","",IFERROR(ROUND(MIN(25,($N382/Instellingen!$B$3)*25)+MIN(25,($I382/Instellingen!$B$4)*25)+MIN(25,($J382/Instellingen!$B$5)*25)+MIN(25,(IF($M382="",0,$M382)/Instellingen!$B$6)*25),0),""))</f>
        <v/>
      </c>
      <c r="Q382" s="13" t="str">
        <f aca="false">IF($P382="","",IF($P382&gt;=Instellingen!$B$7,"Sterke niche",IF($P382&gt;=Instellingen!$B$8,"Belofte - opvolgen",IF($P382&gt;=Instellingen!$B$9,"Zwak - twijfel","Vermijden"))))</f>
        <v/>
      </c>
      <c r="R382" s="5"/>
      <c r="T382" s="1" t="str">
        <f aca="false">IF($C382="","",IF($P382=_xlfn.MAXIFS($P$3:$P$1000,$B$3:$B$1000,$B382),"★ Cash cow – handmatig onderzoeken",""))</f>
        <v/>
      </c>
    </row>
    <row r="383" customFormat="false" ht="14.25" hidden="false" customHeight="true" outlineLevel="0" collapsed="false">
      <c r="A383" s="4"/>
      <c r="B383" s="5"/>
      <c r="C383" s="5"/>
      <c r="D383" s="5"/>
      <c r="E383" s="6"/>
      <c r="F383" s="7"/>
      <c r="G383" s="8"/>
      <c r="H383" s="7"/>
      <c r="I383" s="7"/>
      <c r="J383" s="6"/>
      <c r="K383" s="9" t="str">
        <f aca="false">IF(OR($J383="",$J383=0),"",$I383/$J383)</f>
        <v/>
      </c>
      <c r="L383" s="9" t="str">
        <f aca="false">IF(OR($E383="",$E383=0),"",$H383/$E383)</f>
        <v/>
      </c>
      <c r="M383" s="10" t="str">
        <f aca="false">IF(OR($L383="",$L383=0),"",($I383/30)/$L383)</f>
        <v/>
      </c>
      <c r="N383" s="8"/>
      <c r="O383" s="11" t="str">
        <f aca="false">IF(OR($I383="",$N383=""),"",($I383/1000)*$N383)</f>
        <v/>
      </c>
      <c r="P383" s="12" t="str">
        <f aca="false">IF($C383="","",IFERROR(ROUND(MIN(25,($N383/Instellingen!$B$3)*25)+MIN(25,($I383/Instellingen!$B$4)*25)+MIN(25,($J383/Instellingen!$B$5)*25)+MIN(25,(IF($M383="",0,$M383)/Instellingen!$B$6)*25),0),""))</f>
        <v/>
      </c>
      <c r="Q383" s="13" t="str">
        <f aca="false">IF($P383="","",IF($P383&gt;=Instellingen!$B$7,"Sterke niche",IF($P383&gt;=Instellingen!$B$8,"Belofte - opvolgen",IF($P383&gt;=Instellingen!$B$9,"Zwak - twijfel","Vermijden"))))</f>
        <v/>
      </c>
      <c r="R383" s="5"/>
      <c r="T383" s="1" t="str">
        <f aca="false">IF($C383="","",IF($P383=_xlfn.MAXIFS($P$3:$P$1000,$B$3:$B$1000,$B383),"★ Cash cow – handmatig onderzoeken",""))</f>
        <v/>
      </c>
    </row>
    <row r="384" customFormat="false" ht="14.25" hidden="false" customHeight="true" outlineLevel="0" collapsed="false">
      <c r="A384" s="4"/>
      <c r="B384" s="5"/>
      <c r="C384" s="5"/>
      <c r="D384" s="5"/>
      <c r="E384" s="6"/>
      <c r="F384" s="7"/>
      <c r="G384" s="8"/>
      <c r="H384" s="7"/>
      <c r="I384" s="7"/>
      <c r="J384" s="6"/>
      <c r="K384" s="9" t="str">
        <f aca="false">IF(OR($J384="",$J384=0),"",$I384/$J384)</f>
        <v/>
      </c>
      <c r="L384" s="9" t="str">
        <f aca="false">IF(OR($E384="",$E384=0),"",$H384/$E384)</f>
        <v/>
      </c>
      <c r="M384" s="10" t="str">
        <f aca="false">IF(OR($L384="",$L384=0),"",($I384/30)/$L384)</f>
        <v/>
      </c>
      <c r="N384" s="8"/>
      <c r="O384" s="11" t="str">
        <f aca="false">IF(OR($I384="",$N384=""),"",($I384/1000)*$N384)</f>
        <v/>
      </c>
      <c r="P384" s="12" t="str">
        <f aca="false">IF($C384="","",IFERROR(ROUND(MIN(25,($N384/Instellingen!$B$3)*25)+MIN(25,($I384/Instellingen!$B$4)*25)+MIN(25,($J384/Instellingen!$B$5)*25)+MIN(25,(IF($M384="",0,$M384)/Instellingen!$B$6)*25),0),""))</f>
        <v/>
      </c>
      <c r="Q384" s="13" t="str">
        <f aca="false">IF($P384="","",IF($P384&gt;=Instellingen!$B$7,"Sterke niche",IF($P384&gt;=Instellingen!$B$8,"Belofte - opvolgen",IF($P384&gt;=Instellingen!$B$9,"Zwak - twijfel","Vermijden"))))</f>
        <v/>
      </c>
      <c r="R384" s="5"/>
      <c r="T384" s="1" t="str">
        <f aca="false">IF($C384="","",IF($P384=_xlfn.MAXIFS($P$3:$P$1000,$B$3:$B$1000,$B384),"★ Cash cow – handmatig onderzoeken",""))</f>
        <v/>
      </c>
    </row>
    <row r="385" customFormat="false" ht="14.25" hidden="false" customHeight="true" outlineLevel="0" collapsed="false">
      <c r="A385" s="4"/>
      <c r="B385" s="5"/>
      <c r="C385" s="5"/>
      <c r="D385" s="5"/>
      <c r="E385" s="6"/>
      <c r="F385" s="7"/>
      <c r="G385" s="8"/>
      <c r="H385" s="7"/>
      <c r="I385" s="7"/>
      <c r="J385" s="6"/>
      <c r="K385" s="9" t="str">
        <f aca="false">IF(OR($J385="",$J385=0),"",$I385/$J385)</f>
        <v/>
      </c>
      <c r="L385" s="9" t="str">
        <f aca="false">IF(OR($E385="",$E385=0),"",$H385/$E385)</f>
        <v/>
      </c>
      <c r="M385" s="10" t="str">
        <f aca="false">IF(OR($L385="",$L385=0),"",($I385/30)/$L385)</f>
        <v/>
      </c>
      <c r="N385" s="8"/>
      <c r="O385" s="11" t="str">
        <f aca="false">IF(OR($I385="",$N385=""),"",($I385/1000)*$N385)</f>
        <v/>
      </c>
      <c r="P385" s="12" t="str">
        <f aca="false">IF($C385="","",IFERROR(ROUND(MIN(25,($N385/Instellingen!$B$3)*25)+MIN(25,($I385/Instellingen!$B$4)*25)+MIN(25,($J385/Instellingen!$B$5)*25)+MIN(25,(IF($M385="",0,$M385)/Instellingen!$B$6)*25),0),""))</f>
        <v/>
      </c>
      <c r="Q385" s="13" t="str">
        <f aca="false">IF($P385="","",IF($P385&gt;=Instellingen!$B$7,"Sterke niche",IF($P385&gt;=Instellingen!$B$8,"Belofte - opvolgen",IF($P385&gt;=Instellingen!$B$9,"Zwak - twijfel","Vermijden"))))</f>
        <v/>
      </c>
      <c r="R385" s="5"/>
      <c r="T385" s="1" t="str">
        <f aca="false">IF($C385="","",IF($P385=_xlfn.MAXIFS($P$3:$P$1000,$B$3:$B$1000,$B385),"★ Cash cow – handmatig onderzoeken",""))</f>
        <v/>
      </c>
    </row>
    <row r="386" customFormat="false" ht="14.25" hidden="false" customHeight="true" outlineLevel="0" collapsed="false">
      <c r="A386" s="4"/>
      <c r="B386" s="5"/>
      <c r="C386" s="5"/>
      <c r="D386" s="5"/>
      <c r="E386" s="6"/>
      <c r="F386" s="7"/>
      <c r="G386" s="8"/>
      <c r="H386" s="7"/>
      <c r="I386" s="7"/>
      <c r="J386" s="6"/>
      <c r="K386" s="9" t="str">
        <f aca="false">IF(OR($J386="",$J386=0),"",$I386/$J386)</f>
        <v/>
      </c>
      <c r="L386" s="9" t="str">
        <f aca="false">IF(OR($E386="",$E386=0),"",$H386/$E386)</f>
        <v/>
      </c>
      <c r="M386" s="10" t="str">
        <f aca="false">IF(OR($L386="",$L386=0),"",($I386/30)/$L386)</f>
        <v/>
      </c>
      <c r="N386" s="8"/>
      <c r="O386" s="11" t="str">
        <f aca="false">IF(OR($I386="",$N386=""),"",($I386/1000)*$N386)</f>
        <v/>
      </c>
      <c r="P386" s="12" t="str">
        <f aca="false">IF($C386="","",IFERROR(ROUND(MIN(25,($N386/Instellingen!$B$3)*25)+MIN(25,($I386/Instellingen!$B$4)*25)+MIN(25,($J386/Instellingen!$B$5)*25)+MIN(25,(IF($M386="",0,$M386)/Instellingen!$B$6)*25),0),""))</f>
        <v/>
      </c>
      <c r="Q386" s="13" t="str">
        <f aca="false">IF($P386="","",IF($P386&gt;=Instellingen!$B$7,"Sterke niche",IF($P386&gt;=Instellingen!$B$8,"Belofte - opvolgen",IF($P386&gt;=Instellingen!$B$9,"Zwak - twijfel","Vermijden"))))</f>
        <v/>
      </c>
      <c r="R386" s="5"/>
      <c r="T386" s="1" t="str">
        <f aca="false">IF($C386="","",IF($P386=_xlfn.MAXIFS($P$3:$P$1000,$B$3:$B$1000,$B386),"★ Cash cow – handmatig onderzoeken",""))</f>
        <v/>
      </c>
    </row>
    <row r="387" customFormat="false" ht="14.25" hidden="false" customHeight="true" outlineLevel="0" collapsed="false">
      <c r="A387" s="4"/>
      <c r="B387" s="5"/>
      <c r="C387" s="5"/>
      <c r="D387" s="5"/>
      <c r="E387" s="6"/>
      <c r="F387" s="7"/>
      <c r="G387" s="8"/>
      <c r="H387" s="7"/>
      <c r="I387" s="7"/>
      <c r="J387" s="6"/>
      <c r="K387" s="9" t="str">
        <f aca="false">IF(OR($J387="",$J387=0),"",$I387/$J387)</f>
        <v/>
      </c>
      <c r="L387" s="9" t="str">
        <f aca="false">IF(OR($E387="",$E387=0),"",$H387/$E387)</f>
        <v/>
      </c>
      <c r="M387" s="10" t="str">
        <f aca="false">IF(OR($L387="",$L387=0),"",($I387/30)/$L387)</f>
        <v/>
      </c>
      <c r="N387" s="8"/>
      <c r="O387" s="11" t="str">
        <f aca="false">IF(OR($I387="",$N387=""),"",($I387/1000)*$N387)</f>
        <v/>
      </c>
      <c r="P387" s="12" t="str">
        <f aca="false">IF($C387="","",IFERROR(ROUND(MIN(25,($N387/Instellingen!$B$3)*25)+MIN(25,($I387/Instellingen!$B$4)*25)+MIN(25,($J387/Instellingen!$B$5)*25)+MIN(25,(IF($M387="",0,$M387)/Instellingen!$B$6)*25),0),""))</f>
        <v/>
      </c>
      <c r="Q387" s="13" t="str">
        <f aca="false">IF($P387="","",IF($P387&gt;=Instellingen!$B$7,"Sterke niche",IF($P387&gt;=Instellingen!$B$8,"Belofte - opvolgen",IF($P387&gt;=Instellingen!$B$9,"Zwak - twijfel","Vermijden"))))</f>
        <v/>
      </c>
      <c r="R387" s="5"/>
      <c r="T387" s="1" t="str">
        <f aca="false">IF($C387="","",IF($P387=_xlfn.MAXIFS($P$3:$P$1000,$B$3:$B$1000,$B387),"★ Cash cow – handmatig onderzoeken",""))</f>
        <v/>
      </c>
    </row>
    <row r="388" customFormat="false" ht="14.25" hidden="false" customHeight="true" outlineLevel="0" collapsed="false">
      <c r="A388" s="4"/>
      <c r="B388" s="5"/>
      <c r="C388" s="5"/>
      <c r="D388" s="5"/>
      <c r="E388" s="6"/>
      <c r="F388" s="7"/>
      <c r="G388" s="8"/>
      <c r="H388" s="7"/>
      <c r="I388" s="7"/>
      <c r="J388" s="6"/>
      <c r="K388" s="9" t="str">
        <f aca="false">IF(OR($J388="",$J388=0),"",$I388/$J388)</f>
        <v/>
      </c>
      <c r="L388" s="9" t="str">
        <f aca="false">IF(OR($E388="",$E388=0),"",$H388/$E388)</f>
        <v/>
      </c>
      <c r="M388" s="10" t="str">
        <f aca="false">IF(OR($L388="",$L388=0),"",($I388/30)/$L388)</f>
        <v/>
      </c>
      <c r="N388" s="8"/>
      <c r="O388" s="11" t="str">
        <f aca="false">IF(OR($I388="",$N388=""),"",($I388/1000)*$N388)</f>
        <v/>
      </c>
      <c r="P388" s="12" t="str">
        <f aca="false">IF($C388="","",IFERROR(ROUND(MIN(25,($N388/Instellingen!$B$3)*25)+MIN(25,($I388/Instellingen!$B$4)*25)+MIN(25,($J388/Instellingen!$B$5)*25)+MIN(25,(IF($M388="",0,$M388)/Instellingen!$B$6)*25),0),""))</f>
        <v/>
      </c>
      <c r="Q388" s="13" t="str">
        <f aca="false">IF($P388="","",IF($P388&gt;=Instellingen!$B$7,"Sterke niche",IF($P388&gt;=Instellingen!$B$8,"Belofte - opvolgen",IF($P388&gt;=Instellingen!$B$9,"Zwak - twijfel","Vermijden"))))</f>
        <v/>
      </c>
      <c r="R388" s="5"/>
      <c r="T388" s="1" t="str">
        <f aca="false">IF($C388="","",IF($P388=_xlfn.MAXIFS($P$3:$P$1000,$B$3:$B$1000,$B388),"★ Cash cow – handmatig onderzoeken",""))</f>
        <v/>
      </c>
    </row>
    <row r="389" customFormat="false" ht="14.25" hidden="false" customHeight="true" outlineLevel="0" collapsed="false">
      <c r="A389" s="4"/>
      <c r="B389" s="5"/>
      <c r="C389" s="5"/>
      <c r="D389" s="5"/>
      <c r="E389" s="6"/>
      <c r="F389" s="7"/>
      <c r="G389" s="8"/>
      <c r="H389" s="7"/>
      <c r="I389" s="7"/>
      <c r="J389" s="6"/>
      <c r="K389" s="9" t="str">
        <f aca="false">IF(OR($J389="",$J389=0),"",$I389/$J389)</f>
        <v/>
      </c>
      <c r="L389" s="9" t="str">
        <f aca="false">IF(OR($E389="",$E389=0),"",$H389/$E389)</f>
        <v/>
      </c>
      <c r="M389" s="10" t="str">
        <f aca="false">IF(OR($L389="",$L389=0),"",($I389/30)/$L389)</f>
        <v/>
      </c>
      <c r="N389" s="8"/>
      <c r="O389" s="11" t="str">
        <f aca="false">IF(OR($I389="",$N389=""),"",($I389/1000)*$N389)</f>
        <v/>
      </c>
      <c r="P389" s="12" t="str">
        <f aca="false">IF($C389="","",IFERROR(ROUND(MIN(25,($N389/Instellingen!$B$3)*25)+MIN(25,($I389/Instellingen!$B$4)*25)+MIN(25,($J389/Instellingen!$B$5)*25)+MIN(25,(IF($M389="",0,$M389)/Instellingen!$B$6)*25),0),""))</f>
        <v/>
      </c>
      <c r="Q389" s="13" t="str">
        <f aca="false">IF($P389="","",IF($P389&gt;=Instellingen!$B$7,"Sterke niche",IF($P389&gt;=Instellingen!$B$8,"Belofte - opvolgen",IF($P389&gt;=Instellingen!$B$9,"Zwak - twijfel","Vermijden"))))</f>
        <v/>
      </c>
      <c r="R389" s="5"/>
      <c r="T389" s="1" t="str">
        <f aca="false">IF($C389="","",IF($P389=_xlfn.MAXIFS($P$3:$P$1000,$B$3:$B$1000,$B389),"★ Cash cow – handmatig onderzoeken",""))</f>
        <v/>
      </c>
    </row>
    <row r="390" customFormat="false" ht="14.25" hidden="false" customHeight="true" outlineLevel="0" collapsed="false">
      <c r="A390" s="4"/>
      <c r="B390" s="5"/>
      <c r="C390" s="5"/>
      <c r="D390" s="5"/>
      <c r="E390" s="6"/>
      <c r="F390" s="7"/>
      <c r="G390" s="8"/>
      <c r="H390" s="7"/>
      <c r="I390" s="7"/>
      <c r="J390" s="6"/>
      <c r="K390" s="9" t="str">
        <f aca="false">IF(OR($J390="",$J390=0),"",$I390/$J390)</f>
        <v/>
      </c>
      <c r="L390" s="9" t="str">
        <f aca="false">IF(OR($E390="",$E390=0),"",$H390/$E390)</f>
        <v/>
      </c>
      <c r="M390" s="10" t="str">
        <f aca="false">IF(OR($L390="",$L390=0),"",($I390/30)/$L390)</f>
        <v/>
      </c>
      <c r="N390" s="8"/>
      <c r="O390" s="11" t="str">
        <f aca="false">IF(OR($I390="",$N390=""),"",($I390/1000)*$N390)</f>
        <v/>
      </c>
      <c r="P390" s="12" t="str">
        <f aca="false">IF($C390="","",IFERROR(ROUND(MIN(25,($N390/Instellingen!$B$3)*25)+MIN(25,($I390/Instellingen!$B$4)*25)+MIN(25,($J390/Instellingen!$B$5)*25)+MIN(25,(IF($M390="",0,$M390)/Instellingen!$B$6)*25),0),""))</f>
        <v/>
      </c>
      <c r="Q390" s="13" t="str">
        <f aca="false">IF($P390="","",IF($P390&gt;=Instellingen!$B$7,"Sterke niche",IF($P390&gt;=Instellingen!$B$8,"Belofte - opvolgen",IF($P390&gt;=Instellingen!$B$9,"Zwak - twijfel","Vermijden"))))</f>
        <v/>
      </c>
      <c r="R390" s="5"/>
      <c r="T390" s="1" t="str">
        <f aca="false">IF($C390="","",IF($P390=_xlfn.MAXIFS($P$3:$P$1000,$B$3:$B$1000,$B390),"★ Cash cow – handmatig onderzoeken",""))</f>
        <v/>
      </c>
    </row>
    <row r="391" customFormat="false" ht="14.25" hidden="false" customHeight="true" outlineLevel="0" collapsed="false">
      <c r="A391" s="4"/>
      <c r="B391" s="5"/>
      <c r="C391" s="5"/>
      <c r="D391" s="5"/>
      <c r="E391" s="6"/>
      <c r="F391" s="7"/>
      <c r="G391" s="8"/>
      <c r="H391" s="7"/>
      <c r="I391" s="7"/>
      <c r="J391" s="6"/>
      <c r="K391" s="9" t="str">
        <f aca="false">IF(OR($J391="",$J391=0),"",$I391/$J391)</f>
        <v/>
      </c>
      <c r="L391" s="9" t="str">
        <f aca="false">IF(OR($E391="",$E391=0),"",$H391/$E391)</f>
        <v/>
      </c>
      <c r="M391" s="10" t="str">
        <f aca="false">IF(OR($L391="",$L391=0),"",($I391/30)/$L391)</f>
        <v/>
      </c>
      <c r="N391" s="8"/>
      <c r="O391" s="11" t="str">
        <f aca="false">IF(OR($I391="",$N391=""),"",($I391/1000)*$N391)</f>
        <v/>
      </c>
      <c r="P391" s="12" t="str">
        <f aca="false">IF($C391="","",IFERROR(ROUND(MIN(25,($N391/Instellingen!$B$3)*25)+MIN(25,($I391/Instellingen!$B$4)*25)+MIN(25,($J391/Instellingen!$B$5)*25)+MIN(25,(IF($M391="",0,$M391)/Instellingen!$B$6)*25),0),""))</f>
        <v/>
      </c>
      <c r="Q391" s="13" t="str">
        <f aca="false">IF($P391="","",IF($P391&gt;=Instellingen!$B$7,"Sterke niche",IF($P391&gt;=Instellingen!$B$8,"Belofte - opvolgen",IF($P391&gt;=Instellingen!$B$9,"Zwak - twijfel","Vermijden"))))</f>
        <v/>
      </c>
      <c r="R391" s="5"/>
      <c r="T391" s="1" t="str">
        <f aca="false">IF($C391="","",IF($P391=_xlfn.MAXIFS($P$3:$P$1000,$B$3:$B$1000,$B391),"★ Cash cow – handmatig onderzoeken",""))</f>
        <v/>
      </c>
    </row>
    <row r="392" customFormat="false" ht="14.25" hidden="false" customHeight="true" outlineLevel="0" collapsed="false">
      <c r="A392" s="4"/>
      <c r="B392" s="5"/>
      <c r="C392" s="5"/>
      <c r="D392" s="5"/>
      <c r="E392" s="6"/>
      <c r="F392" s="7"/>
      <c r="G392" s="8"/>
      <c r="H392" s="7"/>
      <c r="I392" s="7"/>
      <c r="J392" s="6"/>
      <c r="K392" s="9" t="str">
        <f aca="false">IF(OR($J392="",$J392=0),"",$I392/$J392)</f>
        <v/>
      </c>
      <c r="L392" s="9" t="str">
        <f aca="false">IF(OR($E392="",$E392=0),"",$H392/$E392)</f>
        <v/>
      </c>
      <c r="M392" s="10" t="str">
        <f aca="false">IF(OR($L392="",$L392=0),"",($I392/30)/$L392)</f>
        <v/>
      </c>
      <c r="N392" s="8"/>
      <c r="O392" s="11" t="str">
        <f aca="false">IF(OR($I392="",$N392=""),"",($I392/1000)*$N392)</f>
        <v/>
      </c>
      <c r="P392" s="12" t="str">
        <f aca="false">IF($C392="","",IFERROR(ROUND(MIN(25,($N392/Instellingen!$B$3)*25)+MIN(25,($I392/Instellingen!$B$4)*25)+MIN(25,($J392/Instellingen!$B$5)*25)+MIN(25,(IF($M392="",0,$M392)/Instellingen!$B$6)*25),0),""))</f>
        <v/>
      </c>
      <c r="Q392" s="13" t="str">
        <f aca="false">IF($P392="","",IF($P392&gt;=Instellingen!$B$7,"Sterke niche",IF($P392&gt;=Instellingen!$B$8,"Belofte - opvolgen",IF($P392&gt;=Instellingen!$B$9,"Zwak - twijfel","Vermijden"))))</f>
        <v/>
      </c>
      <c r="R392" s="5"/>
      <c r="T392" s="1" t="str">
        <f aca="false">IF($C392="","",IF($P392=_xlfn.MAXIFS($P$3:$P$1000,$B$3:$B$1000,$B392),"★ Cash cow – handmatig onderzoeken",""))</f>
        <v/>
      </c>
    </row>
    <row r="393" customFormat="false" ht="14.25" hidden="false" customHeight="true" outlineLevel="0" collapsed="false">
      <c r="A393" s="4"/>
      <c r="B393" s="5"/>
      <c r="C393" s="5"/>
      <c r="D393" s="5"/>
      <c r="E393" s="6"/>
      <c r="F393" s="7"/>
      <c r="G393" s="8"/>
      <c r="H393" s="7"/>
      <c r="I393" s="7"/>
      <c r="J393" s="6"/>
      <c r="K393" s="9" t="str">
        <f aca="false">IF(OR($J393="",$J393=0),"",$I393/$J393)</f>
        <v/>
      </c>
      <c r="L393" s="9" t="str">
        <f aca="false">IF(OR($E393="",$E393=0),"",$H393/$E393)</f>
        <v/>
      </c>
      <c r="M393" s="10" t="str">
        <f aca="false">IF(OR($L393="",$L393=0),"",($I393/30)/$L393)</f>
        <v/>
      </c>
      <c r="N393" s="8"/>
      <c r="O393" s="11" t="str">
        <f aca="false">IF(OR($I393="",$N393=""),"",($I393/1000)*$N393)</f>
        <v/>
      </c>
      <c r="P393" s="12" t="str">
        <f aca="false">IF($C393="","",IFERROR(ROUND(MIN(25,($N393/Instellingen!$B$3)*25)+MIN(25,($I393/Instellingen!$B$4)*25)+MIN(25,($J393/Instellingen!$B$5)*25)+MIN(25,(IF($M393="",0,$M393)/Instellingen!$B$6)*25),0),""))</f>
        <v/>
      </c>
      <c r="Q393" s="13" t="str">
        <f aca="false">IF($P393="","",IF($P393&gt;=Instellingen!$B$7,"Sterke niche",IF($P393&gt;=Instellingen!$B$8,"Belofte - opvolgen",IF($P393&gt;=Instellingen!$B$9,"Zwak - twijfel","Vermijden"))))</f>
        <v/>
      </c>
      <c r="R393" s="5"/>
      <c r="T393" s="1" t="str">
        <f aca="false">IF($C393="","",IF($P393=_xlfn.MAXIFS($P$3:$P$1000,$B$3:$B$1000,$B393),"★ Cash cow – handmatig onderzoeken",""))</f>
        <v/>
      </c>
    </row>
    <row r="394" customFormat="false" ht="14.25" hidden="false" customHeight="true" outlineLevel="0" collapsed="false">
      <c r="A394" s="4"/>
      <c r="B394" s="5"/>
      <c r="C394" s="5"/>
      <c r="D394" s="5"/>
      <c r="E394" s="6"/>
      <c r="F394" s="7"/>
      <c r="G394" s="8"/>
      <c r="H394" s="7"/>
      <c r="I394" s="7"/>
      <c r="J394" s="6"/>
      <c r="K394" s="9" t="str">
        <f aca="false">IF(OR($J394="",$J394=0),"",$I394/$J394)</f>
        <v/>
      </c>
      <c r="L394" s="9" t="str">
        <f aca="false">IF(OR($E394="",$E394=0),"",$H394/$E394)</f>
        <v/>
      </c>
      <c r="M394" s="10" t="str">
        <f aca="false">IF(OR($L394="",$L394=0),"",($I394/30)/$L394)</f>
        <v/>
      </c>
      <c r="N394" s="8"/>
      <c r="O394" s="11" t="str">
        <f aca="false">IF(OR($I394="",$N394=""),"",($I394/1000)*$N394)</f>
        <v/>
      </c>
      <c r="P394" s="12" t="str">
        <f aca="false">IF($C394="","",IFERROR(ROUND(MIN(25,($N394/Instellingen!$B$3)*25)+MIN(25,($I394/Instellingen!$B$4)*25)+MIN(25,($J394/Instellingen!$B$5)*25)+MIN(25,(IF($M394="",0,$M394)/Instellingen!$B$6)*25),0),""))</f>
        <v/>
      </c>
      <c r="Q394" s="13" t="str">
        <f aca="false">IF($P394="","",IF($P394&gt;=Instellingen!$B$7,"Sterke niche",IF($P394&gt;=Instellingen!$B$8,"Belofte - opvolgen",IF($P394&gt;=Instellingen!$B$9,"Zwak - twijfel","Vermijden"))))</f>
        <v/>
      </c>
      <c r="R394" s="5"/>
      <c r="T394" s="1" t="str">
        <f aca="false">IF($C394="","",IF($P394=_xlfn.MAXIFS($P$3:$P$1000,$B$3:$B$1000,$B394),"★ Cash cow – handmatig onderzoeken",""))</f>
        <v/>
      </c>
    </row>
    <row r="395" customFormat="false" ht="14.25" hidden="false" customHeight="true" outlineLevel="0" collapsed="false">
      <c r="A395" s="4"/>
      <c r="B395" s="5"/>
      <c r="C395" s="5"/>
      <c r="D395" s="5"/>
      <c r="E395" s="6"/>
      <c r="F395" s="7"/>
      <c r="G395" s="8"/>
      <c r="H395" s="7"/>
      <c r="I395" s="7"/>
      <c r="J395" s="6"/>
      <c r="K395" s="9" t="str">
        <f aca="false">IF(OR($J395="",$J395=0),"",$I395/$J395)</f>
        <v/>
      </c>
      <c r="L395" s="9" t="str">
        <f aca="false">IF(OR($E395="",$E395=0),"",$H395/$E395)</f>
        <v/>
      </c>
      <c r="M395" s="10" t="str">
        <f aca="false">IF(OR($L395="",$L395=0),"",($I395/30)/$L395)</f>
        <v/>
      </c>
      <c r="N395" s="8"/>
      <c r="O395" s="11" t="str">
        <f aca="false">IF(OR($I395="",$N395=""),"",($I395/1000)*$N395)</f>
        <v/>
      </c>
      <c r="P395" s="12" t="str">
        <f aca="false">IF($C395="","",IFERROR(ROUND(MIN(25,($N395/Instellingen!$B$3)*25)+MIN(25,($I395/Instellingen!$B$4)*25)+MIN(25,($J395/Instellingen!$B$5)*25)+MIN(25,(IF($M395="",0,$M395)/Instellingen!$B$6)*25),0),""))</f>
        <v/>
      </c>
      <c r="Q395" s="13" t="str">
        <f aca="false">IF($P395="","",IF($P395&gt;=Instellingen!$B$7,"Sterke niche",IF($P395&gt;=Instellingen!$B$8,"Belofte - opvolgen",IF($P395&gt;=Instellingen!$B$9,"Zwak - twijfel","Vermijden"))))</f>
        <v/>
      </c>
      <c r="R395" s="5"/>
      <c r="T395" s="1" t="str">
        <f aca="false">IF($C395="","",IF($P395=_xlfn.MAXIFS($P$3:$P$1000,$B$3:$B$1000,$B395),"★ Cash cow – handmatig onderzoeken",""))</f>
        <v/>
      </c>
    </row>
    <row r="396" customFormat="false" ht="14.25" hidden="false" customHeight="true" outlineLevel="0" collapsed="false">
      <c r="A396" s="4"/>
      <c r="B396" s="5"/>
      <c r="C396" s="5"/>
      <c r="D396" s="5"/>
      <c r="E396" s="6"/>
      <c r="F396" s="7"/>
      <c r="G396" s="8"/>
      <c r="H396" s="7"/>
      <c r="I396" s="7"/>
      <c r="J396" s="6"/>
      <c r="K396" s="9" t="str">
        <f aca="false">IF(OR($J396="",$J396=0),"",$I396/$J396)</f>
        <v/>
      </c>
      <c r="L396" s="9" t="str">
        <f aca="false">IF(OR($E396="",$E396=0),"",$H396/$E396)</f>
        <v/>
      </c>
      <c r="M396" s="10" t="str">
        <f aca="false">IF(OR($L396="",$L396=0),"",($I396/30)/$L396)</f>
        <v/>
      </c>
      <c r="N396" s="8"/>
      <c r="O396" s="11" t="str">
        <f aca="false">IF(OR($I396="",$N396=""),"",($I396/1000)*$N396)</f>
        <v/>
      </c>
      <c r="P396" s="12" t="str">
        <f aca="false">IF($C396="","",IFERROR(ROUND(MIN(25,($N396/Instellingen!$B$3)*25)+MIN(25,($I396/Instellingen!$B$4)*25)+MIN(25,($J396/Instellingen!$B$5)*25)+MIN(25,(IF($M396="",0,$M396)/Instellingen!$B$6)*25),0),""))</f>
        <v/>
      </c>
      <c r="Q396" s="13" t="str">
        <f aca="false">IF($P396="","",IF($P396&gt;=Instellingen!$B$7,"Sterke niche",IF($P396&gt;=Instellingen!$B$8,"Belofte - opvolgen",IF($P396&gt;=Instellingen!$B$9,"Zwak - twijfel","Vermijden"))))</f>
        <v/>
      </c>
      <c r="R396" s="5"/>
      <c r="T396" s="1" t="str">
        <f aca="false">IF($C396="","",IF($P396=_xlfn.MAXIFS($P$3:$P$1000,$B$3:$B$1000,$B396),"★ Cash cow – handmatig onderzoeken",""))</f>
        <v/>
      </c>
    </row>
    <row r="397" customFormat="false" ht="14.25" hidden="false" customHeight="true" outlineLevel="0" collapsed="false">
      <c r="A397" s="4"/>
      <c r="B397" s="5"/>
      <c r="C397" s="5"/>
      <c r="D397" s="5"/>
      <c r="E397" s="6"/>
      <c r="F397" s="7"/>
      <c r="G397" s="8"/>
      <c r="H397" s="7"/>
      <c r="I397" s="7"/>
      <c r="J397" s="6"/>
      <c r="K397" s="9" t="str">
        <f aca="false">IF(OR($J397="",$J397=0),"",$I397/$J397)</f>
        <v/>
      </c>
      <c r="L397" s="9" t="str">
        <f aca="false">IF(OR($E397="",$E397=0),"",$H397/$E397)</f>
        <v/>
      </c>
      <c r="M397" s="10" t="str">
        <f aca="false">IF(OR($L397="",$L397=0),"",($I397/30)/$L397)</f>
        <v/>
      </c>
      <c r="N397" s="8"/>
      <c r="O397" s="11" t="str">
        <f aca="false">IF(OR($I397="",$N397=""),"",($I397/1000)*$N397)</f>
        <v/>
      </c>
      <c r="P397" s="12" t="str">
        <f aca="false">IF($C397="","",IFERROR(ROUND(MIN(25,($N397/Instellingen!$B$3)*25)+MIN(25,($I397/Instellingen!$B$4)*25)+MIN(25,($J397/Instellingen!$B$5)*25)+MIN(25,(IF($M397="",0,$M397)/Instellingen!$B$6)*25),0),""))</f>
        <v/>
      </c>
      <c r="Q397" s="13" t="str">
        <f aca="false">IF($P397="","",IF($P397&gt;=Instellingen!$B$7,"Sterke niche",IF($P397&gt;=Instellingen!$B$8,"Belofte - opvolgen",IF($P397&gt;=Instellingen!$B$9,"Zwak - twijfel","Vermijden"))))</f>
        <v/>
      </c>
      <c r="R397" s="5"/>
      <c r="T397" s="1" t="str">
        <f aca="false">IF($C397="","",IF($P397=_xlfn.MAXIFS($P$3:$P$1000,$B$3:$B$1000,$B397),"★ Cash cow – handmatig onderzoeken",""))</f>
        <v/>
      </c>
    </row>
    <row r="398" customFormat="false" ht="14.25" hidden="false" customHeight="true" outlineLevel="0" collapsed="false">
      <c r="A398" s="4"/>
      <c r="B398" s="5"/>
      <c r="C398" s="5"/>
      <c r="D398" s="5"/>
      <c r="E398" s="6"/>
      <c r="F398" s="7"/>
      <c r="G398" s="8"/>
      <c r="H398" s="7"/>
      <c r="I398" s="7"/>
      <c r="J398" s="6"/>
      <c r="K398" s="9" t="str">
        <f aca="false">IF(OR($J398="",$J398=0),"",$I398/$J398)</f>
        <v/>
      </c>
      <c r="L398" s="9" t="str">
        <f aca="false">IF(OR($E398="",$E398=0),"",$H398/$E398)</f>
        <v/>
      </c>
      <c r="M398" s="10" t="str">
        <f aca="false">IF(OR($L398="",$L398=0),"",($I398/30)/$L398)</f>
        <v/>
      </c>
      <c r="N398" s="8"/>
      <c r="O398" s="11" t="str">
        <f aca="false">IF(OR($I398="",$N398=""),"",($I398/1000)*$N398)</f>
        <v/>
      </c>
      <c r="P398" s="12" t="str">
        <f aca="false">IF($C398="","",IFERROR(ROUND(MIN(25,($N398/Instellingen!$B$3)*25)+MIN(25,($I398/Instellingen!$B$4)*25)+MIN(25,($J398/Instellingen!$B$5)*25)+MIN(25,(IF($M398="",0,$M398)/Instellingen!$B$6)*25),0),""))</f>
        <v/>
      </c>
      <c r="Q398" s="13" t="str">
        <f aca="false">IF($P398="","",IF($P398&gt;=Instellingen!$B$7,"Sterke niche",IF($P398&gt;=Instellingen!$B$8,"Belofte - opvolgen",IF($P398&gt;=Instellingen!$B$9,"Zwak - twijfel","Vermijden"))))</f>
        <v/>
      </c>
      <c r="R398" s="5"/>
      <c r="T398" s="1" t="str">
        <f aca="false">IF($C398="","",IF($P398=_xlfn.MAXIFS($P$3:$P$1000,$B$3:$B$1000,$B398),"★ Cash cow – handmatig onderzoeken",""))</f>
        <v/>
      </c>
    </row>
    <row r="399" customFormat="false" ht="14.25" hidden="false" customHeight="true" outlineLevel="0" collapsed="false">
      <c r="A399" s="4"/>
      <c r="B399" s="5"/>
      <c r="C399" s="5"/>
      <c r="D399" s="5"/>
      <c r="E399" s="6"/>
      <c r="F399" s="7"/>
      <c r="G399" s="8"/>
      <c r="H399" s="7"/>
      <c r="I399" s="7"/>
      <c r="J399" s="6"/>
      <c r="K399" s="9" t="str">
        <f aca="false">IF(OR($J399="",$J399=0),"",$I399/$J399)</f>
        <v/>
      </c>
      <c r="L399" s="9" t="str">
        <f aca="false">IF(OR($E399="",$E399=0),"",$H399/$E399)</f>
        <v/>
      </c>
      <c r="M399" s="10" t="str">
        <f aca="false">IF(OR($L399="",$L399=0),"",($I399/30)/$L399)</f>
        <v/>
      </c>
      <c r="N399" s="8"/>
      <c r="O399" s="11" t="str">
        <f aca="false">IF(OR($I399="",$N399=""),"",($I399/1000)*$N399)</f>
        <v/>
      </c>
      <c r="P399" s="12" t="str">
        <f aca="false">IF($C399="","",IFERROR(ROUND(MIN(25,($N399/Instellingen!$B$3)*25)+MIN(25,($I399/Instellingen!$B$4)*25)+MIN(25,($J399/Instellingen!$B$5)*25)+MIN(25,(IF($M399="",0,$M399)/Instellingen!$B$6)*25),0),""))</f>
        <v/>
      </c>
      <c r="Q399" s="13" t="str">
        <f aca="false">IF($P399="","",IF($P399&gt;=Instellingen!$B$7,"Sterke niche",IF($P399&gt;=Instellingen!$B$8,"Belofte - opvolgen",IF($P399&gt;=Instellingen!$B$9,"Zwak - twijfel","Vermijden"))))</f>
        <v/>
      </c>
      <c r="R399" s="5"/>
      <c r="T399" s="1" t="str">
        <f aca="false">IF($C399="","",IF($P399=_xlfn.MAXIFS($P$3:$P$1000,$B$3:$B$1000,$B399),"★ Cash cow – handmatig onderzoeken",""))</f>
        <v/>
      </c>
    </row>
    <row r="400" customFormat="false" ht="14.25" hidden="false" customHeight="true" outlineLevel="0" collapsed="false">
      <c r="A400" s="4"/>
      <c r="B400" s="5"/>
      <c r="C400" s="5"/>
      <c r="D400" s="5"/>
      <c r="E400" s="6"/>
      <c r="F400" s="7"/>
      <c r="G400" s="8"/>
      <c r="H400" s="7"/>
      <c r="I400" s="7"/>
      <c r="J400" s="6"/>
      <c r="K400" s="9" t="str">
        <f aca="false">IF(OR($J400="",$J400=0),"",$I400/$J400)</f>
        <v/>
      </c>
      <c r="L400" s="9" t="str">
        <f aca="false">IF(OR($E400="",$E400=0),"",$H400/$E400)</f>
        <v/>
      </c>
      <c r="M400" s="10" t="str">
        <f aca="false">IF(OR($L400="",$L400=0),"",($I400/30)/$L400)</f>
        <v/>
      </c>
      <c r="N400" s="8"/>
      <c r="O400" s="11" t="str">
        <f aca="false">IF(OR($I400="",$N400=""),"",($I400/1000)*$N400)</f>
        <v/>
      </c>
      <c r="P400" s="12" t="str">
        <f aca="false">IF($C400="","",IFERROR(ROUND(MIN(25,($N400/Instellingen!$B$3)*25)+MIN(25,($I400/Instellingen!$B$4)*25)+MIN(25,($J400/Instellingen!$B$5)*25)+MIN(25,(IF($M400="",0,$M400)/Instellingen!$B$6)*25),0),""))</f>
        <v/>
      </c>
      <c r="Q400" s="13" t="str">
        <f aca="false">IF($P400="","",IF($P400&gt;=Instellingen!$B$7,"Sterke niche",IF($P400&gt;=Instellingen!$B$8,"Belofte - opvolgen",IF($P400&gt;=Instellingen!$B$9,"Zwak - twijfel","Vermijden"))))</f>
        <v/>
      </c>
      <c r="R400" s="5"/>
      <c r="T400" s="1" t="str">
        <f aca="false">IF($C400="","",IF($P400=_xlfn.MAXIFS($P$3:$P$1000,$B$3:$B$1000,$B400),"★ Cash cow – handmatig onderzoeken",""))</f>
        <v/>
      </c>
    </row>
    <row r="401" customFormat="false" ht="14.25" hidden="false" customHeight="true" outlineLevel="0" collapsed="false">
      <c r="A401" s="4"/>
      <c r="B401" s="5"/>
      <c r="C401" s="5"/>
      <c r="D401" s="5"/>
      <c r="E401" s="6"/>
      <c r="F401" s="7"/>
      <c r="G401" s="8"/>
      <c r="H401" s="7"/>
      <c r="I401" s="7"/>
      <c r="J401" s="6"/>
      <c r="K401" s="9" t="str">
        <f aca="false">IF(OR($J401="",$J401=0),"",$I401/$J401)</f>
        <v/>
      </c>
      <c r="L401" s="9" t="str">
        <f aca="false">IF(OR($E401="",$E401=0),"",$H401/$E401)</f>
        <v/>
      </c>
      <c r="M401" s="10" t="str">
        <f aca="false">IF(OR($L401="",$L401=0),"",($I401/30)/$L401)</f>
        <v/>
      </c>
      <c r="N401" s="8"/>
      <c r="O401" s="11" t="str">
        <f aca="false">IF(OR($I401="",$N401=""),"",($I401/1000)*$N401)</f>
        <v/>
      </c>
      <c r="P401" s="12" t="str">
        <f aca="false">IF($C401="","",IFERROR(ROUND(MIN(25,($N401/Instellingen!$B$3)*25)+MIN(25,($I401/Instellingen!$B$4)*25)+MIN(25,($J401/Instellingen!$B$5)*25)+MIN(25,(IF($M401="",0,$M401)/Instellingen!$B$6)*25),0),""))</f>
        <v/>
      </c>
      <c r="Q401" s="13" t="str">
        <f aca="false">IF($P401="","",IF($P401&gt;=Instellingen!$B$7,"Sterke niche",IF($P401&gt;=Instellingen!$B$8,"Belofte - opvolgen",IF($P401&gt;=Instellingen!$B$9,"Zwak - twijfel","Vermijden"))))</f>
        <v/>
      </c>
      <c r="R401" s="5"/>
      <c r="T401" s="1" t="str">
        <f aca="false">IF($C401="","",IF($P401=_xlfn.MAXIFS($P$3:$P$1000,$B$3:$B$1000,$B401),"★ Cash cow – handmatig onderzoeken",""))</f>
        <v/>
      </c>
    </row>
    <row r="402" customFormat="false" ht="14.25" hidden="false" customHeight="true" outlineLevel="0" collapsed="false">
      <c r="A402" s="4"/>
      <c r="B402" s="5"/>
      <c r="C402" s="5"/>
      <c r="D402" s="5"/>
      <c r="E402" s="6"/>
      <c r="F402" s="7"/>
      <c r="G402" s="8"/>
      <c r="H402" s="7"/>
      <c r="I402" s="7"/>
      <c r="J402" s="6"/>
      <c r="K402" s="9" t="str">
        <f aca="false">IF(OR($J402="",$J402=0),"",$I402/$J402)</f>
        <v/>
      </c>
      <c r="L402" s="9" t="str">
        <f aca="false">IF(OR($E402="",$E402=0),"",$H402/$E402)</f>
        <v/>
      </c>
      <c r="M402" s="10" t="str">
        <f aca="false">IF(OR($L402="",$L402=0),"",($I402/30)/$L402)</f>
        <v/>
      </c>
      <c r="N402" s="8"/>
      <c r="O402" s="11" t="str">
        <f aca="false">IF(OR($I402="",$N402=""),"",($I402/1000)*$N402)</f>
        <v/>
      </c>
      <c r="P402" s="12" t="str">
        <f aca="false">IF($C402="","",IFERROR(ROUND(MIN(25,($N402/Instellingen!$B$3)*25)+MIN(25,($I402/Instellingen!$B$4)*25)+MIN(25,($J402/Instellingen!$B$5)*25)+MIN(25,(IF($M402="",0,$M402)/Instellingen!$B$6)*25),0),""))</f>
        <v/>
      </c>
      <c r="Q402" s="13" t="str">
        <f aca="false">IF($P402="","",IF($P402&gt;=Instellingen!$B$7,"Sterke niche",IF($P402&gt;=Instellingen!$B$8,"Belofte - opvolgen",IF($P402&gt;=Instellingen!$B$9,"Zwak - twijfel","Vermijden"))))</f>
        <v/>
      </c>
      <c r="R402" s="5"/>
      <c r="T402" s="1" t="str">
        <f aca="false">IF($C402="","",IF($P402=_xlfn.MAXIFS($P$3:$P$1000,$B$3:$B$1000,$B402),"★ Cash cow – handmatig onderzoeken",""))</f>
        <v/>
      </c>
    </row>
    <row r="403" customFormat="false" ht="14.25" hidden="false" customHeight="true" outlineLevel="0" collapsed="false">
      <c r="A403" s="4"/>
      <c r="B403" s="5"/>
      <c r="C403" s="5"/>
      <c r="D403" s="5"/>
      <c r="E403" s="6"/>
      <c r="F403" s="7"/>
      <c r="G403" s="8"/>
      <c r="H403" s="7"/>
      <c r="I403" s="7"/>
      <c r="J403" s="6"/>
      <c r="K403" s="9" t="str">
        <f aca="false">IF(OR($J403="",$J403=0),"",$I403/$J403)</f>
        <v/>
      </c>
      <c r="L403" s="9" t="str">
        <f aca="false">IF(OR($E403="",$E403=0),"",$H403/$E403)</f>
        <v/>
      </c>
      <c r="M403" s="10" t="str">
        <f aca="false">IF(OR($L403="",$L403=0),"",($I403/30)/$L403)</f>
        <v/>
      </c>
      <c r="N403" s="8"/>
      <c r="O403" s="11" t="str">
        <f aca="false">IF(OR($I403="",$N403=""),"",($I403/1000)*$N403)</f>
        <v/>
      </c>
      <c r="P403" s="12" t="str">
        <f aca="false">IF($C403="","",IFERROR(ROUND(MIN(25,($N403/Instellingen!$B$3)*25)+MIN(25,($I403/Instellingen!$B$4)*25)+MIN(25,($J403/Instellingen!$B$5)*25)+MIN(25,(IF($M403="",0,$M403)/Instellingen!$B$6)*25),0),""))</f>
        <v/>
      </c>
      <c r="Q403" s="13" t="str">
        <f aca="false">IF($P403="","",IF($P403&gt;=Instellingen!$B$7,"Sterke niche",IF($P403&gt;=Instellingen!$B$8,"Belofte - opvolgen",IF($P403&gt;=Instellingen!$B$9,"Zwak - twijfel","Vermijden"))))</f>
        <v/>
      </c>
      <c r="R403" s="5"/>
      <c r="T403" s="1" t="str">
        <f aca="false">IF($C403="","",IF($P403=_xlfn.MAXIFS($P$3:$P$1000,$B$3:$B$1000,$B403),"★ Cash cow – handmatig onderzoeken",""))</f>
        <v/>
      </c>
    </row>
    <row r="404" customFormat="false" ht="14.25" hidden="false" customHeight="true" outlineLevel="0" collapsed="false">
      <c r="A404" s="4"/>
      <c r="B404" s="5"/>
      <c r="C404" s="5"/>
      <c r="D404" s="5"/>
      <c r="E404" s="6"/>
      <c r="F404" s="7"/>
      <c r="G404" s="8"/>
      <c r="H404" s="7"/>
      <c r="I404" s="7"/>
      <c r="J404" s="6"/>
      <c r="K404" s="9" t="str">
        <f aca="false">IF(OR($J404="",$J404=0),"",$I404/$J404)</f>
        <v/>
      </c>
      <c r="L404" s="9" t="str">
        <f aca="false">IF(OR($E404="",$E404=0),"",$H404/$E404)</f>
        <v/>
      </c>
      <c r="M404" s="10" t="str">
        <f aca="false">IF(OR($L404="",$L404=0),"",($I404/30)/$L404)</f>
        <v/>
      </c>
      <c r="N404" s="8"/>
      <c r="O404" s="11" t="str">
        <f aca="false">IF(OR($I404="",$N404=""),"",($I404/1000)*$N404)</f>
        <v/>
      </c>
      <c r="P404" s="12" t="str">
        <f aca="false">IF($C404="","",IFERROR(ROUND(MIN(25,($N404/Instellingen!$B$3)*25)+MIN(25,($I404/Instellingen!$B$4)*25)+MIN(25,($J404/Instellingen!$B$5)*25)+MIN(25,(IF($M404="",0,$M404)/Instellingen!$B$6)*25),0),""))</f>
        <v/>
      </c>
      <c r="Q404" s="13" t="str">
        <f aca="false">IF($P404="","",IF($P404&gt;=Instellingen!$B$7,"Sterke niche",IF($P404&gt;=Instellingen!$B$8,"Belofte - opvolgen",IF($P404&gt;=Instellingen!$B$9,"Zwak - twijfel","Vermijden"))))</f>
        <v/>
      </c>
      <c r="R404" s="5"/>
      <c r="T404" s="1" t="str">
        <f aca="false">IF($C404="","",IF($P404=_xlfn.MAXIFS($P$3:$P$1000,$B$3:$B$1000,$B404),"★ Cash cow – handmatig onderzoeken",""))</f>
        <v/>
      </c>
    </row>
    <row r="405" customFormat="false" ht="14.25" hidden="false" customHeight="true" outlineLevel="0" collapsed="false">
      <c r="A405" s="4"/>
      <c r="B405" s="5"/>
      <c r="C405" s="5"/>
      <c r="D405" s="5"/>
      <c r="E405" s="6"/>
      <c r="F405" s="7"/>
      <c r="G405" s="8"/>
      <c r="H405" s="7"/>
      <c r="I405" s="7"/>
      <c r="J405" s="6"/>
      <c r="K405" s="9" t="str">
        <f aca="false">IF(OR($J405="",$J405=0),"",$I405/$J405)</f>
        <v/>
      </c>
      <c r="L405" s="9" t="str">
        <f aca="false">IF(OR($E405="",$E405=0),"",$H405/$E405)</f>
        <v/>
      </c>
      <c r="M405" s="10" t="str">
        <f aca="false">IF(OR($L405="",$L405=0),"",($I405/30)/$L405)</f>
        <v/>
      </c>
      <c r="N405" s="8"/>
      <c r="O405" s="11" t="str">
        <f aca="false">IF(OR($I405="",$N405=""),"",($I405/1000)*$N405)</f>
        <v/>
      </c>
      <c r="P405" s="12" t="str">
        <f aca="false">IF($C405="","",IFERROR(ROUND(MIN(25,($N405/Instellingen!$B$3)*25)+MIN(25,($I405/Instellingen!$B$4)*25)+MIN(25,($J405/Instellingen!$B$5)*25)+MIN(25,(IF($M405="",0,$M405)/Instellingen!$B$6)*25),0),""))</f>
        <v/>
      </c>
      <c r="Q405" s="13" t="str">
        <f aca="false">IF($P405="","",IF($P405&gt;=Instellingen!$B$7,"Sterke niche",IF($P405&gt;=Instellingen!$B$8,"Belofte - opvolgen",IF($P405&gt;=Instellingen!$B$9,"Zwak - twijfel","Vermijden"))))</f>
        <v/>
      </c>
      <c r="R405" s="5"/>
      <c r="T405" s="1" t="str">
        <f aca="false">IF($C405="","",IF($P405=_xlfn.MAXIFS($P$3:$P$1000,$B$3:$B$1000,$B405),"★ Cash cow – handmatig onderzoeken",""))</f>
        <v/>
      </c>
    </row>
    <row r="406" customFormat="false" ht="14.25" hidden="false" customHeight="true" outlineLevel="0" collapsed="false">
      <c r="A406" s="4"/>
      <c r="B406" s="5"/>
      <c r="C406" s="5"/>
      <c r="D406" s="5"/>
      <c r="E406" s="6"/>
      <c r="F406" s="7"/>
      <c r="G406" s="8"/>
      <c r="H406" s="7"/>
      <c r="I406" s="7"/>
      <c r="J406" s="6"/>
      <c r="K406" s="9" t="str">
        <f aca="false">IF(OR($J406="",$J406=0),"",$I406/$J406)</f>
        <v/>
      </c>
      <c r="L406" s="9" t="str">
        <f aca="false">IF(OR($E406="",$E406=0),"",$H406/$E406)</f>
        <v/>
      </c>
      <c r="M406" s="10" t="str">
        <f aca="false">IF(OR($L406="",$L406=0),"",($I406/30)/$L406)</f>
        <v/>
      </c>
      <c r="N406" s="8"/>
      <c r="O406" s="11" t="str">
        <f aca="false">IF(OR($I406="",$N406=""),"",($I406/1000)*$N406)</f>
        <v/>
      </c>
      <c r="P406" s="12" t="str">
        <f aca="false">IF($C406="","",IFERROR(ROUND(MIN(25,($N406/Instellingen!$B$3)*25)+MIN(25,($I406/Instellingen!$B$4)*25)+MIN(25,($J406/Instellingen!$B$5)*25)+MIN(25,(IF($M406="",0,$M406)/Instellingen!$B$6)*25),0),""))</f>
        <v/>
      </c>
      <c r="Q406" s="13" t="str">
        <f aca="false">IF($P406="","",IF($P406&gt;=Instellingen!$B$7,"Sterke niche",IF($P406&gt;=Instellingen!$B$8,"Belofte - opvolgen",IF($P406&gt;=Instellingen!$B$9,"Zwak - twijfel","Vermijden"))))</f>
        <v/>
      </c>
      <c r="R406" s="5"/>
      <c r="T406" s="1" t="str">
        <f aca="false">IF($C406="","",IF($P406=_xlfn.MAXIFS($P$3:$P$1000,$B$3:$B$1000,$B406),"★ Cash cow – handmatig onderzoeken",""))</f>
        <v/>
      </c>
    </row>
    <row r="407" customFormat="false" ht="14.25" hidden="false" customHeight="true" outlineLevel="0" collapsed="false">
      <c r="A407" s="4"/>
      <c r="B407" s="5"/>
      <c r="C407" s="5"/>
      <c r="D407" s="5"/>
      <c r="E407" s="6"/>
      <c r="F407" s="7"/>
      <c r="G407" s="8"/>
      <c r="H407" s="7"/>
      <c r="I407" s="7"/>
      <c r="J407" s="6"/>
      <c r="K407" s="9" t="str">
        <f aca="false">IF(OR($J407="",$J407=0),"",$I407/$J407)</f>
        <v/>
      </c>
      <c r="L407" s="9" t="str">
        <f aca="false">IF(OR($E407="",$E407=0),"",$H407/$E407)</f>
        <v/>
      </c>
      <c r="M407" s="10" t="str">
        <f aca="false">IF(OR($L407="",$L407=0),"",($I407/30)/$L407)</f>
        <v/>
      </c>
      <c r="N407" s="8"/>
      <c r="O407" s="11" t="str">
        <f aca="false">IF(OR($I407="",$N407=""),"",($I407/1000)*$N407)</f>
        <v/>
      </c>
      <c r="P407" s="12" t="str">
        <f aca="false">IF($C407="","",IFERROR(ROUND(MIN(25,($N407/Instellingen!$B$3)*25)+MIN(25,($I407/Instellingen!$B$4)*25)+MIN(25,($J407/Instellingen!$B$5)*25)+MIN(25,(IF($M407="",0,$M407)/Instellingen!$B$6)*25),0),""))</f>
        <v/>
      </c>
      <c r="Q407" s="13" t="str">
        <f aca="false">IF($P407="","",IF($P407&gt;=Instellingen!$B$7,"Sterke niche",IF($P407&gt;=Instellingen!$B$8,"Belofte - opvolgen",IF($P407&gt;=Instellingen!$B$9,"Zwak - twijfel","Vermijden"))))</f>
        <v/>
      </c>
      <c r="R407" s="5"/>
      <c r="T407" s="1" t="str">
        <f aca="false">IF($C407="","",IF($P407=_xlfn.MAXIFS($P$3:$P$1000,$B$3:$B$1000,$B407),"★ Cash cow – handmatig onderzoeken",""))</f>
        <v/>
      </c>
    </row>
    <row r="408" customFormat="false" ht="14.25" hidden="false" customHeight="true" outlineLevel="0" collapsed="false">
      <c r="A408" s="4"/>
      <c r="B408" s="5"/>
      <c r="C408" s="5"/>
      <c r="D408" s="5"/>
      <c r="E408" s="6"/>
      <c r="F408" s="7"/>
      <c r="G408" s="8"/>
      <c r="H408" s="7"/>
      <c r="I408" s="7"/>
      <c r="J408" s="6"/>
      <c r="K408" s="9" t="str">
        <f aca="false">IF(OR($J408="",$J408=0),"",$I408/$J408)</f>
        <v/>
      </c>
      <c r="L408" s="9" t="str">
        <f aca="false">IF(OR($E408="",$E408=0),"",$H408/$E408)</f>
        <v/>
      </c>
      <c r="M408" s="10" t="str">
        <f aca="false">IF(OR($L408="",$L408=0),"",($I408/30)/$L408)</f>
        <v/>
      </c>
      <c r="N408" s="8"/>
      <c r="O408" s="11" t="str">
        <f aca="false">IF(OR($I408="",$N408=""),"",($I408/1000)*$N408)</f>
        <v/>
      </c>
      <c r="P408" s="12" t="str">
        <f aca="false">IF($C408="","",IFERROR(ROUND(MIN(25,($N408/Instellingen!$B$3)*25)+MIN(25,($I408/Instellingen!$B$4)*25)+MIN(25,($J408/Instellingen!$B$5)*25)+MIN(25,(IF($M408="",0,$M408)/Instellingen!$B$6)*25),0),""))</f>
        <v/>
      </c>
      <c r="Q408" s="13" t="str">
        <f aca="false">IF($P408="","",IF($P408&gt;=Instellingen!$B$7,"Sterke niche",IF($P408&gt;=Instellingen!$B$8,"Belofte - opvolgen",IF($P408&gt;=Instellingen!$B$9,"Zwak - twijfel","Vermijden"))))</f>
        <v/>
      </c>
      <c r="R408" s="5"/>
      <c r="T408" s="1" t="str">
        <f aca="false">IF($C408="","",IF($P408=_xlfn.MAXIFS($P$3:$P$1000,$B$3:$B$1000,$B408),"★ Cash cow – handmatig onderzoeken",""))</f>
        <v/>
      </c>
    </row>
    <row r="409" customFormat="false" ht="14.25" hidden="false" customHeight="true" outlineLevel="0" collapsed="false">
      <c r="A409" s="4"/>
      <c r="B409" s="5"/>
      <c r="C409" s="5"/>
      <c r="D409" s="5"/>
      <c r="E409" s="6"/>
      <c r="F409" s="7"/>
      <c r="G409" s="8"/>
      <c r="H409" s="7"/>
      <c r="I409" s="7"/>
      <c r="J409" s="6"/>
      <c r="K409" s="9" t="str">
        <f aca="false">IF(OR($J409="",$J409=0),"",$I409/$J409)</f>
        <v/>
      </c>
      <c r="L409" s="9" t="str">
        <f aca="false">IF(OR($E409="",$E409=0),"",$H409/$E409)</f>
        <v/>
      </c>
      <c r="M409" s="10" t="str">
        <f aca="false">IF(OR($L409="",$L409=0),"",($I409/30)/$L409)</f>
        <v/>
      </c>
      <c r="N409" s="8"/>
      <c r="O409" s="11" t="str">
        <f aca="false">IF(OR($I409="",$N409=""),"",($I409/1000)*$N409)</f>
        <v/>
      </c>
      <c r="P409" s="12" t="str">
        <f aca="false">IF($C409="","",IFERROR(ROUND(MIN(25,($N409/Instellingen!$B$3)*25)+MIN(25,($I409/Instellingen!$B$4)*25)+MIN(25,($J409/Instellingen!$B$5)*25)+MIN(25,(IF($M409="",0,$M409)/Instellingen!$B$6)*25),0),""))</f>
        <v/>
      </c>
      <c r="Q409" s="13" t="str">
        <f aca="false">IF($P409="","",IF($P409&gt;=Instellingen!$B$7,"Sterke niche",IF($P409&gt;=Instellingen!$B$8,"Belofte - opvolgen",IF($P409&gt;=Instellingen!$B$9,"Zwak - twijfel","Vermijden"))))</f>
        <v/>
      </c>
      <c r="R409" s="5"/>
      <c r="T409" s="1" t="str">
        <f aca="false">IF($C409="","",IF($P409=_xlfn.MAXIFS($P$3:$P$1000,$B$3:$B$1000,$B409),"★ Cash cow – handmatig onderzoeken",""))</f>
        <v/>
      </c>
    </row>
    <row r="410" customFormat="false" ht="14.25" hidden="false" customHeight="true" outlineLevel="0" collapsed="false">
      <c r="A410" s="4"/>
      <c r="B410" s="5"/>
      <c r="C410" s="5"/>
      <c r="D410" s="5"/>
      <c r="E410" s="6"/>
      <c r="F410" s="7"/>
      <c r="G410" s="8"/>
      <c r="H410" s="7"/>
      <c r="I410" s="7"/>
      <c r="J410" s="6"/>
      <c r="K410" s="9" t="str">
        <f aca="false">IF(OR($J410="",$J410=0),"",$I410/$J410)</f>
        <v/>
      </c>
      <c r="L410" s="9" t="str">
        <f aca="false">IF(OR($E410="",$E410=0),"",$H410/$E410)</f>
        <v/>
      </c>
      <c r="M410" s="10" t="str">
        <f aca="false">IF(OR($L410="",$L410=0),"",($I410/30)/$L410)</f>
        <v/>
      </c>
      <c r="N410" s="8"/>
      <c r="O410" s="11" t="str">
        <f aca="false">IF(OR($I410="",$N410=""),"",($I410/1000)*$N410)</f>
        <v/>
      </c>
      <c r="P410" s="12" t="str">
        <f aca="false">IF($C410="","",IFERROR(ROUND(MIN(25,($N410/Instellingen!$B$3)*25)+MIN(25,($I410/Instellingen!$B$4)*25)+MIN(25,($J410/Instellingen!$B$5)*25)+MIN(25,(IF($M410="",0,$M410)/Instellingen!$B$6)*25),0),""))</f>
        <v/>
      </c>
      <c r="Q410" s="13" t="str">
        <f aca="false">IF($P410="","",IF($P410&gt;=Instellingen!$B$7,"Sterke niche",IF($P410&gt;=Instellingen!$B$8,"Belofte - opvolgen",IF($P410&gt;=Instellingen!$B$9,"Zwak - twijfel","Vermijden"))))</f>
        <v/>
      </c>
      <c r="R410" s="5"/>
      <c r="T410" s="1" t="str">
        <f aca="false">IF($C410="","",IF($P410=_xlfn.MAXIFS($P$3:$P$1000,$B$3:$B$1000,$B410),"★ Cash cow – handmatig onderzoeken",""))</f>
        <v/>
      </c>
    </row>
    <row r="411" customFormat="false" ht="14.25" hidden="false" customHeight="true" outlineLevel="0" collapsed="false">
      <c r="A411" s="4"/>
      <c r="B411" s="5"/>
      <c r="C411" s="5"/>
      <c r="D411" s="5"/>
      <c r="E411" s="6"/>
      <c r="F411" s="7"/>
      <c r="G411" s="8"/>
      <c r="H411" s="7"/>
      <c r="I411" s="7"/>
      <c r="J411" s="6"/>
      <c r="K411" s="9" t="str">
        <f aca="false">IF(OR($J411="",$J411=0),"",$I411/$J411)</f>
        <v/>
      </c>
      <c r="L411" s="9" t="str">
        <f aca="false">IF(OR($E411="",$E411=0),"",$H411/$E411)</f>
        <v/>
      </c>
      <c r="M411" s="10" t="str">
        <f aca="false">IF(OR($L411="",$L411=0),"",($I411/30)/$L411)</f>
        <v/>
      </c>
      <c r="N411" s="8"/>
      <c r="O411" s="11" t="str">
        <f aca="false">IF(OR($I411="",$N411=""),"",($I411/1000)*$N411)</f>
        <v/>
      </c>
      <c r="P411" s="12" t="str">
        <f aca="false">IF($C411="","",IFERROR(ROUND(MIN(25,($N411/Instellingen!$B$3)*25)+MIN(25,($I411/Instellingen!$B$4)*25)+MIN(25,($J411/Instellingen!$B$5)*25)+MIN(25,(IF($M411="",0,$M411)/Instellingen!$B$6)*25),0),""))</f>
        <v/>
      </c>
      <c r="Q411" s="13" t="str">
        <f aca="false">IF($P411="","",IF($P411&gt;=Instellingen!$B$7,"Sterke niche",IF($P411&gt;=Instellingen!$B$8,"Belofte - opvolgen",IF($P411&gt;=Instellingen!$B$9,"Zwak - twijfel","Vermijden"))))</f>
        <v/>
      </c>
      <c r="R411" s="5"/>
      <c r="T411" s="1" t="str">
        <f aca="false">IF($C411="","",IF($P411=_xlfn.MAXIFS($P$3:$P$1000,$B$3:$B$1000,$B411),"★ Cash cow – handmatig onderzoeken",""))</f>
        <v/>
      </c>
    </row>
    <row r="412" customFormat="false" ht="14.25" hidden="false" customHeight="true" outlineLevel="0" collapsed="false">
      <c r="A412" s="4"/>
      <c r="B412" s="5"/>
      <c r="C412" s="5"/>
      <c r="D412" s="5"/>
      <c r="E412" s="6"/>
      <c r="F412" s="7"/>
      <c r="G412" s="8"/>
      <c r="H412" s="7"/>
      <c r="I412" s="7"/>
      <c r="J412" s="6"/>
      <c r="K412" s="9" t="str">
        <f aca="false">IF(OR($J412="",$J412=0),"",$I412/$J412)</f>
        <v/>
      </c>
      <c r="L412" s="9" t="str">
        <f aca="false">IF(OR($E412="",$E412=0),"",$H412/$E412)</f>
        <v/>
      </c>
      <c r="M412" s="10" t="str">
        <f aca="false">IF(OR($L412="",$L412=0),"",($I412/30)/$L412)</f>
        <v/>
      </c>
      <c r="N412" s="8"/>
      <c r="O412" s="11" t="str">
        <f aca="false">IF(OR($I412="",$N412=""),"",($I412/1000)*$N412)</f>
        <v/>
      </c>
      <c r="P412" s="12" t="str">
        <f aca="false">IF($C412="","",IFERROR(ROUND(MIN(25,($N412/Instellingen!$B$3)*25)+MIN(25,($I412/Instellingen!$B$4)*25)+MIN(25,($J412/Instellingen!$B$5)*25)+MIN(25,(IF($M412="",0,$M412)/Instellingen!$B$6)*25),0),""))</f>
        <v/>
      </c>
      <c r="Q412" s="13" t="str">
        <f aca="false">IF($P412="","",IF($P412&gt;=Instellingen!$B$7,"Sterke niche",IF($P412&gt;=Instellingen!$B$8,"Belofte - opvolgen",IF($P412&gt;=Instellingen!$B$9,"Zwak - twijfel","Vermijden"))))</f>
        <v/>
      </c>
      <c r="R412" s="5"/>
      <c r="T412" s="1" t="str">
        <f aca="false">IF($C412="","",IF($P412=_xlfn.MAXIFS($P$3:$P$1000,$B$3:$B$1000,$B412),"★ Cash cow – handmatig onderzoeken",""))</f>
        <v/>
      </c>
    </row>
    <row r="413" customFormat="false" ht="14.25" hidden="false" customHeight="true" outlineLevel="0" collapsed="false">
      <c r="A413" s="4"/>
      <c r="B413" s="5"/>
      <c r="C413" s="5"/>
      <c r="D413" s="5"/>
      <c r="E413" s="6"/>
      <c r="F413" s="7"/>
      <c r="G413" s="8"/>
      <c r="H413" s="7"/>
      <c r="I413" s="7"/>
      <c r="J413" s="6"/>
      <c r="K413" s="9" t="str">
        <f aca="false">IF(OR($J413="",$J413=0),"",$I413/$J413)</f>
        <v/>
      </c>
      <c r="L413" s="9" t="str">
        <f aca="false">IF(OR($E413="",$E413=0),"",$H413/$E413)</f>
        <v/>
      </c>
      <c r="M413" s="10" t="str">
        <f aca="false">IF(OR($L413="",$L413=0),"",($I413/30)/$L413)</f>
        <v/>
      </c>
      <c r="N413" s="8"/>
      <c r="O413" s="11" t="str">
        <f aca="false">IF(OR($I413="",$N413=""),"",($I413/1000)*$N413)</f>
        <v/>
      </c>
      <c r="P413" s="12" t="str">
        <f aca="false">IF($C413="","",IFERROR(ROUND(MIN(25,($N413/Instellingen!$B$3)*25)+MIN(25,($I413/Instellingen!$B$4)*25)+MIN(25,($J413/Instellingen!$B$5)*25)+MIN(25,(IF($M413="",0,$M413)/Instellingen!$B$6)*25),0),""))</f>
        <v/>
      </c>
      <c r="Q413" s="13" t="str">
        <f aca="false">IF($P413="","",IF($P413&gt;=Instellingen!$B$7,"Sterke niche",IF($P413&gt;=Instellingen!$B$8,"Belofte - opvolgen",IF($P413&gt;=Instellingen!$B$9,"Zwak - twijfel","Vermijden"))))</f>
        <v/>
      </c>
      <c r="R413" s="5"/>
      <c r="T413" s="1" t="str">
        <f aca="false">IF($C413="","",IF($P413=_xlfn.MAXIFS($P$3:$P$1000,$B$3:$B$1000,$B413),"★ Cash cow – handmatig onderzoeken",""))</f>
        <v/>
      </c>
    </row>
    <row r="414" customFormat="false" ht="14.25" hidden="false" customHeight="true" outlineLevel="0" collapsed="false">
      <c r="A414" s="4"/>
      <c r="B414" s="5"/>
      <c r="C414" s="5"/>
      <c r="D414" s="5"/>
      <c r="E414" s="6"/>
      <c r="F414" s="7"/>
      <c r="G414" s="8"/>
      <c r="H414" s="7"/>
      <c r="I414" s="7"/>
      <c r="J414" s="6"/>
      <c r="K414" s="9" t="str">
        <f aca="false">IF(OR($J414="",$J414=0),"",$I414/$J414)</f>
        <v/>
      </c>
      <c r="L414" s="9" t="str">
        <f aca="false">IF(OR($E414="",$E414=0),"",$H414/$E414)</f>
        <v/>
      </c>
      <c r="M414" s="10" t="str">
        <f aca="false">IF(OR($L414="",$L414=0),"",($I414/30)/$L414)</f>
        <v/>
      </c>
      <c r="N414" s="8"/>
      <c r="O414" s="11" t="str">
        <f aca="false">IF(OR($I414="",$N414=""),"",($I414/1000)*$N414)</f>
        <v/>
      </c>
      <c r="P414" s="12" t="str">
        <f aca="false">IF($C414="","",IFERROR(ROUND(MIN(25,($N414/Instellingen!$B$3)*25)+MIN(25,($I414/Instellingen!$B$4)*25)+MIN(25,($J414/Instellingen!$B$5)*25)+MIN(25,(IF($M414="",0,$M414)/Instellingen!$B$6)*25),0),""))</f>
        <v/>
      </c>
      <c r="Q414" s="13" t="str">
        <f aca="false">IF($P414="","",IF($P414&gt;=Instellingen!$B$7,"Sterke niche",IF($P414&gt;=Instellingen!$B$8,"Belofte - opvolgen",IF($P414&gt;=Instellingen!$B$9,"Zwak - twijfel","Vermijden"))))</f>
        <v/>
      </c>
      <c r="R414" s="5"/>
      <c r="T414" s="1" t="str">
        <f aca="false">IF($C414="","",IF($P414=_xlfn.MAXIFS($P$3:$P$1000,$B$3:$B$1000,$B414),"★ Cash cow – handmatig onderzoeken",""))</f>
        <v/>
      </c>
    </row>
    <row r="415" customFormat="false" ht="14.25" hidden="false" customHeight="true" outlineLevel="0" collapsed="false">
      <c r="A415" s="4"/>
      <c r="B415" s="5"/>
      <c r="C415" s="5"/>
      <c r="D415" s="5"/>
      <c r="E415" s="6"/>
      <c r="F415" s="7"/>
      <c r="G415" s="8"/>
      <c r="H415" s="7"/>
      <c r="I415" s="7"/>
      <c r="J415" s="6"/>
      <c r="K415" s="9" t="str">
        <f aca="false">IF(OR($J415="",$J415=0),"",$I415/$J415)</f>
        <v/>
      </c>
      <c r="L415" s="9" t="str">
        <f aca="false">IF(OR($E415="",$E415=0),"",$H415/$E415)</f>
        <v/>
      </c>
      <c r="M415" s="10" t="str">
        <f aca="false">IF(OR($L415="",$L415=0),"",($I415/30)/$L415)</f>
        <v/>
      </c>
      <c r="N415" s="8"/>
      <c r="O415" s="11" t="str">
        <f aca="false">IF(OR($I415="",$N415=""),"",($I415/1000)*$N415)</f>
        <v/>
      </c>
      <c r="P415" s="12" t="str">
        <f aca="false">IF($C415="","",IFERROR(ROUND(MIN(25,($N415/Instellingen!$B$3)*25)+MIN(25,($I415/Instellingen!$B$4)*25)+MIN(25,($J415/Instellingen!$B$5)*25)+MIN(25,(IF($M415="",0,$M415)/Instellingen!$B$6)*25),0),""))</f>
        <v/>
      </c>
      <c r="Q415" s="13" t="str">
        <f aca="false">IF($P415="","",IF($P415&gt;=Instellingen!$B$7,"Sterke niche",IF($P415&gt;=Instellingen!$B$8,"Belofte - opvolgen",IF($P415&gt;=Instellingen!$B$9,"Zwak - twijfel","Vermijden"))))</f>
        <v/>
      </c>
      <c r="R415" s="5"/>
      <c r="T415" s="1" t="str">
        <f aca="false">IF($C415="","",IF($P415=_xlfn.MAXIFS($P$3:$P$1000,$B$3:$B$1000,$B415),"★ Cash cow – handmatig onderzoeken",""))</f>
        <v/>
      </c>
    </row>
    <row r="416" customFormat="false" ht="14.25" hidden="false" customHeight="true" outlineLevel="0" collapsed="false">
      <c r="A416" s="4"/>
      <c r="B416" s="5"/>
      <c r="C416" s="5"/>
      <c r="D416" s="5"/>
      <c r="E416" s="6"/>
      <c r="F416" s="7"/>
      <c r="G416" s="8"/>
      <c r="H416" s="7"/>
      <c r="I416" s="7"/>
      <c r="J416" s="6"/>
      <c r="K416" s="9" t="str">
        <f aca="false">IF(OR($J416="",$J416=0),"",$I416/$J416)</f>
        <v/>
      </c>
      <c r="L416" s="9" t="str">
        <f aca="false">IF(OR($E416="",$E416=0),"",$H416/$E416)</f>
        <v/>
      </c>
      <c r="M416" s="10" t="str">
        <f aca="false">IF(OR($L416="",$L416=0),"",($I416/30)/$L416)</f>
        <v/>
      </c>
      <c r="N416" s="8"/>
      <c r="O416" s="11" t="str">
        <f aca="false">IF(OR($I416="",$N416=""),"",($I416/1000)*$N416)</f>
        <v/>
      </c>
      <c r="P416" s="12" t="str">
        <f aca="false">IF($C416="","",IFERROR(ROUND(MIN(25,($N416/Instellingen!$B$3)*25)+MIN(25,($I416/Instellingen!$B$4)*25)+MIN(25,($J416/Instellingen!$B$5)*25)+MIN(25,(IF($M416="",0,$M416)/Instellingen!$B$6)*25),0),""))</f>
        <v/>
      </c>
      <c r="Q416" s="13" t="str">
        <f aca="false">IF($P416="","",IF($P416&gt;=Instellingen!$B$7,"Sterke niche",IF($P416&gt;=Instellingen!$B$8,"Belofte - opvolgen",IF($P416&gt;=Instellingen!$B$9,"Zwak - twijfel","Vermijden"))))</f>
        <v/>
      </c>
      <c r="R416" s="5"/>
      <c r="T416" s="1" t="str">
        <f aca="false">IF($C416="","",IF($P416=_xlfn.MAXIFS($P$3:$P$1000,$B$3:$B$1000,$B416),"★ Cash cow – handmatig onderzoeken",""))</f>
        <v/>
      </c>
    </row>
    <row r="417" customFormat="false" ht="14.25" hidden="false" customHeight="true" outlineLevel="0" collapsed="false">
      <c r="A417" s="4"/>
      <c r="B417" s="5"/>
      <c r="C417" s="5"/>
      <c r="D417" s="5"/>
      <c r="E417" s="6"/>
      <c r="F417" s="7"/>
      <c r="G417" s="8"/>
      <c r="H417" s="7"/>
      <c r="I417" s="7"/>
      <c r="J417" s="6"/>
      <c r="K417" s="9" t="str">
        <f aca="false">IF(OR($J417="",$J417=0),"",$I417/$J417)</f>
        <v/>
      </c>
      <c r="L417" s="9" t="str">
        <f aca="false">IF(OR($E417="",$E417=0),"",$H417/$E417)</f>
        <v/>
      </c>
      <c r="M417" s="10" t="str">
        <f aca="false">IF(OR($L417="",$L417=0),"",($I417/30)/$L417)</f>
        <v/>
      </c>
      <c r="N417" s="8"/>
      <c r="O417" s="11" t="str">
        <f aca="false">IF(OR($I417="",$N417=""),"",($I417/1000)*$N417)</f>
        <v/>
      </c>
      <c r="P417" s="12" t="str">
        <f aca="false">IF($C417="","",IFERROR(ROUND(MIN(25,($N417/Instellingen!$B$3)*25)+MIN(25,($I417/Instellingen!$B$4)*25)+MIN(25,($J417/Instellingen!$B$5)*25)+MIN(25,(IF($M417="",0,$M417)/Instellingen!$B$6)*25),0),""))</f>
        <v/>
      </c>
      <c r="Q417" s="13" t="str">
        <f aca="false">IF($P417="","",IF($P417&gt;=Instellingen!$B$7,"Sterke niche",IF($P417&gt;=Instellingen!$B$8,"Belofte - opvolgen",IF($P417&gt;=Instellingen!$B$9,"Zwak - twijfel","Vermijden"))))</f>
        <v/>
      </c>
      <c r="R417" s="5"/>
      <c r="T417" s="1" t="str">
        <f aca="false">IF($C417="","",IF($P417=_xlfn.MAXIFS($P$3:$P$1000,$B$3:$B$1000,$B417),"★ Cash cow – handmatig onderzoeken",""))</f>
        <v/>
      </c>
    </row>
    <row r="418" customFormat="false" ht="14.25" hidden="false" customHeight="true" outlineLevel="0" collapsed="false">
      <c r="A418" s="4"/>
      <c r="B418" s="5"/>
      <c r="C418" s="5"/>
      <c r="D418" s="5"/>
      <c r="E418" s="6"/>
      <c r="F418" s="7"/>
      <c r="G418" s="8"/>
      <c r="H418" s="7"/>
      <c r="I418" s="7"/>
      <c r="J418" s="6"/>
      <c r="K418" s="9" t="str">
        <f aca="false">IF(OR($J418="",$J418=0),"",$I418/$J418)</f>
        <v/>
      </c>
      <c r="L418" s="9" t="str">
        <f aca="false">IF(OR($E418="",$E418=0),"",$H418/$E418)</f>
        <v/>
      </c>
      <c r="M418" s="10" t="str">
        <f aca="false">IF(OR($L418="",$L418=0),"",($I418/30)/$L418)</f>
        <v/>
      </c>
      <c r="N418" s="8"/>
      <c r="O418" s="11" t="str">
        <f aca="false">IF(OR($I418="",$N418=""),"",($I418/1000)*$N418)</f>
        <v/>
      </c>
      <c r="P418" s="12" t="str">
        <f aca="false">IF($C418="","",IFERROR(ROUND(MIN(25,($N418/Instellingen!$B$3)*25)+MIN(25,($I418/Instellingen!$B$4)*25)+MIN(25,($J418/Instellingen!$B$5)*25)+MIN(25,(IF($M418="",0,$M418)/Instellingen!$B$6)*25),0),""))</f>
        <v/>
      </c>
      <c r="Q418" s="13" t="str">
        <f aca="false">IF($P418="","",IF($P418&gt;=Instellingen!$B$7,"Sterke niche",IF($P418&gt;=Instellingen!$B$8,"Belofte - opvolgen",IF($P418&gt;=Instellingen!$B$9,"Zwak - twijfel","Vermijden"))))</f>
        <v/>
      </c>
      <c r="R418" s="5"/>
      <c r="T418" s="1" t="str">
        <f aca="false">IF($C418="","",IF($P418=_xlfn.MAXIFS($P$3:$P$1000,$B$3:$B$1000,$B418),"★ Cash cow – handmatig onderzoeken",""))</f>
        <v/>
      </c>
    </row>
    <row r="419" customFormat="false" ht="14.25" hidden="false" customHeight="true" outlineLevel="0" collapsed="false">
      <c r="A419" s="4"/>
      <c r="B419" s="5"/>
      <c r="C419" s="5"/>
      <c r="D419" s="5"/>
      <c r="E419" s="6"/>
      <c r="F419" s="7"/>
      <c r="G419" s="8"/>
      <c r="H419" s="7"/>
      <c r="I419" s="7"/>
      <c r="J419" s="6"/>
      <c r="K419" s="9" t="str">
        <f aca="false">IF(OR($J419="",$J419=0),"",$I419/$J419)</f>
        <v/>
      </c>
      <c r="L419" s="9" t="str">
        <f aca="false">IF(OR($E419="",$E419=0),"",$H419/$E419)</f>
        <v/>
      </c>
      <c r="M419" s="10" t="str">
        <f aca="false">IF(OR($L419="",$L419=0),"",($I419/30)/$L419)</f>
        <v/>
      </c>
      <c r="N419" s="8"/>
      <c r="O419" s="11" t="str">
        <f aca="false">IF(OR($I419="",$N419=""),"",($I419/1000)*$N419)</f>
        <v/>
      </c>
      <c r="P419" s="12" t="str">
        <f aca="false">IF($C419="","",IFERROR(ROUND(MIN(25,($N419/Instellingen!$B$3)*25)+MIN(25,($I419/Instellingen!$B$4)*25)+MIN(25,($J419/Instellingen!$B$5)*25)+MIN(25,(IF($M419="",0,$M419)/Instellingen!$B$6)*25),0),""))</f>
        <v/>
      </c>
      <c r="Q419" s="13" t="str">
        <f aca="false">IF($P419="","",IF($P419&gt;=Instellingen!$B$7,"Sterke niche",IF($P419&gt;=Instellingen!$B$8,"Belofte - opvolgen",IF($P419&gt;=Instellingen!$B$9,"Zwak - twijfel","Vermijden"))))</f>
        <v/>
      </c>
      <c r="R419" s="5"/>
      <c r="T419" s="1" t="str">
        <f aca="false">IF($C419="","",IF($P419=_xlfn.MAXIFS($P$3:$P$1000,$B$3:$B$1000,$B419),"★ Cash cow – handmatig onderzoeken",""))</f>
        <v/>
      </c>
    </row>
    <row r="420" customFormat="false" ht="14.25" hidden="false" customHeight="true" outlineLevel="0" collapsed="false">
      <c r="A420" s="4"/>
      <c r="B420" s="5"/>
      <c r="C420" s="5"/>
      <c r="D420" s="5"/>
      <c r="E420" s="6"/>
      <c r="F420" s="7"/>
      <c r="G420" s="8"/>
      <c r="H420" s="7"/>
      <c r="I420" s="7"/>
      <c r="J420" s="6"/>
      <c r="K420" s="9" t="str">
        <f aca="false">IF(OR($J420="",$J420=0),"",$I420/$J420)</f>
        <v/>
      </c>
      <c r="L420" s="9" t="str">
        <f aca="false">IF(OR($E420="",$E420=0),"",$H420/$E420)</f>
        <v/>
      </c>
      <c r="M420" s="10" t="str">
        <f aca="false">IF(OR($L420="",$L420=0),"",($I420/30)/$L420)</f>
        <v/>
      </c>
      <c r="N420" s="8"/>
      <c r="O420" s="11" t="str">
        <f aca="false">IF(OR($I420="",$N420=""),"",($I420/1000)*$N420)</f>
        <v/>
      </c>
      <c r="P420" s="12" t="str">
        <f aca="false">IF($C420="","",IFERROR(ROUND(MIN(25,($N420/Instellingen!$B$3)*25)+MIN(25,($I420/Instellingen!$B$4)*25)+MIN(25,($J420/Instellingen!$B$5)*25)+MIN(25,(IF($M420="",0,$M420)/Instellingen!$B$6)*25),0),""))</f>
        <v/>
      </c>
      <c r="Q420" s="13" t="str">
        <f aca="false">IF($P420="","",IF($P420&gt;=Instellingen!$B$7,"Sterke niche",IF($P420&gt;=Instellingen!$B$8,"Belofte - opvolgen",IF($P420&gt;=Instellingen!$B$9,"Zwak - twijfel","Vermijden"))))</f>
        <v/>
      </c>
      <c r="R420" s="5"/>
      <c r="T420" s="1" t="str">
        <f aca="false">IF($C420="","",IF($P420=_xlfn.MAXIFS($P$3:$P$1000,$B$3:$B$1000,$B420),"★ Cash cow – handmatig onderzoeken",""))</f>
        <v/>
      </c>
    </row>
    <row r="421" customFormat="false" ht="14.25" hidden="false" customHeight="true" outlineLevel="0" collapsed="false">
      <c r="A421" s="4"/>
      <c r="B421" s="5"/>
      <c r="C421" s="5"/>
      <c r="D421" s="5"/>
      <c r="E421" s="6"/>
      <c r="F421" s="7"/>
      <c r="G421" s="8"/>
      <c r="H421" s="7"/>
      <c r="I421" s="7"/>
      <c r="J421" s="6"/>
      <c r="K421" s="9" t="str">
        <f aca="false">IF(OR($J421="",$J421=0),"",$I421/$J421)</f>
        <v/>
      </c>
      <c r="L421" s="9" t="str">
        <f aca="false">IF(OR($E421="",$E421=0),"",$H421/$E421)</f>
        <v/>
      </c>
      <c r="M421" s="10" t="str">
        <f aca="false">IF(OR($L421="",$L421=0),"",($I421/30)/$L421)</f>
        <v/>
      </c>
      <c r="N421" s="8"/>
      <c r="O421" s="11" t="str">
        <f aca="false">IF(OR($I421="",$N421=""),"",($I421/1000)*$N421)</f>
        <v/>
      </c>
      <c r="P421" s="12" t="str">
        <f aca="false">IF($C421="","",IFERROR(ROUND(MIN(25,($N421/Instellingen!$B$3)*25)+MIN(25,($I421/Instellingen!$B$4)*25)+MIN(25,($J421/Instellingen!$B$5)*25)+MIN(25,(IF($M421="",0,$M421)/Instellingen!$B$6)*25),0),""))</f>
        <v/>
      </c>
      <c r="Q421" s="13" t="str">
        <f aca="false">IF($P421="","",IF($P421&gt;=Instellingen!$B$7,"Sterke niche",IF($P421&gt;=Instellingen!$B$8,"Belofte - opvolgen",IF($P421&gt;=Instellingen!$B$9,"Zwak - twijfel","Vermijden"))))</f>
        <v/>
      </c>
      <c r="R421" s="5"/>
      <c r="T421" s="1" t="str">
        <f aca="false">IF($C421="","",IF($P421=_xlfn.MAXIFS($P$3:$P$1000,$B$3:$B$1000,$B421),"★ Cash cow – handmatig onderzoeken",""))</f>
        <v/>
      </c>
    </row>
    <row r="422" customFormat="false" ht="14.25" hidden="false" customHeight="true" outlineLevel="0" collapsed="false">
      <c r="A422" s="4"/>
      <c r="B422" s="5"/>
      <c r="C422" s="5"/>
      <c r="D422" s="5"/>
      <c r="E422" s="6"/>
      <c r="F422" s="7"/>
      <c r="G422" s="8"/>
      <c r="H422" s="7"/>
      <c r="I422" s="7"/>
      <c r="J422" s="6"/>
      <c r="K422" s="9" t="str">
        <f aca="false">IF(OR($J422="",$J422=0),"",$I422/$J422)</f>
        <v/>
      </c>
      <c r="L422" s="9" t="str">
        <f aca="false">IF(OR($E422="",$E422=0),"",$H422/$E422)</f>
        <v/>
      </c>
      <c r="M422" s="10" t="str">
        <f aca="false">IF(OR($L422="",$L422=0),"",($I422/30)/$L422)</f>
        <v/>
      </c>
      <c r="N422" s="8"/>
      <c r="O422" s="11" t="str">
        <f aca="false">IF(OR($I422="",$N422=""),"",($I422/1000)*$N422)</f>
        <v/>
      </c>
      <c r="P422" s="12" t="str">
        <f aca="false">IF($C422="","",IFERROR(ROUND(MIN(25,($N422/Instellingen!$B$3)*25)+MIN(25,($I422/Instellingen!$B$4)*25)+MIN(25,($J422/Instellingen!$B$5)*25)+MIN(25,(IF($M422="",0,$M422)/Instellingen!$B$6)*25),0),""))</f>
        <v/>
      </c>
      <c r="Q422" s="13" t="str">
        <f aca="false">IF($P422="","",IF($P422&gt;=Instellingen!$B$7,"Sterke niche",IF($P422&gt;=Instellingen!$B$8,"Belofte - opvolgen",IF($P422&gt;=Instellingen!$B$9,"Zwak - twijfel","Vermijden"))))</f>
        <v/>
      </c>
      <c r="R422" s="5"/>
      <c r="T422" s="1" t="str">
        <f aca="false">IF($C422="","",IF($P422=_xlfn.MAXIFS($P$3:$P$1000,$B$3:$B$1000,$B422),"★ Cash cow – handmatig onderzoeken",""))</f>
        <v/>
      </c>
    </row>
    <row r="423" customFormat="false" ht="14.25" hidden="false" customHeight="true" outlineLevel="0" collapsed="false">
      <c r="A423" s="4"/>
      <c r="B423" s="5"/>
      <c r="C423" s="5"/>
      <c r="D423" s="5"/>
      <c r="E423" s="6"/>
      <c r="F423" s="7"/>
      <c r="G423" s="8"/>
      <c r="H423" s="7"/>
      <c r="I423" s="7"/>
      <c r="J423" s="6"/>
      <c r="K423" s="9" t="str">
        <f aca="false">IF(OR($J423="",$J423=0),"",$I423/$J423)</f>
        <v/>
      </c>
      <c r="L423" s="9" t="str">
        <f aca="false">IF(OR($E423="",$E423=0),"",$H423/$E423)</f>
        <v/>
      </c>
      <c r="M423" s="10" t="str">
        <f aca="false">IF(OR($L423="",$L423=0),"",($I423/30)/$L423)</f>
        <v/>
      </c>
      <c r="N423" s="8"/>
      <c r="O423" s="11" t="str">
        <f aca="false">IF(OR($I423="",$N423=""),"",($I423/1000)*$N423)</f>
        <v/>
      </c>
      <c r="P423" s="12" t="str">
        <f aca="false">IF($C423="","",IFERROR(ROUND(MIN(25,($N423/Instellingen!$B$3)*25)+MIN(25,($I423/Instellingen!$B$4)*25)+MIN(25,($J423/Instellingen!$B$5)*25)+MIN(25,(IF($M423="",0,$M423)/Instellingen!$B$6)*25),0),""))</f>
        <v/>
      </c>
      <c r="Q423" s="13" t="str">
        <f aca="false">IF($P423="","",IF($P423&gt;=Instellingen!$B$7,"Sterke niche",IF($P423&gt;=Instellingen!$B$8,"Belofte - opvolgen",IF($P423&gt;=Instellingen!$B$9,"Zwak - twijfel","Vermijden"))))</f>
        <v/>
      </c>
      <c r="R423" s="5"/>
      <c r="T423" s="1" t="str">
        <f aca="false">IF($C423="","",IF($P423=_xlfn.MAXIFS($P$3:$P$1000,$B$3:$B$1000,$B423),"★ Cash cow – handmatig onderzoeken",""))</f>
        <v/>
      </c>
    </row>
    <row r="424" customFormat="false" ht="14.25" hidden="false" customHeight="true" outlineLevel="0" collapsed="false">
      <c r="A424" s="4"/>
      <c r="B424" s="5"/>
      <c r="C424" s="5"/>
      <c r="D424" s="5"/>
      <c r="E424" s="6"/>
      <c r="F424" s="7"/>
      <c r="G424" s="8"/>
      <c r="H424" s="7"/>
      <c r="I424" s="7"/>
      <c r="J424" s="6"/>
      <c r="K424" s="9" t="str">
        <f aca="false">IF(OR($J424="",$J424=0),"",$I424/$J424)</f>
        <v/>
      </c>
      <c r="L424" s="9" t="str">
        <f aca="false">IF(OR($E424="",$E424=0),"",$H424/$E424)</f>
        <v/>
      </c>
      <c r="M424" s="10" t="str">
        <f aca="false">IF(OR($L424="",$L424=0),"",($I424/30)/$L424)</f>
        <v/>
      </c>
      <c r="N424" s="8"/>
      <c r="O424" s="11" t="str">
        <f aca="false">IF(OR($I424="",$N424=""),"",($I424/1000)*$N424)</f>
        <v/>
      </c>
      <c r="P424" s="12" t="str">
        <f aca="false">IF($C424="","",IFERROR(ROUND(MIN(25,($N424/Instellingen!$B$3)*25)+MIN(25,($I424/Instellingen!$B$4)*25)+MIN(25,($J424/Instellingen!$B$5)*25)+MIN(25,(IF($M424="",0,$M424)/Instellingen!$B$6)*25),0),""))</f>
        <v/>
      </c>
      <c r="Q424" s="13" t="str">
        <f aca="false">IF($P424="","",IF($P424&gt;=Instellingen!$B$7,"Sterke niche",IF($P424&gt;=Instellingen!$B$8,"Belofte - opvolgen",IF($P424&gt;=Instellingen!$B$9,"Zwak - twijfel","Vermijden"))))</f>
        <v/>
      </c>
      <c r="R424" s="5"/>
      <c r="T424" s="1" t="str">
        <f aca="false">IF($C424="","",IF($P424=_xlfn.MAXIFS($P$3:$P$1000,$B$3:$B$1000,$B424),"★ Cash cow – handmatig onderzoeken",""))</f>
        <v/>
      </c>
    </row>
    <row r="425" customFormat="false" ht="14.25" hidden="false" customHeight="true" outlineLevel="0" collapsed="false">
      <c r="A425" s="4"/>
      <c r="B425" s="5"/>
      <c r="C425" s="5"/>
      <c r="D425" s="5"/>
      <c r="E425" s="6"/>
      <c r="F425" s="7"/>
      <c r="G425" s="8"/>
      <c r="H425" s="7"/>
      <c r="I425" s="7"/>
      <c r="J425" s="6"/>
      <c r="K425" s="9" t="str">
        <f aca="false">IF(OR($J425="",$J425=0),"",$I425/$J425)</f>
        <v/>
      </c>
      <c r="L425" s="9" t="str">
        <f aca="false">IF(OR($E425="",$E425=0),"",$H425/$E425)</f>
        <v/>
      </c>
      <c r="M425" s="10" t="str">
        <f aca="false">IF(OR($L425="",$L425=0),"",($I425/30)/$L425)</f>
        <v/>
      </c>
      <c r="N425" s="8"/>
      <c r="O425" s="11" t="str">
        <f aca="false">IF(OR($I425="",$N425=""),"",($I425/1000)*$N425)</f>
        <v/>
      </c>
      <c r="P425" s="12" t="str">
        <f aca="false">IF($C425="","",IFERROR(ROUND(MIN(25,($N425/Instellingen!$B$3)*25)+MIN(25,($I425/Instellingen!$B$4)*25)+MIN(25,($J425/Instellingen!$B$5)*25)+MIN(25,(IF($M425="",0,$M425)/Instellingen!$B$6)*25),0),""))</f>
        <v/>
      </c>
      <c r="Q425" s="13" t="str">
        <f aca="false">IF($P425="","",IF($P425&gt;=Instellingen!$B$7,"Sterke niche",IF($P425&gt;=Instellingen!$B$8,"Belofte - opvolgen",IF($P425&gt;=Instellingen!$B$9,"Zwak - twijfel","Vermijden"))))</f>
        <v/>
      </c>
      <c r="R425" s="5"/>
      <c r="T425" s="1" t="str">
        <f aca="false">IF($C425="","",IF($P425=_xlfn.MAXIFS($P$3:$P$1000,$B$3:$B$1000,$B425),"★ Cash cow – handmatig onderzoeken",""))</f>
        <v/>
      </c>
    </row>
    <row r="426" customFormat="false" ht="14.25" hidden="false" customHeight="true" outlineLevel="0" collapsed="false">
      <c r="A426" s="4"/>
      <c r="B426" s="5"/>
      <c r="C426" s="5"/>
      <c r="D426" s="5"/>
      <c r="E426" s="6"/>
      <c r="F426" s="7"/>
      <c r="G426" s="8"/>
      <c r="H426" s="7"/>
      <c r="I426" s="7"/>
      <c r="J426" s="6"/>
      <c r="K426" s="9" t="str">
        <f aca="false">IF(OR($J426="",$J426=0),"",$I426/$J426)</f>
        <v/>
      </c>
      <c r="L426" s="9" t="str">
        <f aca="false">IF(OR($E426="",$E426=0),"",$H426/$E426)</f>
        <v/>
      </c>
      <c r="M426" s="10" t="str">
        <f aca="false">IF(OR($L426="",$L426=0),"",($I426/30)/$L426)</f>
        <v/>
      </c>
      <c r="N426" s="8"/>
      <c r="O426" s="11" t="str">
        <f aca="false">IF(OR($I426="",$N426=""),"",($I426/1000)*$N426)</f>
        <v/>
      </c>
      <c r="P426" s="12" t="str">
        <f aca="false">IF($C426="","",IFERROR(ROUND(MIN(25,($N426/Instellingen!$B$3)*25)+MIN(25,($I426/Instellingen!$B$4)*25)+MIN(25,($J426/Instellingen!$B$5)*25)+MIN(25,(IF($M426="",0,$M426)/Instellingen!$B$6)*25),0),""))</f>
        <v/>
      </c>
      <c r="Q426" s="13" t="str">
        <f aca="false">IF($P426="","",IF($P426&gt;=Instellingen!$B$7,"Sterke niche",IF($P426&gt;=Instellingen!$B$8,"Belofte - opvolgen",IF($P426&gt;=Instellingen!$B$9,"Zwak - twijfel","Vermijden"))))</f>
        <v/>
      </c>
      <c r="R426" s="5"/>
      <c r="T426" s="1" t="str">
        <f aca="false">IF($C426="","",IF($P426=_xlfn.MAXIFS($P$3:$P$1000,$B$3:$B$1000,$B426),"★ Cash cow – handmatig onderzoeken",""))</f>
        <v/>
      </c>
    </row>
    <row r="427" customFormat="false" ht="14.25" hidden="false" customHeight="true" outlineLevel="0" collapsed="false">
      <c r="A427" s="4"/>
      <c r="B427" s="5"/>
      <c r="C427" s="5"/>
      <c r="D427" s="5"/>
      <c r="E427" s="6"/>
      <c r="F427" s="7"/>
      <c r="G427" s="8"/>
      <c r="H427" s="7"/>
      <c r="I427" s="7"/>
      <c r="J427" s="6"/>
      <c r="K427" s="9" t="str">
        <f aca="false">IF(OR($J427="",$J427=0),"",$I427/$J427)</f>
        <v/>
      </c>
      <c r="L427" s="9" t="str">
        <f aca="false">IF(OR($E427="",$E427=0),"",$H427/$E427)</f>
        <v/>
      </c>
      <c r="M427" s="10" t="str">
        <f aca="false">IF(OR($L427="",$L427=0),"",($I427/30)/$L427)</f>
        <v/>
      </c>
      <c r="N427" s="8"/>
      <c r="O427" s="11" t="str">
        <f aca="false">IF(OR($I427="",$N427=""),"",($I427/1000)*$N427)</f>
        <v/>
      </c>
      <c r="P427" s="12" t="str">
        <f aca="false">IF($C427="","",IFERROR(ROUND(MIN(25,($N427/Instellingen!$B$3)*25)+MIN(25,($I427/Instellingen!$B$4)*25)+MIN(25,($J427/Instellingen!$B$5)*25)+MIN(25,(IF($M427="",0,$M427)/Instellingen!$B$6)*25),0),""))</f>
        <v/>
      </c>
      <c r="Q427" s="13" t="str">
        <f aca="false">IF($P427="","",IF($P427&gt;=Instellingen!$B$7,"Sterke niche",IF($P427&gt;=Instellingen!$B$8,"Belofte - opvolgen",IF($P427&gt;=Instellingen!$B$9,"Zwak - twijfel","Vermijden"))))</f>
        <v/>
      </c>
      <c r="R427" s="5"/>
      <c r="T427" s="1" t="str">
        <f aca="false">IF($C427="","",IF($P427=_xlfn.MAXIFS($P$3:$P$1000,$B$3:$B$1000,$B427),"★ Cash cow – handmatig onderzoeken",""))</f>
        <v/>
      </c>
    </row>
    <row r="428" customFormat="false" ht="14.25" hidden="false" customHeight="true" outlineLevel="0" collapsed="false">
      <c r="A428" s="4"/>
      <c r="B428" s="5"/>
      <c r="C428" s="5"/>
      <c r="D428" s="5"/>
      <c r="E428" s="6"/>
      <c r="F428" s="7"/>
      <c r="G428" s="8"/>
      <c r="H428" s="7"/>
      <c r="I428" s="7"/>
      <c r="J428" s="6"/>
      <c r="K428" s="9" t="str">
        <f aca="false">IF(OR($J428="",$J428=0),"",$I428/$J428)</f>
        <v/>
      </c>
      <c r="L428" s="9" t="str">
        <f aca="false">IF(OR($E428="",$E428=0),"",$H428/$E428)</f>
        <v/>
      </c>
      <c r="M428" s="10" t="str">
        <f aca="false">IF(OR($L428="",$L428=0),"",($I428/30)/$L428)</f>
        <v/>
      </c>
      <c r="N428" s="8"/>
      <c r="O428" s="11" t="str">
        <f aca="false">IF(OR($I428="",$N428=""),"",($I428/1000)*$N428)</f>
        <v/>
      </c>
      <c r="P428" s="12" t="str">
        <f aca="false">IF($C428="","",IFERROR(ROUND(MIN(25,($N428/Instellingen!$B$3)*25)+MIN(25,($I428/Instellingen!$B$4)*25)+MIN(25,($J428/Instellingen!$B$5)*25)+MIN(25,(IF($M428="",0,$M428)/Instellingen!$B$6)*25),0),""))</f>
        <v/>
      </c>
      <c r="Q428" s="13" t="str">
        <f aca="false">IF($P428="","",IF($P428&gt;=Instellingen!$B$7,"Sterke niche",IF($P428&gt;=Instellingen!$B$8,"Belofte - opvolgen",IF($P428&gt;=Instellingen!$B$9,"Zwak - twijfel","Vermijden"))))</f>
        <v/>
      </c>
      <c r="R428" s="5"/>
      <c r="T428" s="1" t="str">
        <f aca="false">IF($C428="","",IF($P428=_xlfn.MAXIFS($P$3:$P$1000,$B$3:$B$1000,$B428),"★ Cash cow – handmatig onderzoeken",""))</f>
        <v/>
      </c>
    </row>
    <row r="429" customFormat="false" ht="14.25" hidden="false" customHeight="true" outlineLevel="0" collapsed="false">
      <c r="A429" s="4"/>
      <c r="B429" s="5"/>
      <c r="C429" s="5"/>
      <c r="D429" s="5"/>
      <c r="E429" s="6"/>
      <c r="F429" s="7"/>
      <c r="G429" s="8"/>
      <c r="H429" s="7"/>
      <c r="I429" s="7"/>
      <c r="J429" s="6"/>
      <c r="K429" s="9" t="str">
        <f aca="false">IF(OR($J429="",$J429=0),"",$I429/$J429)</f>
        <v/>
      </c>
      <c r="L429" s="9" t="str">
        <f aca="false">IF(OR($E429="",$E429=0),"",$H429/$E429)</f>
        <v/>
      </c>
      <c r="M429" s="10" t="str">
        <f aca="false">IF(OR($L429="",$L429=0),"",($I429/30)/$L429)</f>
        <v/>
      </c>
      <c r="N429" s="8"/>
      <c r="O429" s="11" t="str">
        <f aca="false">IF(OR($I429="",$N429=""),"",($I429/1000)*$N429)</f>
        <v/>
      </c>
      <c r="P429" s="12" t="str">
        <f aca="false">IF($C429="","",IFERROR(ROUND(MIN(25,($N429/Instellingen!$B$3)*25)+MIN(25,($I429/Instellingen!$B$4)*25)+MIN(25,($J429/Instellingen!$B$5)*25)+MIN(25,(IF($M429="",0,$M429)/Instellingen!$B$6)*25),0),""))</f>
        <v/>
      </c>
      <c r="Q429" s="13" t="str">
        <f aca="false">IF($P429="","",IF($P429&gt;=Instellingen!$B$7,"Sterke niche",IF($P429&gt;=Instellingen!$B$8,"Belofte - opvolgen",IF($P429&gt;=Instellingen!$B$9,"Zwak - twijfel","Vermijden"))))</f>
        <v/>
      </c>
      <c r="R429" s="5"/>
      <c r="T429" s="1" t="str">
        <f aca="false">IF($C429="","",IF($P429=_xlfn.MAXIFS($P$3:$P$1000,$B$3:$B$1000,$B429),"★ Cash cow – handmatig onderzoeken",""))</f>
        <v/>
      </c>
    </row>
    <row r="430" customFormat="false" ht="14.25" hidden="false" customHeight="true" outlineLevel="0" collapsed="false">
      <c r="A430" s="4"/>
      <c r="B430" s="5"/>
      <c r="C430" s="5"/>
      <c r="D430" s="5"/>
      <c r="E430" s="6"/>
      <c r="F430" s="7"/>
      <c r="G430" s="8"/>
      <c r="H430" s="7"/>
      <c r="I430" s="7"/>
      <c r="J430" s="6"/>
      <c r="K430" s="9" t="str">
        <f aca="false">IF(OR($J430="",$J430=0),"",$I430/$J430)</f>
        <v/>
      </c>
      <c r="L430" s="9" t="str">
        <f aca="false">IF(OR($E430="",$E430=0),"",$H430/$E430)</f>
        <v/>
      </c>
      <c r="M430" s="10" t="str">
        <f aca="false">IF(OR($L430="",$L430=0),"",($I430/30)/$L430)</f>
        <v/>
      </c>
      <c r="N430" s="8"/>
      <c r="O430" s="11" t="str">
        <f aca="false">IF(OR($I430="",$N430=""),"",($I430/1000)*$N430)</f>
        <v/>
      </c>
      <c r="P430" s="12" t="str">
        <f aca="false">IF($C430="","",IFERROR(ROUND(MIN(25,($N430/Instellingen!$B$3)*25)+MIN(25,($I430/Instellingen!$B$4)*25)+MIN(25,($J430/Instellingen!$B$5)*25)+MIN(25,(IF($M430="",0,$M430)/Instellingen!$B$6)*25),0),""))</f>
        <v/>
      </c>
      <c r="Q430" s="13" t="str">
        <f aca="false">IF($P430="","",IF($P430&gt;=Instellingen!$B$7,"Sterke niche",IF($P430&gt;=Instellingen!$B$8,"Belofte - opvolgen",IF($P430&gt;=Instellingen!$B$9,"Zwak - twijfel","Vermijden"))))</f>
        <v/>
      </c>
      <c r="R430" s="5"/>
      <c r="T430" s="1" t="str">
        <f aca="false">IF($C430="","",IF($P430=_xlfn.MAXIFS($P$3:$P$1000,$B$3:$B$1000,$B430),"★ Cash cow – handmatig onderzoeken",""))</f>
        <v/>
      </c>
    </row>
    <row r="431" customFormat="false" ht="14.25" hidden="false" customHeight="true" outlineLevel="0" collapsed="false">
      <c r="A431" s="4"/>
      <c r="B431" s="5"/>
      <c r="C431" s="5"/>
      <c r="D431" s="5"/>
      <c r="E431" s="6"/>
      <c r="F431" s="7"/>
      <c r="G431" s="8"/>
      <c r="H431" s="7"/>
      <c r="I431" s="7"/>
      <c r="J431" s="6"/>
      <c r="K431" s="9" t="str">
        <f aca="false">IF(OR($J431="",$J431=0),"",$I431/$J431)</f>
        <v/>
      </c>
      <c r="L431" s="9" t="str">
        <f aca="false">IF(OR($E431="",$E431=0),"",$H431/$E431)</f>
        <v/>
      </c>
      <c r="M431" s="10" t="str">
        <f aca="false">IF(OR($L431="",$L431=0),"",($I431/30)/$L431)</f>
        <v/>
      </c>
      <c r="N431" s="8"/>
      <c r="O431" s="11" t="str">
        <f aca="false">IF(OR($I431="",$N431=""),"",($I431/1000)*$N431)</f>
        <v/>
      </c>
      <c r="P431" s="12" t="str">
        <f aca="false">IF($C431="","",IFERROR(ROUND(MIN(25,($N431/Instellingen!$B$3)*25)+MIN(25,($I431/Instellingen!$B$4)*25)+MIN(25,($J431/Instellingen!$B$5)*25)+MIN(25,(IF($M431="",0,$M431)/Instellingen!$B$6)*25),0),""))</f>
        <v/>
      </c>
      <c r="Q431" s="13" t="str">
        <f aca="false">IF($P431="","",IF($P431&gt;=Instellingen!$B$7,"Sterke niche",IF($P431&gt;=Instellingen!$B$8,"Belofte - opvolgen",IF($P431&gt;=Instellingen!$B$9,"Zwak - twijfel","Vermijden"))))</f>
        <v/>
      </c>
      <c r="R431" s="5"/>
      <c r="T431" s="1" t="str">
        <f aca="false">IF($C431="","",IF($P431=_xlfn.MAXIFS($P$3:$P$1000,$B$3:$B$1000,$B431),"★ Cash cow – handmatig onderzoeken",""))</f>
        <v/>
      </c>
    </row>
    <row r="432" customFormat="false" ht="14.25" hidden="false" customHeight="true" outlineLevel="0" collapsed="false">
      <c r="A432" s="4"/>
      <c r="B432" s="5"/>
      <c r="C432" s="5"/>
      <c r="D432" s="5"/>
      <c r="E432" s="6"/>
      <c r="F432" s="7"/>
      <c r="G432" s="8"/>
      <c r="H432" s="7"/>
      <c r="I432" s="7"/>
      <c r="J432" s="6"/>
      <c r="K432" s="9" t="str">
        <f aca="false">IF(OR($J432="",$J432=0),"",$I432/$J432)</f>
        <v/>
      </c>
      <c r="L432" s="9" t="str">
        <f aca="false">IF(OR($E432="",$E432=0),"",$H432/$E432)</f>
        <v/>
      </c>
      <c r="M432" s="10" t="str">
        <f aca="false">IF(OR($L432="",$L432=0),"",($I432/30)/$L432)</f>
        <v/>
      </c>
      <c r="N432" s="8"/>
      <c r="O432" s="11" t="str">
        <f aca="false">IF(OR($I432="",$N432=""),"",($I432/1000)*$N432)</f>
        <v/>
      </c>
      <c r="P432" s="12" t="str">
        <f aca="false">IF($C432="","",IFERROR(ROUND(MIN(25,($N432/Instellingen!$B$3)*25)+MIN(25,($I432/Instellingen!$B$4)*25)+MIN(25,($J432/Instellingen!$B$5)*25)+MIN(25,(IF($M432="",0,$M432)/Instellingen!$B$6)*25),0),""))</f>
        <v/>
      </c>
      <c r="Q432" s="13" t="str">
        <f aca="false">IF($P432="","",IF($P432&gt;=Instellingen!$B$7,"Sterke niche",IF($P432&gt;=Instellingen!$B$8,"Belofte - opvolgen",IF($P432&gt;=Instellingen!$B$9,"Zwak - twijfel","Vermijden"))))</f>
        <v/>
      </c>
      <c r="R432" s="5"/>
      <c r="T432" s="1" t="str">
        <f aca="false">IF($C432="","",IF($P432=_xlfn.MAXIFS($P$3:$P$1000,$B$3:$B$1000,$B432),"★ Cash cow – handmatig onderzoeken",""))</f>
        <v/>
      </c>
    </row>
    <row r="433" customFormat="false" ht="14.25" hidden="false" customHeight="true" outlineLevel="0" collapsed="false">
      <c r="A433" s="4"/>
      <c r="B433" s="5"/>
      <c r="C433" s="5"/>
      <c r="D433" s="5"/>
      <c r="E433" s="6"/>
      <c r="F433" s="7"/>
      <c r="G433" s="8"/>
      <c r="H433" s="7"/>
      <c r="I433" s="7"/>
      <c r="J433" s="6"/>
      <c r="K433" s="9" t="str">
        <f aca="false">IF(OR($J433="",$J433=0),"",$I433/$J433)</f>
        <v/>
      </c>
      <c r="L433" s="9" t="str">
        <f aca="false">IF(OR($E433="",$E433=0),"",$H433/$E433)</f>
        <v/>
      </c>
      <c r="M433" s="10" t="str">
        <f aca="false">IF(OR($L433="",$L433=0),"",($I433/30)/$L433)</f>
        <v/>
      </c>
      <c r="N433" s="8"/>
      <c r="O433" s="11" t="str">
        <f aca="false">IF(OR($I433="",$N433=""),"",($I433/1000)*$N433)</f>
        <v/>
      </c>
      <c r="P433" s="12" t="str">
        <f aca="false">IF($C433="","",IFERROR(ROUND(MIN(25,($N433/Instellingen!$B$3)*25)+MIN(25,($I433/Instellingen!$B$4)*25)+MIN(25,($J433/Instellingen!$B$5)*25)+MIN(25,(IF($M433="",0,$M433)/Instellingen!$B$6)*25),0),""))</f>
        <v/>
      </c>
      <c r="Q433" s="13" t="str">
        <f aca="false">IF($P433="","",IF($P433&gt;=Instellingen!$B$7,"Sterke niche",IF($P433&gt;=Instellingen!$B$8,"Belofte - opvolgen",IF($P433&gt;=Instellingen!$B$9,"Zwak - twijfel","Vermijden"))))</f>
        <v/>
      </c>
      <c r="R433" s="5"/>
      <c r="T433" s="1" t="str">
        <f aca="false">IF($C433="","",IF($P433=_xlfn.MAXIFS($P$3:$P$1000,$B$3:$B$1000,$B433),"★ Cash cow – handmatig onderzoeken",""))</f>
        <v/>
      </c>
    </row>
    <row r="434" customFormat="false" ht="14.25" hidden="false" customHeight="true" outlineLevel="0" collapsed="false">
      <c r="A434" s="4"/>
      <c r="B434" s="5"/>
      <c r="C434" s="5"/>
      <c r="D434" s="5"/>
      <c r="E434" s="6"/>
      <c r="F434" s="7"/>
      <c r="G434" s="8"/>
      <c r="H434" s="7"/>
      <c r="I434" s="7"/>
      <c r="J434" s="6"/>
      <c r="K434" s="9" t="str">
        <f aca="false">IF(OR($J434="",$J434=0),"",$I434/$J434)</f>
        <v/>
      </c>
      <c r="L434" s="9" t="str">
        <f aca="false">IF(OR($E434="",$E434=0),"",$H434/$E434)</f>
        <v/>
      </c>
      <c r="M434" s="10" t="str">
        <f aca="false">IF(OR($L434="",$L434=0),"",($I434/30)/$L434)</f>
        <v/>
      </c>
      <c r="N434" s="8"/>
      <c r="O434" s="11" t="str">
        <f aca="false">IF(OR($I434="",$N434=""),"",($I434/1000)*$N434)</f>
        <v/>
      </c>
      <c r="P434" s="12" t="str">
        <f aca="false">IF($C434="","",IFERROR(ROUND(MIN(25,($N434/Instellingen!$B$3)*25)+MIN(25,($I434/Instellingen!$B$4)*25)+MIN(25,($J434/Instellingen!$B$5)*25)+MIN(25,(IF($M434="",0,$M434)/Instellingen!$B$6)*25),0),""))</f>
        <v/>
      </c>
      <c r="Q434" s="13" t="str">
        <f aca="false">IF($P434="","",IF($P434&gt;=Instellingen!$B$7,"Sterke niche",IF($P434&gt;=Instellingen!$B$8,"Belofte - opvolgen",IF($P434&gt;=Instellingen!$B$9,"Zwak - twijfel","Vermijden"))))</f>
        <v/>
      </c>
      <c r="R434" s="5"/>
      <c r="T434" s="1" t="str">
        <f aca="false">IF($C434="","",IF($P434=_xlfn.MAXIFS($P$3:$P$1000,$B$3:$B$1000,$B434),"★ Cash cow – handmatig onderzoeken",""))</f>
        <v/>
      </c>
    </row>
    <row r="435" customFormat="false" ht="14.25" hidden="false" customHeight="true" outlineLevel="0" collapsed="false">
      <c r="A435" s="4"/>
      <c r="B435" s="5"/>
      <c r="C435" s="5"/>
      <c r="D435" s="5"/>
      <c r="E435" s="6"/>
      <c r="F435" s="7"/>
      <c r="G435" s="8"/>
      <c r="H435" s="7"/>
      <c r="I435" s="7"/>
      <c r="J435" s="6"/>
      <c r="K435" s="9" t="str">
        <f aca="false">IF(OR($J435="",$J435=0),"",$I435/$J435)</f>
        <v/>
      </c>
      <c r="L435" s="9" t="str">
        <f aca="false">IF(OR($E435="",$E435=0),"",$H435/$E435)</f>
        <v/>
      </c>
      <c r="M435" s="10" t="str">
        <f aca="false">IF(OR($L435="",$L435=0),"",($I435/30)/$L435)</f>
        <v/>
      </c>
      <c r="N435" s="8"/>
      <c r="O435" s="11" t="str">
        <f aca="false">IF(OR($I435="",$N435=""),"",($I435/1000)*$N435)</f>
        <v/>
      </c>
      <c r="P435" s="12" t="str">
        <f aca="false">IF($C435="","",IFERROR(ROUND(MIN(25,($N435/Instellingen!$B$3)*25)+MIN(25,($I435/Instellingen!$B$4)*25)+MIN(25,($J435/Instellingen!$B$5)*25)+MIN(25,(IF($M435="",0,$M435)/Instellingen!$B$6)*25),0),""))</f>
        <v/>
      </c>
      <c r="Q435" s="13" t="str">
        <f aca="false">IF($P435="","",IF($P435&gt;=Instellingen!$B$7,"Sterke niche",IF($P435&gt;=Instellingen!$B$8,"Belofte - opvolgen",IF($P435&gt;=Instellingen!$B$9,"Zwak - twijfel","Vermijden"))))</f>
        <v/>
      </c>
      <c r="R435" s="5"/>
      <c r="T435" s="1" t="str">
        <f aca="false">IF($C435="","",IF($P435=_xlfn.MAXIFS($P$3:$P$1000,$B$3:$B$1000,$B435),"★ Cash cow – handmatig onderzoeken",""))</f>
        <v/>
      </c>
    </row>
    <row r="436" customFormat="false" ht="14.25" hidden="false" customHeight="true" outlineLevel="0" collapsed="false">
      <c r="A436" s="4"/>
      <c r="B436" s="5"/>
      <c r="C436" s="5"/>
      <c r="D436" s="5"/>
      <c r="E436" s="6"/>
      <c r="F436" s="7"/>
      <c r="G436" s="8"/>
      <c r="H436" s="7"/>
      <c r="I436" s="7"/>
      <c r="J436" s="6"/>
      <c r="K436" s="9" t="str">
        <f aca="false">IF(OR($J436="",$J436=0),"",$I436/$J436)</f>
        <v/>
      </c>
      <c r="L436" s="9" t="str">
        <f aca="false">IF(OR($E436="",$E436=0),"",$H436/$E436)</f>
        <v/>
      </c>
      <c r="M436" s="10" t="str">
        <f aca="false">IF(OR($L436="",$L436=0),"",($I436/30)/$L436)</f>
        <v/>
      </c>
      <c r="N436" s="8"/>
      <c r="O436" s="11" t="str">
        <f aca="false">IF(OR($I436="",$N436=""),"",($I436/1000)*$N436)</f>
        <v/>
      </c>
      <c r="P436" s="12" t="str">
        <f aca="false">IF($C436="","",IFERROR(ROUND(MIN(25,($N436/Instellingen!$B$3)*25)+MIN(25,($I436/Instellingen!$B$4)*25)+MIN(25,($J436/Instellingen!$B$5)*25)+MIN(25,(IF($M436="",0,$M436)/Instellingen!$B$6)*25),0),""))</f>
        <v/>
      </c>
      <c r="Q436" s="13" t="str">
        <f aca="false">IF($P436="","",IF($P436&gt;=Instellingen!$B$7,"Sterke niche",IF($P436&gt;=Instellingen!$B$8,"Belofte - opvolgen",IF($P436&gt;=Instellingen!$B$9,"Zwak - twijfel","Vermijden"))))</f>
        <v/>
      </c>
      <c r="R436" s="5"/>
      <c r="T436" s="1" t="str">
        <f aca="false">IF($C436="","",IF($P436=_xlfn.MAXIFS($P$3:$P$1000,$B$3:$B$1000,$B436),"★ Cash cow – handmatig onderzoeken",""))</f>
        <v/>
      </c>
    </row>
    <row r="437" customFormat="false" ht="14.25" hidden="false" customHeight="true" outlineLevel="0" collapsed="false">
      <c r="A437" s="4"/>
      <c r="B437" s="5"/>
      <c r="C437" s="5"/>
      <c r="D437" s="5"/>
      <c r="E437" s="6"/>
      <c r="F437" s="7"/>
      <c r="G437" s="8"/>
      <c r="H437" s="7"/>
      <c r="I437" s="7"/>
      <c r="J437" s="6"/>
      <c r="K437" s="9" t="str">
        <f aca="false">IF(OR($J437="",$J437=0),"",$I437/$J437)</f>
        <v/>
      </c>
      <c r="L437" s="9" t="str">
        <f aca="false">IF(OR($E437="",$E437=0),"",$H437/$E437)</f>
        <v/>
      </c>
      <c r="M437" s="10" t="str">
        <f aca="false">IF(OR($L437="",$L437=0),"",($I437/30)/$L437)</f>
        <v/>
      </c>
      <c r="N437" s="8"/>
      <c r="O437" s="11" t="str">
        <f aca="false">IF(OR($I437="",$N437=""),"",($I437/1000)*$N437)</f>
        <v/>
      </c>
      <c r="P437" s="12" t="str">
        <f aca="false">IF($C437="","",IFERROR(ROUND(MIN(25,($N437/Instellingen!$B$3)*25)+MIN(25,($I437/Instellingen!$B$4)*25)+MIN(25,($J437/Instellingen!$B$5)*25)+MIN(25,(IF($M437="",0,$M437)/Instellingen!$B$6)*25),0),""))</f>
        <v/>
      </c>
      <c r="Q437" s="13" t="str">
        <f aca="false">IF($P437="","",IF($P437&gt;=Instellingen!$B$7,"Sterke niche",IF($P437&gt;=Instellingen!$B$8,"Belofte - opvolgen",IF($P437&gt;=Instellingen!$B$9,"Zwak - twijfel","Vermijden"))))</f>
        <v/>
      </c>
      <c r="R437" s="5"/>
      <c r="T437" s="1" t="str">
        <f aca="false">IF($C437="","",IF($P437=_xlfn.MAXIFS($P$3:$P$1000,$B$3:$B$1000,$B437),"★ Cash cow – handmatig onderzoeken",""))</f>
        <v/>
      </c>
    </row>
    <row r="438" customFormat="false" ht="14.25" hidden="false" customHeight="true" outlineLevel="0" collapsed="false">
      <c r="A438" s="4"/>
      <c r="B438" s="5"/>
      <c r="C438" s="5"/>
      <c r="D438" s="5"/>
      <c r="E438" s="6"/>
      <c r="F438" s="7"/>
      <c r="G438" s="8"/>
      <c r="H438" s="7"/>
      <c r="I438" s="7"/>
      <c r="J438" s="6"/>
      <c r="K438" s="9" t="str">
        <f aca="false">IF(OR($J438="",$J438=0),"",$I438/$J438)</f>
        <v/>
      </c>
      <c r="L438" s="9" t="str">
        <f aca="false">IF(OR($E438="",$E438=0),"",$H438/$E438)</f>
        <v/>
      </c>
      <c r="M438" s="10" t="str">
        <f aca="false">IF(OR($L438="",$L438=0),"",($I438/30)/$L438)</f>
        <v/>
      </c>
      <c r="N438" s="8"/>
      <c r="O438" s="11" t="str">
        <f aca="false">IF(OR($I438="",$N438=""),"",($I438/1000)*$N438)</f>
        <v/>
      </c>
      <c r="P438" s="12" t="str">
        <f aca="false">IF($C438="","",IFERROR(ROUND(MIN(25,($N438/Instellingen!$B$3)*25)+MIN(25,($I438/Instellingen!$B$4)*25)+MIN(25,($J438/Instellingen!$B$5)*25)+MIN(25,(IF($M438="",0,$M438)/Instellingen!$B$6)*25),0),""))</f>
        <v/>
      </c>
      <c r="Q438" s="13" t="str">
        <f aca="false">IF($P438="","",IF($P438&gt;=Instellingen!$B$7,"Sterke niche",IF($P438&gt;=Instellingen!$B$8,"Belofte - opvolgen",IF($P438&gt;=Instellingen!$B$9,"Zwak - twijfel","Vermijden"))))</f>
        <v/>
      </c>
      <c r="R438" s="5"/>
      <c r="T438" s="1" t="str">
        <f aca="false">IF($C438="","",IF($P438=_xlfn.MAXIFS($P$3:$P$1000,$B$3:$B$1000,$B438),"★ Cash cow – handmatig onderzoeken",""))</f>
        <v/>
      </c>
    </row>
    <row r="439" customFormat="false" ht="14.25" hidden="false" customHeight="true" outlineLevel="0" collapsed="false">
      <c r="A439" s="4"/>
      <c r="B439" s="5"/>
      <c r="C439" s="5"/>
      <c r="D439" s="5"/>
      <c r="E439" s="6"/>
      <c r="F439" s="7"/>
      <c r="G439" s="8"/>
      <c r="H439" s="7"/>
      <c r="I439" s="7"/>
      <c r="J439" s="6"/>
      <c r="K439" s="9" t="str">
        <f aca="false">IF(OR($J439="",$J439=0),"",$I439/$J439)</f>
        <v/>
      </c>
      <c r="L439" s="9" t="str">
        <f aca="false">IF(OR($E439="",$E439=0),"",$H439/$E439)</f>
        <v/>
      </c>
      <c r="M439" s="10" t="str">
        <f aca="false">IF(OR($L439="",$L439=0),"",($I439/30)/$L439)</f>
        <v/>
      </c>
      <c r="N439" s="8"/>
      <c r="O439" s="11" t="str">
        <f aca="false">IF(OR($I439="",$N439=""),"",($I439/1000)*$N439)</f>
        <v/>
      </c>
      <c r="P439" s="12" t="str">
        <f aca="false">IF($C439="","",IFERROR(ROUND(MIN(25,($N439/Instellingen!$B$3)*25)+MIN(25,($I439/Instellingen!$B$4)*25)+MIN(25,($J439/Instellingen!$B$5)*25)+MIN(25,(IF($M439="",0,$M439)/Instellingen!$B$6)*25),0),""))</f>
        <v/>
      </c>
      <c r="Q439" s="13" t="str">
        <f aca="false">IF($P439="","",IF($P439&gt;=Instellingen!$B$7,"Sterke niche",IF($P439&gt;=Instellingen!$B$8,"Belofte - opvolgen",IF($P439&gt;=Instellingen!$B$9,"Zwak - twijfel","Vermijden"))))</f>
        <v/>
      </c>
      <c r="R439" s="5"/>
      <c r="T439" s="1" t="str">
        <f aca="false">IF($C439="","",IF($P439=_xlfn.MAXIFS($P$3:$P$1000,$B$3:$B$1000,$B439),"★ Cash cow – handmatig onderzoeken",""))</f>
        <v/>
      </c>
    </row>
    <row r="440" customFormat="false" ht="14.25" hidden="false" customHeight="true" outlineLevel="0" collapsed="false">
      <c r="A440" s="4"/>
      <c r="B440" s="5"/>
      <c r="C440" s="5"/>
      <c r="D440" s="5"/>
      <c r="E440" s="6"/>
      <c r="F440" s="7"/>
      <c r="G440" s="8"/>
      <c r="H440" s="7"/>
      <c r="I440" s="7"/>
      <c r="J440" s="6"/>
      <c r="K440" s="9" t="str">
        <f aca="false">IF(OR($J440="",$J440=0),"",$I440/$J440)</f>
        <v/>
      </c>
      <c r="L440" s="9" t="str">
        <f aca="false">IF(OR($E440="",$E440=0),"",$H440/$E440)</f>
        <v/>
      </c>
      <c r="M440" s="10" t="str">
        <f aca="false">IF(OR($L440="",$L440=0),"",($I440/30)/$L440)</f>
        <v/>
      </c>
      <c r="N440" s="8"/>
      <c r="O440" s="11" t="str">
        <f aca="false">IF(OR($I440="",$N440=""),"",($I440/1000)*$N440)</f>
        <v/>
      </c>
      <c r="P440" s="12" t="str">
        <f aca="false">IF($C440="","",IFERROR(ROUND(MIN(25,($N440/Instellingen!$B$3)*25)+MIN(25,($I440/Instellingen!$B$4)*25)+MIN(25,($J440/Instellingen!$B$5)*25)+MIN(25,(IF($M440="",0,$M440)/Instellingen!$B$6)*25),0),""))</f>
        <v/>
      </c>
      <c r="Q440" s="13" t="str">
        <f aca="false">IF($P440="","",IF($P440&gt;=Instellingen!$B$7,"Sterke niche",IF($P440&gt;=Instellingen!$B$8,"Belofte - opvolgen",IF($P440&gt;=Instellingen!$B$9,"Zwak - twijfel","Vermijden"))))</f>
        <v/>
      </c>
      <c r="R440" s="5"/>
      <c r="T440" s="1" t="str">
        <f aca="false">IF($C440="","",IF($P440=_xlfn.MAXIFS($P$3:$P$1000,$B$3:$B$1000,$B440),"★ Cash cow – handmatig onderzoeken",""))</f>
        <v/>
      </c>
    </row>
    <row r="441" customFormat="false" ht="14.25" hidden="false" customHeight="true" outlineLevel="0" collapsed="false">
      <c r="A441" s="4"/>
      <c r="B441" s="5"/>
      <c r="C441" s="5"/>
      <c r="D441" s="5"/>
      <c r="E441" s="6"/>
      <c r="F441" s="7"/>
      <c r="G441" s="8"/>
      <c r="H441" s="7"/>
      <c r="I441" s="7"/>
      <c r="J441" s="6"/>
      <c r="K441" s="9" t="str">
        <f aca="false">IF(OR($J441="",$J441=0),"",$I441/$J441)</f>
        <v/>
      </c>
      <c r="L441" s="9" t="str">
        <f aca="false">IF(OR($E441="",$E441=0),"",$H441/$E441)</f>
        <v/>
      </c>
      <c r="M441" s="10" t="str">
        <f aca="false">IF(OR($L441="",$L441=0),"",($I441/30)/$L441)</f>
        <v/>
      </c>
      <c r="N441" s="8"/>
      <c r="O441" s="11" t="str">
        <f aca="false">IF(OR($I441="",$N441=""),"",($I441/1000)*$N441)</f>
        <v/>
      </c>
      <c r="P441" s="12" t="str">
        <f aca="false">IF($C441="","",IFERROR(ROUND(MIN(25,($N441/Instellingen!$B$3)*25)+MIN(25,($I441/Instellingen!$B$4)*25)+MIN(25,($J441/Instellingen!$B$5)*25)+MIN(25,(IF($M441="",0,$M441)/Instellingen!$B$6)*25),0),""))</f>
        <v/>
      </c>
      <c r="Q441" s="13" t="str">
        <f aca="false">IF($P441="","",IF($P441&gt;=Instellingen!$B$7,"Sterke niche",IF($P441&gt;=Instellingen!$B$8,"Belofte - opvolgen",IF($P441&gt;=Instellingen!$B$9,"Zwak - twijfel","Vermijden"))))</f>
        <v/>
      </c>
      <c r="R441" s="5"/>
      <c r="T441" s="1" t="str">
        <f aca="false">IF($C441="","",IF($P441=_xlfn.MAXIFS($P$3:$P$1000,$B$3:$B$1000,$B441),"★ Cash cow – handmatig onderzoeken",""))</f>
        <v/>
      </c>
    </row>
    <row r="442" customFormat="false" ht="14.25" hidden="false" customHeight="true" outlineLevel="0" collapsed="false">
      <c r="A442" s="4"/>
      <c r="B442" s="5"/>
      <c r="C442" s="5"/>
      <c r="D442" s="5"/>
      <c r="E442" s="6"/>
      <c r="F442" s="7"/>
      <c r="G442" s="8"/>
      <c r="H442" s="7"/>
      <c r="I442" s="7"/>
      <c r="J442" s="6"/>
      <c r="K442" s="9" t="str">
        <f aca="false">IF(OR($J442="",$J442=0),"",$I442/$J442)</f>
        <v/>
      </c>
      <c r="L442" s="9" t="str">
        <f aca="false">IF(OR($E442="",$E442=0),"",$H442/$E442)</f>
        <v/>
      </c>
      <c r="M442" s="10" t="str">
        <f aca="false">IF(OR($L442="",$L442=0),"",($I442/30)/$L442)</f>
        <v/>
      </c>
      <c r="N442" s="8"/>
      <c r="O442" s="11" t="str">
        <f aca="false">IF(OR($I442="",$N442=""),"",($I442/1000)*$N442)</f>
        <v/>
      </c>
      <c r="P442" s="12" t="str">
        <f aca="false">IF($C442="","",IFERROR(ROUND(MIN(25,($N442/Instellingen!$B$3)*25)+MIN(25,($I442/Instellingen!$B$4)*25)+MIN(25,($J442/Instellingen!$B$5)*25)+MIN(25,(IF($M442="",0,$M442)/Instellingen!$B$6)*25),0),""))</f>
        <v/>
      </c>
      <c r="Q442" s="13" t="str">
        <f aca="false">IF($P442="","",IF($P442&gt;=Instellingen!$B$7,"Sterke niche",IF($P442&gt;=Instellingen!$B$8,"Belofte - opvolgen",IF($P442&gt;=Instellingen!$B$9,"Zwak - twijfel","Vermijden"))))</f>
        <v/>
      </c>
      <c r="R442" s="5"/>
      <c r="T442" s="1" t="str">
        <f aca="false">IF($C442="","",IF($P442=_xlfn.MAXIFS($P$3:$P$1000,$B$3:$B$1000,$B442),"★ Cash cow – handmatig onderzoeken",""))</f>
        <v/>
      </c>
    </row>
    <row r="443" customFormat="false" ht="14.25" hidden="false" customHeight="true" outlineLevel="0" collapsed="false">
      <c r="A443" s="4"/>
      <c r="B443" s="5"/>
      <c r="C443" s="5"/>
      <c r="D443" s="5"/>
      <c r="E443" s="6"/>
      <c r="F443" s="7"/>
      <c r="G443" s="8"/>
      <c r="H443" s="7"/>
      <c r="I443" s="7"/>
      <c r="J443" s="6"/>
      <c r="K443" s="9" t="str">
        <f aca="false">IF(OR($J443="",$J443=0),"",$I443/$J443)</f>
        <v/>
      </c>
      <c r="L443" s="9" t="str">
        <f aca="false">IF(OR($E443="",$E443=0),"",$H443/$E443)</f>
        <v/>
      </c>
      <c r="M443" s="10" t="str">
        <f aca="false">IF(OR($L443="",$L443=0),"",($I443/30)/$L443)</f>
        <v/>
      </c>
      <c r="N443" s="8"/>
      <c r="O443" s="11" t="str">
        <f aca="false">IF(OR($I443="",$N443=""),"",($I443/1000)*$N443)</f>
        <v/>
      </c>
      <c r="P443" s="12" t="str">
        <f aca="false">IF($C443="","",IFERROR(ROUND(MIN(25,($N443/Instellingen!$B$3)*25)+MIN(25,($I443/Instellingen!$B$4)*25)+MIN(25,($J443/Instellingen!$B$5)*25)+MIN(25,(IF($M443="",0,$M443)/Instellingen!$B$6)*25),0),""))</f>
        <v/>
      </c>
      <c r="Q443" s="13" t="str">
        <f aca="false">IF($P443="","",IF($P443&gt;=Instellingen!$B$7,"Sterke niche",IF($P443&gt;=Instellingen!$B$8,"Belofte - opvolgen",IF($P443&gt;=Instellingen!$B$9,"Zwak - twijfel","Vermijden"))))</f>
        <v/>
      </c>
      <c r="R443" s="5"/>
      <c r="T443" s="1" t="str">
        <f aca="false">IF($C443="","",IF($P443=_xlfn.MAXIFS($P$3:$P$1000,$B$3:$B$1000,$B443),"★ Cash cow – handmatig onderzoeken",""))</f>
        <v/>
      </c>
    </row>
    <row r="444" customFormat="false" ht="14.25" hidden="false" customHeight="true" outlineLevel="0" collapsed="false">
      <c r="A444" s="4"/>
      <c r="B444" s="5"/>
      <c r="C444" s="5"/>
      <c r="D444" s="5"/>
      <c r="E444" s="6"/>
      <c r="F444" s="7"/>
      <c r="G444" s="8"/>
      <c r="H444" s="7"/>
      <c r="I444" s="7"/>
      <c r="J444" s="6"/>
      <c r="K444" s="9" t="str">
        <f aca="false">IF(OR($J444="",$J444=0),"",$I444/$J444)</f>
        <v/>
      </c>
      <c r="L444" s="9" t="str">
        <f aca="false">IF(OR($E444="",$E444=0),"",$H444/$E444)</f>
        <v/>
      </c>
      <c r="M444" s="10" t="str">
        <f aca="false">IF(OR($L444="",$L444=0),"",($I444/30)/$L444)</f>
        <v/>
      </c>
      <c r="N444" s="8"/>
      <c r="O444" s="11" t="str">
        <f aca="false">IF(OR($I444="",$N444=""),"",($I444/1000)*$N444)</f>
        <v/>
      </c>
      <c r="P444" s="12" t="str">
        <f aca="false">IF($C444="","",IFERROR(ROUND(MIN(25,($N444/Instellingen!$B$3)*25)+MIN(25,($I444/Instellingen!$B$4)*25)+MIN(25,($J444/Instellingen!$B$5)*25)+MIN(25,(IF($M444="",0,$M444)/Instellingen!$B$6)*25),0),""))</f>
        <v/>
      </c>
      <c r="Q444" s="13" t="str">
        <f aca="false">IF($P444="","",IF($P444&gt;=Instellingen!$B$7,"Sterke niche",IF($P444&gt;=Instellingen!$B$8,"Belofte - opvolgen",IF($P444&gt;=Instellingen!$B$9,"Zwak - twijfel","Vermijden"))))</f>
        <v/>
      </c>
      <c r="R444" s="5"/>
      <c r="T444" s="1" t="str">
        <f aca="false">IF($C444="","",IF($P444=_xlfn.MAXIFS($P$3:$P$1000,$B$3:$B$1000,$B444),"★ Cash cow – handmatig onderzoeken",""))</f>
        <v/>
      </c>
    </row>
    <row r="445" customFormat="false" ht="14.25" hidden="false" customHeight="true" outlineLevel="0" collapsed="false">
      <c r="A445" s="4"/>
      <c r="B445" s="5"/>
      <c r="C445" s="5"/>
      <c r="D445" s="5"/>
      <c r="E445" s="6"/>
      <c r="F445" s="7"/>
      <c r="G445" s="8"/>
      <c r="H445" s="7"/>
      <c r="I445" s="7"/>
      <c r="J445" s="6"/>
      <c r="K445" s="9" t="str">
        <f aca="false">IF(OR($J445="",$J445=0),"",$I445/$J445)</f>
        <v/>
      </c>
      <c r="L445" s="9" t="str">
        <f aca="false">IF(OR($E445="",$E445=0),"",$H445/$E445)</f>
        <v/>
      </c>
      <c r="M445" s="10" t="str">
        <f aca="false">IF(OR($L445="",$L445=0),"",($I445/30)/$L445)</f>
        <v/>
      </c>
      <c r="N445" s="8"/>
      <c r="O445" s="11" t="str">
        <f aca="false">IF(OR($I445="",$N445=""),"",($I445/1000)*$N445)</f>
        <v/>
      </c>
      <c r="P445" s="12" t="str">
        <f aca="false">IF($C445="","",IFERROR(ROUND(MIN(25,($N445/Instellingen!$B$3)*25)+MIN(25,($I445/Instellingen!$B$4)*25)+MIN(25,($J445/Instellingen!$B$5)*25)+MIN(25,(IF($M445="",0,$M445)/Instellingen!$B$6)*25),0),""))</f>
        <v/>
      </c>
      <c r="Q445" s="13" t="str">
        <f aca="false">IF($P445="","",IF($P445&gt;=Instellingen!$B$7,"Sterke niche",IF($P445&gt;=Instellingen!$B$8,"Belofte - opvolgen",IF($P445&gt;=Instellingen!$B$9,"Zwak - twijfel","Vermijden"))))</f>
        <v/>
      </c>
      <c r="R445" s="5"/>
      <c r="T445" s="1" t="str">
        <f aca="false">IF($C445="","",IF($P445=_xlfn.MAXIFS($P$3:$P$1000,$B$3:$B$1000,$B445),"★ Cash cow – handmatig onderzoeken",""))</f>
        <v/>
      </c>
    </row>
    <row r="446" customFormat="false" ht="14.25" hidden="false" customHeight="true" outlineLevel="0" collapsed="false">
      <c r="A446" s="4"/>
      <c r="B446" s="5"/>
      <c r="C446" s="5"/>
      <c r="D446" s="5"/>
      <c r="E446" s="6"/>
      <c r="F446" s="7"/>
      <c r="G446" s="8"/>
      <c r="H446" s="7"/>
      <c r="I446" s="7"/>
      <c r="J446" s="6"/>
      <c r="K446" s="9" t="str">
        <f aca="false">IF(OR($J446="",$J446=0),"",$I446/$J446)</f>
        <v/>
      </c>
      <c r="L446" s="9" t="str">
        <f aca="false">IF(OR($E446="",$E446=0),"",$H446/$E446)</f>
        <v/>
      </c>
      <c r="M446" s="10" t="str">
        <f aca="false">IF(OR($L446="",$L446=0),"",($I446/30)/$L446)</f>
        <v/>
      </c>
      <c r="N446" s="8"/>
      <c r="O446" s="11" t="str">
        <f aca="false">IF(OR($I446="",$N446=""),"",($I446/1000)*$N446)</f>
        <v/>
      </c>
      <c r="P446" s="12" t="str">
        <f aca="false">IF($C446="","",IFERROR(ROUND(MIN(25,($N446/Instellingen!$B$3)*25)+MIN(25,($I446/Instellingen!$B$4)*25)+MIN(25,($J446/Instellingen!$B$5)*25)+MIN(25,(IF($M446="",0,$M446)/Instellingen!$B$6)*25),0),""))</f>
        <v/>
      </c>
      <c r="Q446" s="13" t="str">
        <f aca="false">IF($P446="","",IF($P446&gt;=Instellingen!$B$7,"Sterke niche",IF($P446&gt;=Instellingen!$B$8,"Belofte - opvolgen",IF($P446&gt;=Instellingen!$B$9,"Zwak - twijfel","Vermijden"))))</f>
        <v/>
      </c>
      <c r="R446" s="5"/>
      <c r="T446" s="1" t="str">
        <f aca="false">IF($C446="","",IF($P446=_xlfn.MAXIFS($P$3:$P$1000,$B$3:$B$1000,$B446),"★ Cash cow – handmatig onderzoeken",""))</f>
        <v/>
      </c>
    </row>
    <row r="447" customFormat="false" ht="14.25" hidden="false" customHeight="true" outlineLevel="0" collapsed="false">
      <c r="A447" s="4"/>
      <c r="B447" s="5"/>
      <c r="C447" s="5"/>
      <c r="D447" s="5"/>
      <c r="E447" s="6"/>
      <c r="F447" s="7"/>
      <c r="G447" s="8"/>
      <c r="H447" s="7"/>
      <c r="I447" s="7"/>
      <c r="J447" s="6"/>
      <c r="K447" s="9" t="str">
        <f aca="false">IF(OR($J447="",$J447=0),"",$I447/$J447)</f>
        <v/>
      </c>
      <c r="L447" s="9" t="str">
        <f aca="false">IF(OR($E447="",$E447=0),"",$H447/$E447)</f>
        <v/>
      </c>
      <c r="M447" s="10" t="str">
        <f aca="false">IF(OR($L447="",$L447=0),"",($I447/30)/$L447)</f>
        <v/>
      </c>
      <c r="N447" s="8"/>
      <c r="O447" s="11" t="str">
        <f aca="false">IF(OR($I447="",$N447=""),"",($I447/1000)*$N447)</f>
        <v/>
      </c>
      <c r="P447" s="12" t="str">
        <f aca="false">IF($C447="","",IFERROR(ROUND(MIN(25,($N447/Instellingen!$B$3)*25)+MIN(25,($I447/Instellingen!$B$4)*25)+MIN(25,($J447/Instellingen!$B$5)*25)+MIN(25,(IF($M447="",0,$M447)/Instellingen!$B$6)*25),0),""))</f>
        <v/>
      </c>
      <c r="Q447" s="13" t="str">
        <f aca="false">IF($P447="","",IF($P447&gt;=Instellingen!$B$7,"Sterke niche",IF($P447&gt;=Instellingen!$B$8,"Belofte - opvolgen",IF($P447&gt;=Instellingen!$B$9,"Zwak - twijfel","Vermijden"))))</f>
        <v/>
      </c>
      <c r="R447" s="5"/>
      <c r="T447" s="1" t="str">
        <f aca="false">IF($C447="","",IF($P447=_xlfn.MAXIFS($P$3:$P$1000,$B$3:$B$1000,$B447),"★ Cash cow – handmatig onderzoeken",""))</f>
        <v/>
      </c>
    </row>
    <row r="448" customFormat="false" ht="14.25" hidden="false" customHeight="true" outlineLevel="0" collapsed="false">
      <c r="A448" s="4"/>
      <c r="B448" s="5"/>
      <c r="C448" s="5"/>
      <c r="D448" s="5"/>
      <c r="E448" s="6"/>
      <c r="F448" s="7"/>
      <c r="G448" s="8"/>
      <c r="H448" s="7"/>
      <c r="I448" s="7"/>
      <c r="J448" s="6"/>
      <c r="K448" s="9" t="str">
        <f aca="false">IF(OR($J448="",$J448=0),"",$I448/$J448)</f>
        <v/>
      </c>
      <c r="L448" s="9" t="str">
        <f aca="false">IF(OR($E448="",$E448=0),"",$H448/$E448)</f>
        <v/>
      </c>
      <c r="M448" s="10" t="str">
        <f aca="false">IF(OR($L448="",$L448=0),"",($I448/30)/$L448)</f>
        <v/>
      </c>
      <c r="N448" s="8"/>
      <c r="O448" s="11" t="str">
        <f aca="false">IF(OR($I448="",$N448=""),"",($I448/1000)*$N448)</f>
        <v/>
      </c>
      <c r="P448" s="12" t="str">
        <f aca="false">IF($C448="","",IFERROR(ROUND(MIN(25,($N448/Instellingen!$B$3)*25)+MIN(25,($I448/Instellingen!$B$4)*25)+MIN(25,($J448/Instellingen!$B$5)*25)+MIN(25,(IF($M448="",0,$M448)/Instellingen!$B$6)*25),0),""))</f>
        <v/>
      </c>
      <c r="Q448" s="13" t="str">
        <f aca="false">IF($P448="","",IF($P448&gt;=Instellingen!$B$7,"Sterke niche",IF($P448&gt;=Instellingen!$B$8,"Belofte - opvolgen",IF($P448&gt;=Instellingen!$B$9,"Zwak - twijfel","Vermijden"))))</f>
        <v/>
      </c>
      <c r="R448" s="5"/>
      <c r="T448" s="1" t="str">
        <f aca="false">IF($C448="","",IF($P448=_xlfn.MAXIFS($P$3:$P$1000,$B$3:$B$1000,$B448),"★ Cash cow – handmatig onderzoeken",""))</f>
        <v/>
      </c>
    </row>
    <row r="449" customFormat="false" ht="14.25" hidden="false" customHeight="true" outlineLevel="0" collapsed="false">
      <c r="A449" s="4"/>
      <c r="B449" s="5"/>
      <c r="C449" s="5"/>
      <c r="D449" s="5"/>
      <c r="E449" s="6"/>
      <c r="F449" s="7"/>
      <c r="G449" s="8"/>
      <c r="H449" s="7"/>
      <c r="I449" s="7"/>
      <c r="J449" s="6"/>
      <c r="K449" s="9" t="str">
        <f aca="false">IF(OR($J449="",$J449=0),"",$I449/$J449)</f>
        <v/>
      </c>
      <c r="L449" s="9" t="str">
        <f aca="false">IF(OR($E449="",$E449=0),"",$H449/$E449)</f>
        <v/>
      </c>
      <c r="M449" s="10" t="str">
        <f aca="false">IF(OR($L449="",$L449=0),"",($I449/30)/$L449)</f>
        <v/>
      </c>
      <c r="N449" s="8"/>
      <c r="O449" s="11" t="str">
        <f aca="false">IF(OR($I449="",$N449=""),"",($I449/1000)*$N449)</f>
        <v/>
      </c>
      <c r="P449" s="12" t="str">
        <f aca="false">IF($C449="","",IFERROR(ROUND(MIN(25,($N449/Instellingen!$B$3)*25)+MIN(25,($I449/Instellingen!$B$4)*25)+MIN(25,($J449/Instellingen!$B$5)*25)+MIN(25,(IF($M449="",0,$M449)/Instellingen!$B$6)*25),0),""))</f>
        <v/>
      </c>
      <c r="Q449" s="13" t="str">
        <f aca="false">IF($P449="","",IF($P449&gt;=Instellingen!$B$7,"Sterke niche",IF($P449&gt;=Instellingen!$B$8,"Belofte - opvolgen",IF($P449&gt;=Instellingen!$B$9,"Zwak - twijfel","Vermijden"))))</f>
        <v/>
      </c>
      <c r="R449" s="5"/>
      <c r="T449" s="1" t="str">
        <f aca="false">IF($C449="","",IF($P449=_xlfn.MAXIFS($P$3:$P$1000,$B$3:$B$1000,$B449),"★ Cash cow – handmatig onderzoeken",""))</f>
        <v/>
      </c>
    </row>
    <row r="450" customFormat="false" ht="14.25" hidden="false" customHeight="true" outlineLevel="0" collapsed="false">
      <c r="A450" s="4"/>
      <c r="B450" s="5"/>
      <c r="C450" s="5"/>
      <c r="D450" s="5"/>
      <c r="E450" s="6"/>
      <c r="F450" s="7"/>
      <c r="G450" s="8"/>
      <c r="H450" s="7"/>
      <c r="I450" s="7"/>
      <c r="J450" s="6"/>
      <c r="K450" s="9" t="str">
        <f aca="false">IF(OR($J450="",$J450=0),"",$I450/$J450)</f>
        <v/>
      </c>
      <c r="L450" s="9" t="str">
        <f aca="false">IF(OR($E450="",$E450=0),"",$H450/$E450)</f>
        <v/>
      </c>
      <c r="M450" s="10" t="str">
        <f aca="false">IF(OR($L450="",$L450=0),"",($I450/30)/$L450)</f>
        <v/>
      </c>
      <c r="N450" s="8"/>
      <c r="O450" s="11" t="str">
        <f aca="false">IF(OR($I450="",$N450=""),"",($I450/1000)*$N450)</f>
        <v/>
      </c>
      <c r="P450" s="12" t="str">
        <f aca="false">IF($C450="","",IFERROR(ROUND(MIN(25,($N450/Instellingen!$B$3)*25)+MIN(25,($I450/Instellingen!$B$4)*25)+MIN(25,($J450/Instellingen!$B$5)*25)+MIN(25,(IF($M450="",0,$M450)/Instellingen!$B$6)*25),0),""))</f>
        <v/>
      </c>
      <c r="Q450" s="13" t="str">
        <f aca="false">IF($P450="","",IF($P450&gt;=Instellingen!$B$7,"Sterke niche",IF($P450&gt;=Instellingen!$B$8,"Belofte - opvolgen",IF($P450&gt;=Instellingen!$B$9,"Zwak - twijfel","Vermijden"))))</f>
        <v/>
      </c>
      <c r="R450" s="5"/>
      <c r="T450" s="1" t="str">
        <f aca="false">IF($C450="","",IF($P450=_xlfn.MAXIFS($P$3:$P$1000,$B$3:$B$1000,$B450),"★ Cash cow – handmatig onderzoeken",""))</f>
        <v/>
      </c>
    </row>
    <row r="451" customFormat="false" ht="14.25" hidden="false" customHeight="true" outlineLevel="0" collapsed="false">
      <c r="A451" s="4"/>
      <c r="B451" s="5"/>
      <c r="C451" s="5"/>
      <c r="D451" s="5"/>
      <c r="E451" s="6"/>
      <c r="F451" s="7"/>
      <c r="G451" s="8"/>
      <c r="H451" s="7"/>
      <c r="I451" s="7"/>
      <c r="J451" s="6"/>
      <c r="K451" s="9" t="str">
        <f aca="false">IF(OR($J451="",$J451=0),"",$I451/$J451)</f>
        <v/>
      </c>
      <c r="L451" s="9" t="str">
        <f aca="false">IF(OR($E451="",$E451=0),"",$H451/$E451)</f>
        <v/>
      </c>
      <c r="M451" s="10" t="str">
        <f aca="false">IF(OR($L451="",$L451=0),"",($I451/30)/$L451)</f>
        <v/>
      </c>
      <c r="N451" s="8"/>
      <c r="O451" s="11" t="str">
        <f aca="false">IF(OR($I451="",$N451=""),"",($I451/1000)*$N451)</f>
        <v/>
      </c>
      <c r="P451" s="12" t="str">
        <f aca="false">IF($C451="","",IFERROR(ROUND(MIN(25,($N451/Instellingen!$B$3)*25)+MIN(25,($I451/Instellingen!$B$4)*25)+MIN(25,($J451/Instellingen!$B$5)*25)+MIN(25,(IF($M451="",0,$M451)/Instellingen!$B$6)*25),0),""))</f>
        <v/>
      </c>
      <c r="Q451" s="13" t="str">
        <f aca="false">IF($P451="","",IF($P451&gt;=Instellingen!$B$7,"Sterke niche",IF($P451&gt;=Instellingen!$B$8,"Belofte - opvolgen",IF($P451&gt;=Instellingen!$B$9,"Zwak - twijfel","Vermijden"))))</f>
        <v/>
      </c>
      <c r="R451" s="5"/>
      <c r="T451" s="1" t="str">
        <f aca="false">IF($C451="","",IF($P451=_xlfn.MAXIFS($P$3:$P$1000,$B$3:$B$1000,$B451),"★ Cash cow – handmatig onderzoeken",""))</f>
        <v/>
      </c>
    </row>
    <row r="452" customFormat="false" ht="14.25" hidden="false" customHeight="true" outlineLevel="0" collapsed="false">
      <c r="A452" s="4"/>
      <c r="B452" s="5"/>
      <c r="C452" s="5"/>
      <c r="D452" s="5"/>
      <c r="E452" s="6"/>
      <c r="F452" s="7"/>
      <c r="G452" s="8"/>
      <c r="H452" s="7"/>
      <c r="I452" s="7"/>
      <c r="J452" s="6"/>
      <c r="K452" s="9" t="str">
        <f aca="false">IF(OR($J452="",$J452=0),"",$I452/$J452)</f>
        <v/>
      </c>
      <c r="L452" s="9" t="str">
        <f aca="false">IF(OR($E452="",$E452=0),"",$H452/$E452)</f>
        <v/>
      </c>
      <c r="M452" s="10" t="str">
        <f aca="false">IF(OR($L452="",$L452=0),"",($I452/30)/$L452)</f>
        <v/>
      </c>
      <c r="N452" s="8"/>
      <c r="O452" s="11" t="str">
        <f aca="false">IF(OR($I452="",$N452=""),"",($I452/1000)*$N452)</f>
        <v/>
      </c>
      <c r="P452" s="12" t="str">
        <f aca="false">IF($C452="","",IFERROR(ROUND(MIN(25,($N452/Instellingen!$B$3)*25)+MIN(25,($I452/Instellingen!$B$4)*25)+MIN(25,($J452/Instellingen!$B$5)*25)+MIN(25,(IF($M452="",0,$M452)/Instellingen!$B$6)*25),0),""))</f>
        <v/>
      </c>
      <c r="Q452" s="13" t="str">
        <f aca="false">IF($P452="","",IF($P452&gt;=Instellingen!$B$7,"Sterke niche",IF($P452&gt;=Instellingen!$B$8,"Belofte - opvolgen",IF($P452&gt;=Instellingen!$B$9,"Zwak - twijfel","Vermijden"))))</f>
        <v/>
      </c>
      <c r="R452" s="5"/>
      <c r="T452" s="1" t="str">
        <f aca="false">IF($C452="","",IF($P452=_xlfn.MAXIFS($P$3:$P$1000,$B$3:$B$1000,$B452),"★ Cash cow – handmatig onderzoeken",""))</f>
        <v/>
      </c>
    </row>
    <row r="453" customFormat="false" ht="14.25" hidden="false" customHeight="true" outlineLevel="0" collapsed="false">
      <c r="A453" s="4"/>
      <c r="B453" s="5"/>
      <c r="C453" s="5"/>
      <c r="D453" s="5"/>
      <c r="E453" s="6"/>
      <c r="F453" s="7"/>
      <c r="G453" s="8"/>
      <c r="H453" s="7"/>
      <c r="I453" s="7"/>
      <c r="J453" s="6"/>
      <c r="K453" s="9" t="str">
        <f aca="false">IF(OR($J453="",$J453=0),"",$I453/$J453)</f>
        <v/>
      </c>
      <c r="L453" s="9" t="str">
        <f aca="false">IF(OR($E453="",$E453=0),"",$H453/$E453)</f>
        <v/>
      </c>
      <c r="M453" s="10" t="str">
        <f aca="false">IF(OR($L453="",$L453=0),"",($I453/30)/$L453)</f>
        <v/>
      </c>
      <c r="N453" s="8"/>
      <c r="O453" s="11" t="str">
        <f aca="false">IF(OR($I453="",$N453=""),"",($I453/1000)*$N453)</f>
        <v/>
      </c>
      <c r="P453" s="12" t="str">
        <f aca="false">IF($C453="","",IFERROR(ROUND(MIN(25,($N453/Instellingen!$B$3)*25)+MIN(25,($I453/Instellingen!$B$4)*25)+MIN(25,($J453/Instellingen!$B$5)*25)+MIN(25,(IF($M453="",0,$M453)/Instellingen!$B$6)*25),0),""))</f>
        <v/>
      </c>
      <c r="Q453" s="13" t="str">
        <f aca="false">IF($P453="","",IF($P453&gt;=Instellingen!$B$7,"Sterke niche",IF($P453&gt;=Instellingen!$B$8,"Belofte - opvolgen",IF($P453&gt;=Instellingen!$B$9,"Zwak - twijfel","Vermijden"))))</f>
        <v/>
      </c>
      <c r="R453" s="5"/>
      <c r="T453" s="1" t="str">
        <f aca="false">IF($C453="","",IF($P453=_xlfn.MAXIFS($P$3:$P$1000,$B$3:$B$1000,$B453),"★ Cash cow – handmatig onderzoeken",""))</f>
        <v/>
      </c>
    </row>
    <row r="454" customFormat="false" ht="14.25" hidden="false" customHeight="true" outlineLevel="0" collapsed="false">
      <c r="A454" s="4"/>
      <c r="B454" s="5"/>
      <c r="C454" s="5"/>
      <c r="D454" s="5"/>
      <c r="E454" s="6"/>
      <c r="F454" s="7"/>
      <c r="G454" s="8"/>
      <c r="H454" s="7"/>
      <c r="I454" s="7"/>
      <c r="J454" s="6"/>
      <c r="K454" s="9" t="str">
        <f aca="false">IF(OR($J454="",$J454=0),"",$I454/$J454)</f>
        <v/>
      </c>
      <c r="L454" s="9" t="str">
        <f aca="false">IF(OR($E454="",$E454=0),"",$H454/$E454)</f>
        <v/>
      </c>
      <c r="M454" s="10" t="str">
        <f aca="false">IF(OR($L454="",$L454=0),"",($I454/30)/$L454)</f>
        <v/>
      </c>
      <c r="N454" s="8"/>
      <c r="O454" s="11" t="str">
        <f aca="false">IF(OR($I454="",$N454=""),"",($I454/1000)*$N454)</f>
        <v/>
      </c>
      <c r="P454" s="12" t="str">
        <f aca="false">IF($C454="","",IFERROR(ROUND(MIN(25,($N454/Instellingen!$B$3)*25)+MIN(25,($I454/Instellingen!$B$4)*25)+MIN(25,($J454/Instellingen!$B$5)*25)+MIN(25,(IF($M454="",0,$M454)/Instellingen!$B$6)*25),0),""))</f>
        <v/>
      </c>
      <c r="Q454" s="13" t="str">
        <f aca="false">IF($P454="","",IF($P454&gt;=Instellingen!$B$7,"Sterke niche",IF($P454&gt;=Instellingen!$B$8,"Belofte - opvolgen",IF($P454&gt;=Instellingen!$B$9,"Zwak - twijfel","Vermijden"))))</f>
        <v/>
      </c>
      <c r="R454" s="5"/>
      <c r="T454" s="1" t="str">
        <f aca="false">IF($C454="","",IF($P454=_xlfn.MAXIFS($P$3:$P$1000,$B$3:$B$1000,$B454),"★ Cash cow – handmatig onderzoeken",""))</f>
        <v/>
      </c>
    </row>
    <row r="455" customFormat="false" ht="14.25" hidden="false" customHeight="true" outlineLevel="0" collapsed="false">
      <c r="A455" s="4"/>
      <c r="B455" s="5"/>
      <c r="C455" s="5"/>
      <c r="D455" s="5"/>
      <c r="E455" s="6"/>
      <c r="F455" s="7"/>
      <c r="G455" s="8"/>
      <c r="H455" s="7"/>
      <c r="I455" s="7"/>
      <c r="J455" s="6"/>
      <c r="K455" s="9" t="str">
        <f aca="false">IF(OR($J455="",$J455=0),"",$I455/$J455)</f>
        <v/>
      </c>
      <c r="L455" s="9" t="str">
        <f aca="false">IF(OR($E455="",$E455=0),"",$H455/$E455)</f>
        <v/>
      </c>
      <c r="M455" s="10" t="str">
        <f aca="false">IF(OR($L455="",$L455=0),"",($I455/30)/$L455)</f>
        <v/>
      </c>
      <c r="N455" s="8"/>
      <c r="O455" s="11" t="str">
        <f aca="false">IF(OR($I455="",$N455=""),"",($I455/1000)*$N455)</f>
        <v/>
      </c>
      <c r="P455" s="12" t="str">
        <f aca="false">IF($C455="","",IFERROR(ROUND(MIN(25,($N455/Instellingen!$B$3)*25)+MIN(25,($I455/Instellingen!$B$4)*25)+MIN(25,($J455/Instellingen!$B$5)*25)+MIN(25,(IF($M455="",0,$M455)/Instellingen!$B$6)*25),0),""))</f>
        <v/>
      </c>
      <c r="Q455" s="13" t="str">
        <f aca="false">IF($P455="","",IF($P455&gt;=Instellingen!$B$7,"Sterke niche",IF($P455&gt;=Instellingen!$B$8,"Belofte - opvolgen",IF($P455&gt;=Instellingen!$B$9,"Zwak - twijfel","Vermijden"))))</f>
        <v/>
      </c>
      <c r="R455" s="5"/>
      <c r="T455" s="1" t="str">
        <f aca="false">IF($C455="","",IF($P455=_xlfn.MAXIFS($P$3:$P$1000,$B$3:$B$1000,$B455),"★ Cash cow – handmatig onderzoeken",""))</f>
        <v/>
      </c>
    </row>
    <row r="456" customFormat="false" ht="14.25" hidden="false" customHeight="true" outlineLevel="0" collapsed="false">
      <c r="A456" s="4"/>
      <c r="B456" s="5"/>
      <c r="C456" s="5"/>
      <c r="D456" s="5"/>
      <c r="E456" s="6"/>
      <c r="F456" s="7"/>
      <c r="G456" s="8"/>
      <c r="H456" s="7"/>
      <c r="I456" s="7"/>
      <c r="J456" s="6"/>
      <c r="K456" s="9" t="str">
        <f aca="false">IF(OR($J456="",$J456=0),"",$I456/$J456)</f>
        <v/>
      </c>
      <c r="L456" s="9" t="str">
        <f aca="false">IF(OR($E456="",$E456=0),"",$H456/$E456)</f>
        <v/>
      </c>
      <c r="M456" s="10" t="str">
        <f aca="false">IF(OR($L456="",$L456=0),"",($I456/30)/$L456)</f>
        <v/>
      </c>
      <c r="N456" s="8"/>
      <c r="O456" s="11" t="str">
        <f aca="false">IF(OR($I456="",$N456=""),"",($I456/1000)*$N456)</f>
        <v/>
      </c>
      <c r="P456" s="12" t="str">
        <f aca="false">IF($C456="","",IFERROR(ROUND(MIN(25,($N456/Instellingen!$B$3)*25)+MIN(25,($I456/Instellingen!$B$4)*25)+MIN(25,($J456/Instellingen!$B$5)*25)+MIN(25,(IF($M456="",0,$M456)/Instellingen!$B$6)*25),0),""))</f>
        <v/>
      </c>
      <c r="Q456" s="13" t="str">
        <f aca="false">IF($P456="","",IF($P456&gt;=Instellingen!$B$7,"Sterke niche",IF($P456&gt;=Instellingen!$B$8,"Belofte - opvolgen",IF($P456&gt;=Instellingen!$B$9,"Zwak - twijfel","Vermijden"))))</f>
        <v/>
      </c>
      <c r="R456" s="5"/>
      <c r="T456" s="1" t="str">
        <f aca="false">IF($C456="","",IF($P456=_xlfn.MAXIFS($P$3:$P$1000,$B$3:$B$1000,$B456),"★ Cash cow – handmatig onderzoeken",""))</f>
        <v/>
      </c>
    </row>
    <row r="457" customFormat="false" ht="14.25" hidden="false" customHeight="true" outlineLevel="0" collapsed="false">
      <c r="A457" s="4"/>
      <c r="B457" s="5"/>
      <c r="C457" s="5"/>
      <c r="D457" s="5"/>
      <c r="E457" s="6"/>
      <c r="F457" s="7"/>
      <c r="G457" s="8"/>
      <c r="H457" s="7"/>
      <c r="I457" s="7"/>
      <c r="J457" s="6"/>
      <c r="K457" s="9" t="str">
        <f aca="false">IF(OR($J457="",$J457=0),"",$I457/$J457)</f>
        <v/>
      </c>
      <c r="L457" s="9" t="str">
        <f aca="false">IF(OR($E457="",$E457=0),"",$H457/$E457)</f>
        <v/>
      </c>
      <c r="M457" s="10" t="str">
        <f aca="false">IF(OR($L457="",$L457=0),"",($I457/30)/$L457)</f>
        <v/>
      </c>
      <c r="N457" s="8"/>
      <c r="O457" s="11" t="str">
        <f aca="false">IF(OR($I457="",$N457=""),"",($I457/1000)*$N457)</f>
        <v/>
      </c>
      <c r="P457" s="12" t="str">
        <f aca="false">IF($C457="","",IFERROR(ROUND(MIN(25,($N457/Instellingen!$B$3)*25)+MIN(25,($I457/Instellingen!$B$4)*25)+MIN(25,($J457/Instellingen!$B$5)*25)+MIN(25,(IF($M457="",0,$M457)/Instellingen!$B$6)*25),0),""))</f>
        <v/>
      </c>
      <c r="Q457" s="13" t="str">
        <f aca="false">IF($P457="","",IF($P457&gt;=Instellingen!$B$7,"Sterke niche",IF($P457&gt;=Instellingen!$B$8,"Belofte - opvolgen",IF($P457&gt;=Instellingen!$B$9,"Zwak - twijfel","Vermijden"))))</f>
        <v/>
      </c>
      <c r="R457" s="5"/>
      <c r="T457" s="1" t="str">
        <f aca="false">IF($C457="","",IF($P457=_xlfn.MAXIFS($P$3:$P$1000,$B$3:$B$1000,$B457),"★ Cash cow – handmatig onderzoeken",""))</f>
        <v/>
      </c>
    </row>
    <row r="458" customFormat="false" ht="14.25" hidden="false" customHeight="true" outlineLevel="0" collapsed="false">
      <c r="A458" s="4"/>
      <c r="B458" s="5"/>
      <c r="C458" s="5"/>
      <c r="D458" s="5"/>
      <c r="E458" s="6"/>
      <c r="F458" s="7"/>
      <c r="G458" s="8"/>
      <c r="H458" s="7"/>
      <c r="I458" s="7"/>
      <c r="J458" s="6"/>
      <c r="K458" s="9" t="str">
        <f aca="false">IF(OR($J458="",$J458=0),"",$I458/$J458)</f>
        <v/>
      </c>
      <c r="L458" s="9" t="str">
        <f aca="false">IF(OR($E458="",$E458=0),"",$H458/$E458)</f>
        <v/>
      </c>
      <c r="M458" s="10" t="str">
        <f aca="false">IF(OR($L458="",$L458=0),"",($I458/30)/$L458)</f>
        <v/>
      </c>
      <c r="N458" s="8"/>
      <c r="O458" s="11" t="str">
        <f aca="false">IF(OR($I458="",$N458=""),"",($I458/1000)*$N458)</f>
        <v/>
      </c>
      <c r="P458" s="12" t="str">
        <f aca="false">IF($C458="","",IFERROR(ROUND(MIN(25,($N458/Instellingen!$B$3)*25)+MIN(25,($I458/Instellingen!$B$4)*25)+MIN(25,($J458/Instellingen!$B$5)*25)+MIN(25,(IF($M458="",0,$M458)/Instellingen!$B$6)*25),0),""))</f>
        <v/>
      </c>
      <c r="Q458" s="13" t="str">
        <f aca="false">IF($P458="","",IF($P458&gt;=Instellingen!$B$7,"Sterke niche",IF($P458&gt;=Instellingen!$B$8,"Belofte - opvolgen",IF($P458&gt;=Instellingen!$B$9,"Zwak - twijfel","Vermijden"))))</f>
        <v/>
      </c>
      <c r="R458" s="5"/>
      <c r="T458" s="1" t="str">
        <f aca="false">IF($C458="","",IF($P458=_xlfn.MAXIFS($P$3:$P$1000,$B$3:$B$1000,$B458),"★ Cash cow – handmatig onderzoeken",""))</f>
        <v/>
      </c>
    </row>
    <row r="459" customFormat="false" ht="14.25" hidden="false" customHeight="true" outlineLevel="0" collapsed="false">
      <c r="A459" s="4"/>
      <c r="B459" s="5"/>
      <c r="C459" s="5"/>
      <c r="D459" s="5"/>
      <c r="E459" s="6"/>
      <c r="F459" s="7"/>
      <c r="G459" s="8"/>
      <c r="H459" s="7"/>
      <c r="I459" s="7"/>
      <c r="J459" s="6"/>
      <c r="K459" s="9" t="str">
        <f aca="false">IF(OR($J459="",$J459=0),"",$I459/$J459)</f>
        <v/>
      </c>
      <c r="L459" s="9" t="str">
        <f aca="false">IF(OR($E459="",$E459=0),"",$H459/$E459)</f>
        <v/>
      </c>
      <c r="M459" s="10" t="str">
        <f aca="false">IF(OR($L459="",$L459=0),"",($I459/30)/$L459)</f>
        <v/>
      </c>
      <c r="N459" s="8"/>
      <c r="O459" s="11" t="str">
        <f aca="false">IF(OR($I459="",$N459=""),"",($I459/1000)*$N459)</f>
        <v/>
      </c>
      <c r="P459" s="12" t="str">
        <f aca="false">IF($C459="","",IFERROR(ROUND(MIN(25,($N459/Instellingen!$B$3)*25)+MIN(25,($I459/Instellingen!$B$4)*25)+MIN(25,($J459/Instellingen!$B$5)*25)+MIN(25,(IF($M459="",0,$M459)/Instellingen!$B$6)*25),0),""))</f>
        <v/>
      </c>
      <c r="Q459" s="13" t="str">
        <f aca="false">IF($P459="","",IF($P459&gt;=Instellingen!$B$7,"Sterke niche",IF($P459&gt;=Instellingen!$B$8,"Belofte - opvolgen",IF($P459&gt;=Instellingen!$B$9,"Zwak - twijfel","Vermijden"))))</f>
        <v/>
      </c>
      <c r="R459" s="5"/>
      <c r="T459" s="1" t="str">
        <f aca="false">IF($C459="","",IF($P459=_xlfn.MAXIFS($P$3:$P$1000,$B$3:$B$1000,$B459),"★ Cash cow – handmatig onderzoeken",""))</f>
        <v/>
      </c>
    </row>
    <row r="460" customFormat="false" ht="14.25" hidden="false" customHeight="true" outlineLevel="0" collapsed="false">
      <c r="A460" s="4"/>
      <c r="B460" s="5"/>
      <c r="C460" s="5"/>
      <c r="D460" s="5"/>
      <c r="E460" s="6"/>
      <c r="F460" s="7"/>
      <c r="G460" s="8"/>
      <c r="H460" s="7"/>
      <c r="I460" s="7"/>
      <c r="J460" s="6"/>
      <c r="K460" s="9" t="str">
        <f aca="false">IF(OR($J460="",$J460=0),"",$I460/$J460)</f>
        <v/>
      </c>
      <c r="L460" s="9" t="str">
        <f aca="false">IF(OR($E460="",$E460=0),"",$H460/$E460)</f>
        <v/>
      </c>
      <c r="M460" s="10" t="str">
        <f aca="false">IF(OR($L460="",$L460=0),"",($I460/30)/$L460)</f>
        <v/>
      </c>
      <c r="N460" s="8"/>
      <c r="O460" s="11" t="str">
        <f aca="false">IF(OR($I460="",$N460=""),"",($I460/1000)*$N460)</f>
        <v/>
      </c>
      <c r="P460" s="12" t="str">
        <f aca="false">IF($C460="","",IFERROR(ROUND(MIN(25,($N460/Instellingen!$B$3)*25)+MIN(25,($I460/Instellingen!$B$4)*25)+MIN(25,($J460/Instellingen!$B$5)*25)+MIN(25,(IF($M460="",0,$M460)/Instellingen!$B$6)*25),0),""))</f>
        <v/>
      </c>
      <c r="Q460" s="13" t="str">
        <f aca="false">IF($P460="","",IF($P460&gt;=Instellingen!$B$7,"Sterke niche",IF($P460&gt;=Instellingen!$B$8,"Belofte - opvolgen",IF($P460&gt;=Instellingen!$B$9,"Zwak - twijfel","Vermijden"))))</f>
        <v/>
      </c>
      <c r="R460" s="5"/>
      <c r="T460" s="1" t="str">
        <f aca="false">IF($C460="","",IF($P460=_xlfn.MAXIFS($P$3:$P$1000,$B$3:$B$1000,$B460),"★ Cash cow – handmatig onderzoeken",""))</f>
        <v/>
      </c>
    </row>
    <row r="461" customFormat="false" ht="14.25" hidden="false" customHeight="true" outlineLevel="0" collapsed="false">
      <c r="A461" s="4"/>
      <c r="B461" s="5"/>
      <c r="C461" s="5"/>
      <c r="D461" s="5"/>
      <c r="E461" s="6"/>
      <c r="F461" s="7"/>
      <c r="G461" s="8"/>
      <c r="H461" s="7"/>
      <c r="I461" s="7"/>
      <c r="J461" s="6"/>
      <c r="K461" s="9" t="str">
        <f aca="false">IF(OR($J461="",$J461=0),"",$I461/$J461)</f>
        <v/>
      </c>
      <c r="L461" s="9" t="str">
        <f aca="false">IF(OR($E461="",$E461=0),"",$H461/$E461)</f>
        <v/>
      </c>
      <c r="M461" s="10" t="str">
        <f aca="false">IF(OR($L461="",$L461=0),"",($I461/30)/$L461)</f>
        <v/>
      </c>
      <c r="N461" s="8"/>
      <c r="O461" s="11" t="str">
        <f aca="false">IF(OR($I461="",$N461=""),"",($I461/1000)*$N461)</f>
        <v/>
      </c>
      <c r="P461" s="12" t="str">
        <f aca="false">IF($C461="","",IFERROR(ROUND(MIN(25,($N461/Instellingen!$B$3)*25)+MIN(25,($I461/Instellingen!$B$4)*25)+MIN(25,($J461/Instellingen!$B$5)*25)+MIN(25,(IF($M461="",0,$M461)/Instellingen!$B$6)*25),0),""))</f>
        <v/>
      </c>
      <c r="Q461" s="13" t="str">
        <f aca="false">IF($P461="","",IF($P461&gt;=Instellingen!$B$7,"Sterke niche",IF($P461&gt;=Instellingen!$B$8,"Belofte - opvolgen",IF($P461&gt;=Instellingen!$B$9,"Zwak - twijfel","Vermijden"))))</f>
        <v/>
      </c>
      <c r="R461" s="5"/>
      <c r="T461" s="1" t="str">
        <f aca="false">IF($C461="","",IF($P461=_xlfn.MAXIFS($P$3:$P$1000,$B$3:$B$1000,$B461),"★ Cash cow – handmatig onderzoeken",""))</f>
        <v/>
      </c>
    </row>
    <row r="462" customFormat="false" ht="14.25" hidden="false" customHeight="true" outlineLevel="0" collapsed="false">
      <c r="A462" s="4"/>
      <c r="B462" s="5"/>
      <c r="C462" s="5"/>
      <c r="D462" s="5"/>
      <c r="E462" s="6"/>
      <c r="F462" s="7"/>
      <c r="G462" s="8"/>
      <c r="H462" s="7"/>
      <c r="I462" s="7"/>
      <c r="J462" s="6"/>
      <c r="K462" s="9" t="str">
        <f aca="false">IF(OR($J462="",$J462=0),"",$I462/$J462)</f>
        <v/>
      </c>
      <c r="L462" s="9" t="str">
        <f aca="false">IF(OR($E462="",$E462=0),"",$H462/$E462)</f>
        <v/>
      </c>
      <c r="M462" s="10" t="str">
        <f aca="false">IF(OR($L462="",$L462=0),"",($I462/30)/$L462)</f>
        <v/>
      </c>
      <c r="N462" s="8"/>
      <c r="O462" s="11" t="str">
        <f aca="false">IF(OR($I462="",$N462=""),"",($I462/1000)*$N462)</f>
        <v/>
      </c>
      <c r="P462" s="12" t="str">
        <f aca="false">IF($C462="","",IFERROR(ROUND(MIN(25,($N462/Instellingen!$B$3)*25)+MIN(25,($I462/Instellingen!$B$4)*25)+MIN(25,($J462/Instellingen!$B$5)*25)+MIN(25,(IF($M462="",0,$M462)/Instellingen!$B$6)*25),0),""))</f>
        <v/>
      </c>
      <c r="Q462" s="13" t="str">
        <f aca="false">IF($P462="","",IF($P462&gt;=Instellingen!$B$7,"Sterke niche",IF($P462&gt;=Instellingen!$B$8,"Belofte - opvolgen",IF($P462&gt;=Instellingen!$B$9,"Zwak - twijfel","Vermijden"))))</f>
        <v/>
      </c>
      <c r="R462" s="5"/>
      <c r="T462" s="1" t="str">
        <f aca="false">IF($C462="","",IF($P462=_xlfn.MAXIFS($P$3:$P$1000,$B$3:$B$1000,$B462),"★ Cash cow – handmatig onderzoeken",""))</f>
        <v/>
      </c>
    </row>
    <row r="463" customFormat="false" ht="14.25" hidden="false" customHeight="true" outlineLevel="0" collapsed="false">
      <c r="A463" s="4"/>
      <c r="B463" s="5"/>
      <c r="C463" s="5"/>
      <c r="D463" s="5"/>
      <c r="E463" s="6"/>
      <c r="F463" s="7"/>
      <c r="G463" s="8"/>
      <c r="H463" s="7"/>
      <c r="I463" s="7"/>
      <c r="J463" s="6"/>
      <c r="K463" s="9" t="str">
        <f aca="false">IF(OR($J463="",$J463=0),"",$I463/$J463)</f>
        <v/>
      </c>
      <c r="L463" s="9" t="str">
        <f aca="false">IF(OR($E463="",$E463=0),"",$H463/$E463)</f>
        <v/>
      </c>
      <c r="M463" s="10" t="str">
        <f aca="false">IF(OR($L463="",$L463=0),"",($I463/30)/$L463)</f>
        <v/>
      </c>
      <c r="N463" s="8"/>
      <c r="O463" s="11" t="str">
        <f aca="false">IF(OR($I463="",$N463=""),"",($I463/1000)*$N463)</f>
        <v/>
      </c>
      <c r="P463" s="12" t="str">
        <f aca="false">IF($C463="","",IFERROR(ROUND(MIN(25,($N463/Instellingen!$B$3)*25)+MIN(25,($I463/Instellingen!$B$4)*25)+MIN(25,($J463/Instellingen!$B$5)*25)+MIN(25,(IF($M463="",0,$M463)/Instellingen!$B$6)*25),0),""))</f>
        <v/>
      </c>
      <c r="Q463" s="13" t="str">
        <f aca="false">IF($P463="","",IF($P463&gt;=Instellingen!$B$7,"Sterke niche",IF($P463&gt;=Instellingen!$B$8,"Belofte - opvolgen",IF($P463&gt;=Instellingen!$B$9,"Zwak - twijfel","Vermijden"))))</f>
        <v/>
      </c>
      <c r="R463" s="5"/>
      <c r="T463" s="1" t="str">
        <f aca="false">IF($C463="","",IF($P463=_xlfn.MAXIFS($P$3:$P$1000,$B$3:$B$1000,$B463),"★ Cash cow – handmatig onderzoeken",""))</f>
        <v/>
      </c>
    </row>
    <row r="464" customFormat="false" ht="14.25" hidden="false" customHeight="true" outlineLevel="0" collapsed="false">
      <c r="A464" s="4"/>
      <c r="B464" s="5"/>
      <c r="C464" s="5"/>
      <c r="D464" s="5"/>
      <c r="E464" s="6"/>
      <c r="F464" s="7"/>
      <c r="G464" s="8"/>
      <c r="H464" s="7"/>
      <c r="I464" s="7"/>
      <c r="J464" s="6"/>
      <c r="K464" s="9" t="str">
        <f aca="false">IF(OR($J464="",$J464=0),"",$I464/$J464)</f>
        <v/>
      </c>
      <c r="L464" s="9" t="str">
        <f aca="false">IF(OR($E464="",$E464=0),"",$H464/$E464)</f>
        <v/>
      </c>
      <c r="M464" s="10" t="str">
        <f aca="false">IF(OR($L464="",$L464=0),"",($I464/30)/$L464)</f>
        <v/>
      </c>
      <c r="N464" s="8"/>
      <c r="O464" s="11" t="str">
        <f aca="false">IF(OR($I464="",$N464=""),"",($I464/1000)*$N464)</f>
        <v/>
      </c>
      <c r="P464" s="12" t="str">
        <f aca="false">IF($C464="","",IFERROR(ROUND(MIN(25,($N464/Instellingen!$B$3)*25)+MIN(25,($I464/Instellingen!$B$4)*25)+MIN(25,($J464/Instellingen!$B$5)*25)+MIN(25,(IF($M464="",0,$M464)/Instellingen!$B$6)*25),0),""))</f>
        <v/>
      </c>
      <c r="Q464" s="13" t="str">
        <f aca="false">IF($P464="","",IF($P464&gt;=Instellingen!$B$7,"Sterke niche",IF($P464&gt;=Instellingen!$B$8,"Belofte - opvolgen",IF($P464&gt;=Instellingen!$B$9,"Zwak - twijfel","Vermijden"))))</f>
        <v/>
      </c>
      <c r="R464" s="5"/>
      <c r="T464" s="1" t="str">
        <f aca="false">IF($C464="","",IF($P464=_xlfn.MAXIFS($P$3:$P$1000,$B$3:$B$1000,$B464),"★ Cash cow – handmatig onderzoeken",""))</f>
        <v/>
      </c>
    </row>
    <row r="465" customFormat="false" ht="14.25" hidden="false" customHeight="true" outlineLevel="0" collapsed="false">
      <c r="A465" s="4"/>
      <c r="B465" s="5"/>
      <c r="C465" s="5"/>
      <c r="D465" s="5"/>
      <c r="E465" s="6"/>
      <c r="F465" s="7"/>
      <c r="G465" s="8"/>
      <c r="H465" s="7"/>
      <c r="I465" s="7"/>
      <c r="J465" s="6"/>
      <c r="K465" s="9" t="str">
        <f aca="false">IF(OR($J465="",$J465=0),"",$I465/$J465)</f>
        <v/>
      </c>
      <c r="L465" s="9" t="str">
        <f aca="false">IF(OR($E465="",$E465=0),"",$H465/$E465)</f>
        <v/>
      </c>
      <c r="M465" s="10" t="str">
        <f aca="false">IF(OR($L465="",$L465=0),"",($I465/30)/$L465)</f>
        <v/>
      </c>
      <c r="N465" s="8"/>
      <c r="O465" s="11" t="str">
        <f aca="false">IF(OR($I465="",$N465=""),"",($I465/1000)*$N465)</f>
        <v/>
      </c>
      <c r="P465" s="12" t="str">
        <f aca="false">IF($C465="","",IFERROR(ROUND(MIN(25,($N465/Instellingen!$B$3)*25)+MIN(25,($I465/Instellingen!$B$4)*25)+MIN(25,($J465/Instellingen!$B$5)*25)+MIN(25,(IF($M465="",0,$M465)/Instellingen!$B$6)*25),0),""))</f>
        <v/>
      </c>
      <c r="Q465" s="13" t="str">
        <f aca="false">IF($P465="","",IF($P465&gt;=Instellingen!$B$7,"Sterke niche",IF($P465&gt;=Instellingen!$B$8,"Belofte - opvolgen",IF($P465&gt;=Instellingen!$B$9,"Zwak - twijfel","Vermijden"))))</f>
        <v/>
      </c>
      <c r="R465" s="5"/>
      <c r="T465" s="1" t="str">
        <f aca="false">IF($C465="","",IF($P465=_xlfn.MAXIFS($P$3:$P$1000,$B$3:$B$1000,$B465),"★ Cash cow – handmatig onderzoeken",""))</f>
        <v/>
      </c>
    </row>
    <row r="466" customFormat="false" ht="14.25" hidden="false" customHeight="true" outlineLevel="0" collapsed="false">
      <c r="A466" s="4"/>
      <c r="B466" s="5"/>
      <c r="C466" s="5"/>
      <c r="D466" s="5"/>
      <c r="E466" s="6"/>
      <c r="F466" s="7"/>
      <c r="G466" s="8"/>
      <c r="H466" s="7"/>
      <c r="I466" s="7"/>
      <c r="J466" s="6"/>
      <c r="K466" s="9" t="str">
        <f aca="false">IF(OR($J466="",$J466=0),"",$I466/$J466)</f>
        <v/>
      </c>
      <c r="L466" s="9" t="str">
        <f aca="false">IF(OR($E466="",$E466=0),"",$H466/$E466)</f>
        <v/>
      </c>
      <c r="M466" s="10" t="str">
        <f aca="false">IF(OR($L466="",$L466=0),"",($I466/30)/$L466)</f>
        <v/>
      </c>
      <c r="N466" s="8"/>
      <c r="O466" s="11" t="str">
        <f aca="false">IF(OR($I466="",$N466=""),"",($I466/1000)*$N466)</f>
        <v/>
      </c>
      <c r="P466" s="12" t="str">
        <f aca="false">IF($C466="","",IFERROR(ROUND(MIN(25,($N466/Instellingen!$B$3)*25)+MIN(25,($I466/Instellingen!$B$4)*25)+MIN(25,($J466/Instellingen!$B$5)*25)+MIN(25,(IF($M466="",0,$M466)/Instellingen!$B$6)*25),0),""))</f>
        <v/>
      </c>
      <c r="Q466" s="13" t="str">
        <f aca="false">IF($P466="","",IF($P466&gt;=Instellingen!$B$7,"Sterke niche",IF($P466&gt;=Instellingen!$B$8,"Belofte - opvolgen",IF($P466&gt;=Instellingen!$B$9,"Zwak - twijfel","Vermijden"))))</f>
        <v/>
      </c>
      <c r="R466" s="5"/>
      <c r="T466" s="1" t="str">
        <f aca="false">IF($C466="","",IF($P466=_xlfn.MAXIFS($P$3:$P$1000,$B$3:$B$1000,$B466),"★ Cash cow – handmatig onderzoeken",""))</f>
        <v/>
      </c>
    </row>
    <row r="467" customFormat="false" ht="14.25" hidden="false" customHeight="true" outlineLevel="0" collapsed="false">
      <c r="A467" s="4"/>
      <c r="B467" s="5"/>
      <c r="C467" s="5"/>
      <c r="D467" s="5"/>
      <c r="E467" s="6"/>
      <c r="F467" s="7"/>
      <c r="G467" s="8"/>
      <c r="H467" s="7"/>
      <c r="I467" s="7"/>
      <c r="J467" s="6"/>
      <c r="K467" s="9" t="str">
        <f aca="false">IF(OR($J467="",$J467=0),"",$I467/$J467)</f>
        <v/>
      </c>
      <c r="L467" s="9" t="str">
        <f aca="false">IF(OR($E467="",$E467=0),"",$H467/$E467)</f>
        <v/>
      </c>
      <c r="M467" s="10" t="str">
        <f aca="false">IF(OR($L467="",$L467=0),"",($I467/30)/$L467)</f>
        <v/>
      </c>
      <c r="N467" s="8"/>
      <c r="O467" s="11" t="str">
        <f aca="false">IF(OR($I467="",$N467=""),"",($I467/1000)*$N467)</f>
        <v/>
      </c>
      <c r="P467" s="12" t="str">
        <f aca="false">IF($C467="","",IFERROR(ROUND(MIN(25,($N467/Instellingen!$B$3)*25)+MIN(25,($I467/Instellingen!$B$4)*25)+MIN(25,($J467/Instellingen!$B$5)*25)+MIN(25,(IF($M467="",0,$M467)/Instellingen!$B$6)*25),0),""))</f>
        <v/>
      </c>
      <c r="Q467" s="13" t="str">
        <f aca="false">IF($P467="","",IF($P467&gt;=Instellingen!$B$7,"Sterke niche",IF($P467&gt;=Instellingen!$B$8,"Belofte - opvolgen",IF($P467&gt;=Instellingen!$B$9,"Zwak - twijfel","Vermijden"))))</f>
        <v/>
      </c>
      <c r="R467" s="5"/>
      <c r="T467" s="1" t="str">
        <f aca="false">IF($C467="","",IF($P467=_xlfn.MAXIFS($P$3:$P$1000,$B$3:$B$1000,$B467),"★ Cash cow – handmatig onderzoeken",""))</f>
        <v/>
      </c>
    </row>
    <row r="468" customFormat="false" ht="14.25" hidden="false" customHeight="true" outlineLevel="0" collapsed="false">
      <c r="A468" s="4"/>
      <c r="B468" s="5"/>
      <c r="C468" s="5"/>
      <c r="D468" s="5"/>
      <c r="E468" s="6"/>
      <c r="F468" s="7"/>
      <c r="G468" s="8"/>
      <c r="H468" s="7"/>
      <c r="I468" s="7"/>
      <c r="J468" s="6"/>
      <c r="K468" s="9" t="str">
        <f aca="false">IF(OR($J468="",$J468=0),"",$I468/$J468)</f>
        <v/>
      </c>
      <c r="L468" s="9" t="str">
        <f aca="false">IF(OR($E468="",$E468=0),"",$H468/$E468)</f>
        <v/>
      </c>
      <c r="M468" s="10" t="str">
        <f aca="false">IF(OR($L468="",$L468=0),"",($I468/30)/$L468)</f>
        <v/>
      </c>
      <c r="N468" s="8"/>
      <c r="O468" s="11" t="str">
        <f aca="false">IF(OR($I468="",$N468=""),"",($I468/1000)*$N468)</f>
        <v/>
      </c>
      <c r="P468" s="12" t="str">
        <f aca="false">IF($C468="","",IFERROR(ROUND(MIN(25,($N468/Instellingen!$B$3)*25)+MIN(25,($I468/Instellingen!$B$4)*25)+MIN(25,($J468/Instellingen!$B$5)*25)+MIN(25,(IF($M468="",0,$M468)/Instellingen!$B$6)*25),0),""))</f>
        <v/>
      </c>
      <c r="Q468" s="13" t="str">
        <f aca="false">IF($P468="","",IF($P468&gt;=Instellingen!$B$7,"Sterke niche",IF($P468&gt;=Instellingen!$B$8,"Belofte - opvolgen",IF($P468&gt;=Instellingen!$B$9,"Zwak - twijfel","Vermijden"))))</f>
        <v/>
      </c>
      <c r="R468" s="5"/>
      <c r="T468" s="1" t="str">
        <f aca="false">IF($C468="","",IF($P468=_xlfn.MAXIFS($P$3:$P$1000,$B$3:$B$1000,$B468),"★ Cash cow – handmatig onderzoeken",""))</f>
        <v/>
      </c>
    </row>
    <row r="469" customFormat="false" ht="14.25" hidden="false" customHeight="true" outlineLevel="0" collapsed="false">
      <c r="A469" s="4"/>
      <c r="B469" s="5"/>
      <c r="C469" s="5"/>
      <c r="D469" s="5"/>
      <c r="E469" s="6"/>
      <c r="F469" s="7"/>
      <c r="G469" s="8"/>
      <c r="H469" s="7"/>
      <c r="I469" s="7"/>
      <c r="J469" s="6"/>
      <c r="K469" s="9" t="str">
        <f aca="false">IF(OR($J469="",$J469=0),"",$I469/$J469)</f>
        <v/>
      </c>
      <c r="L469" s="9" t="str">
        <f aca="false">IF(OR($E469="",$E469=0),"",$H469/$E469)</f>
        <v/>
      </c>
      <c r="M469" s="10" t="str">
        <f aca="false">IF(OR($L469="",$L469=0),"",($I469/30)/$L469)</f>
        <v/>
      </c>
      <c r="N469" s="8"/>
      <c r="O469" s="11" t="str">
        <f aca="false">IF(OR($I469="",$N469=""),"",($I469/1000)*$N469)</f>
        <v/>
      </c>
      <c r="P469" s="12" t="str">
        <f aca="false">IF($C469="","",IFERROR(ROUND(MIN(25,($N469/Instellingen!$B$3)*25)+MIN(25,($I469/Instellingen!$B$4)*25)+MIN(25,($J469/Instellingen!$B$5)*25)+MIN(25,(IF($M469="",0,$M469)/Instellingen!$B$6)*25),0),""))</f>
        <v/>
      </c>
      <c r="Q469" s="13" t="str">
        <f aca="false">IF($P469="","",IF($P469&gt;=Instellingen!$B$7,"Sterke niche",IF($P469&gt;=Instellingen!$B$8,"Belofte - opvolgen",IF($P469&gt;=Instellingen!$B$9,"Zwak - twijfel","Vermijden"))))</f>
        <v/>
      </c>
      <c r="R469" s="5"/>
      <c r="T469" s="1" t="str">
        <f aca="false">IF($C469="","",IF($P469=_xlfn.MAXIFS($P$3:$P$1000,$B$3:$B$1000,$B469),"★ Cash cow – handmatig onderzoeken",""))</f>
        <v/>
      </c>
    </row>
    <row r="470" customFormat="false" ht="14.25" hidden="false" customHeight="true" outlineLevel="0" collapsed="false">
      <c r="A470" s="4"/>
      <c r="B470" s="5"/>
      <c r="C470" s="5"/>
      <c r="D470" s="5"/>
      <c r="E470" s="6"/>
      <c r="F470" s="7"/>
      <c r="G470" s="8"/>
      <c r="H470" s="7"/>
      <c r="I470" s="7"/>
      <c r="J470" s="6"/>
      <c r="K470" s="9" t="str">
        <f aca="false">IF(OR($J470="",$J470=0),"",$I470/$J470)</f>
        <v/>
      </c>
      <c r="L470" s="9" t="str">
        <f aca="false">IF(OR($E470="",$E470=0),"",$H470/$E470)</f>
        <v/>
      </c>
      <c r="M470" s="10" t="str">
        <f aca="false">IF(OR($L470="",$L470=0),"",($I470/30)/$L470)</f>
        <v/>
      </c>
      <c r="N470" s="8"/>
      <c r="O470" s="11" t="str">
        <f aca="false">IF(OR($I470="",$N470=""),"",($I470/1000)*$N470)</f>
        <v/>
      </c>
      <c r="P470" s="12" t="str">
        <f aca="false">IF($C470="","",IFERROR(ROUND(MIN(25,($N470/Instellingen!$B$3)*25)+MIN(25,($I470/Instellingen!$B$4)*25)+MIN(25,($J470/Instellingen!$B$5)*25)+MIN(25,(IF($M470="",0,$M470)/Instellingen!$B$6)*25),0),""))</f>
        <v/>
      </c>
      <c r="Q470" s="13" t="str">
        <f aca="false">IF($P470="","",IF($P470&gt;=Instellingen!$B$7,"Sterke niche",IF($P470&gt;=Instellingen!$B$8,"Belofte - opvolgen",IF($P470&gt;=Instellingen!$B$9,"Zwak - twijfel","Vermijden"))))</f>
        <v/>
      </c>
      <c r="R470" s="5"/>
      <c r="T470" s="1" t="str">
        <f aca="false">IF($C470="","",IF($P470=_xlfn.MAXIFS($P$3:$P$1000,$B$3:$B$1000,$B470),"★ Cash cow – handmatig onderzoeken",""))</f>
        <v/>
      </c>
    </row>
    <row r="471" customFormat="false" ht="14.25" hidden="false" customHeight="true" outlineLevel="0" collapsed="false">
      <c r="A471" s="4"/>
      <c r="B471" s="5"/>
      <c r="C471" s="5"/>
      <c r="D471" s="5"/>
      <c r="E471" s="6"/>
      <c r="F471" s="7"/>
      <c r="G471" s="8"/>
      <c r="H471" s="7"/>
      <c r="I471" s="7"/>
      <c r="J471" s="6"/>
      <c r="K471" s="9" t="str">
        <f aca="false">IF(OR($J471="",$J471=0),"",$I471/$J471)</f>
        <v/>
      </c>
      <c r="L471" s="9" t="str">
        <f aca="false">IF(OR($E471="",$E471=0),"",$H471/$E471)</f>
        <v/>
      </c>
      <c r="M471" s="10" t="str">
        <f aca="false">IF(OR($L471="",$L471=0),"",($I471/30)/$L471)</f>
        <v/>
      </c>
      <c r="N471" s="8"/>
      <c r="O471" s="11" t="str">
        <f aca="false">IF(OR($I471="",$N471=""),"",($I471/1000)*$N471)</f>
        <v/>
      </c>
      <c r="P471" s="12" t="str">
        <f aca="false">IF($C471="","",IFERROR(ROUND(MIN(25,($N471/Instellingen!$B$3)*25)+MIN(25,($I471/Instellingen!$B$4)*25)+MIN(25,($J471/Instellingen!$B$5)*25)+MIN(25,(IF($M471="",0,$M471)/Instellingen!$B$6)*25),0),""))</f>
        <v/>
      </c>
      <c r="Q471" s="13" t="str">
        <f aca="false">IF($P471="","",IF($P471&gt;=Instellingen!$B$7,"Sterke niche",IF($P471&gt;=Instellingen!$B$8,"Belofte - opvolgen",IF($P471&gt;=Instellingen!$B$9,"Zwak - twijfel","Vermijden"))))</f>
        <v/>
      </c>
      <c r="R471" s="5"/>
      <c r="T471" s="1" t="str">
        <f aca="false">IF($C471="","",IF($P471=_xlfn.MAXIFS($P$3:$P$1000,$B$3:$B$1000,$B471),"★ Cash cow – handmatig onderzoeken",""))</f>
        <v/>
      </c>
    </row>
    <row r="472" customFormat="false" ht="14.25" hidden="false" customHeight="true" outlineLevel="0" collapsed="false">
      <c r="A472" s="4"/>
      <c r="B472" s="5"/>
      <c r="C472" s="5"/>
      <c r="D472" s="5"/>
      <c r="E472" s="6"/>
      <c r="F472" s="7"/>
      <c r="G472" s="8"/>
      <c r="H472" s="7"/>
      <c r="I472" s="7"/>
      <c r="J472" s="6"/>
      <c r="K472" s="9" t="str">
        <f aca="false">IF(OR($J472="",$J472=0),"",$I472/$J472)</f>
        <v/>
      </c>
      <c r="L472" s="9" t="str">
        <f aca="false">IF(OR($E472="",$E472=0),"",$H472/$E472)</f>
        <v/>
      </c>
      <c r="M472" s="10" t="str">
        <f aca="false">IF(OR($L472="",$L472=0),"",($I472/30)/$L472)</f>
        <v/>
      </c>
      <c r="N472" s="8"/>
      <c r="O472" s="11" t="str">
        <f aca="false">IF(OR($I472="",$N472=""),"",($I472/1000)*$N472)</f>
        <v/>
      </c>
      <c r="P472" s="12" t="str">
        <f aca="false">IF($C472="","",IFERROR(ROUND(MIN(25,($N472/Instellingen!$B$3)*25)+MIN(25,($I472/Instellingen!$B$4)*25)+MIN(25,($J472/Instellingen!$B$5)*25)+MIN(25,(IF($M472="",0,$M472)/Instellingen!$B$6)*25),0),""))</f>
        <v/>
      </c>
      <c r="Q472" s="13" t="str">
        <f aca="false">IF($P472="","",IF($P472&gt;=Instellingen!$B$7,"Sterke niche",IF($P472&gt;=Instellingen!$B$8,"Belofte - opvolgen",IF($P472&gt;=Instellingen!$B$9,"Zwak - twijfel","Vermijden"))))</f>
        <v/>
      </c>
      <c r="R472" s="5"/>
      <c r="T472" s="1" t="str">
        <f aca="false">IF($C472="","",IF($P472=_xlfn.MAXIFS($P$3:$P$1000,$B$3:$B$1000,$B472),"★ Cash cow – handmatig onderzoeken",""))</f>
        <v/>
      </c>
    </row>
    <row r="473" customFormat="false" ht="14.25" hidden="false" customHeight="true" outlineLevel="0" collapsed="false">
      <c r="A473" s="4"/>
      <c r="B473" s="5"/>
      <c r="C473" s="5"/>
      <c r="D473" s="5"/>
      <c r="E473" s="6"/>
      <c r="F473" s="7"/>
      <c r="G473" s="8"/>
      <c r="H473" s="7"/>
      <c r="I473" s="7"/>
      <c r="J473" s="6"/>
      <c r="K473" s="9" t="str">
        <f aca="false">IF(OR($J473="",$J473=0),"",$I473/$J473)</f>
        <v/>
      </c>
      <c r="L473" s="9" t="str">
        <f aca="false">IF(OR($E473="",$E473=0),"",$H473/$E473)</f>
        <v/>
      </c>
      <c r="M473" s="10" t="str">
        <f aca="false">IF(OR($L473="",$L473=0),"",($I473/30)/$L473)</f>
        <v/>
      </c>
      <c r="N473" s="8"/>
      <c r="O473" s="11" t="str">
        <f aca="false">IF(OR($I473="",$N473=""),"",($I473/1000)*$N473)</f>
        <v/>
      </c>
      <c r="P473" s="12" t="str">
        <f aca="false">IF($C473="","",IFERROR(ROUND(MIN(25,($N473/Instellingen!$B$3)*25)+MIN(25,($I473/Instellingen!$B$4)*25)+MIN(25,($J473/Instellingen!$B$5)*25)+MIN(25,(IF($M473="",0,$M473)/Instellingen!$B$6)*25),0),""))</f>
        <v/>
      </c>
      <c r="Q473" s="13" t="str">
        <f aca="false">IF($P473="","",IF($P473&gt;=Instellingen!$B$7,"Sterke niche",IF($P473&gt;=Instellingen!$B$8,"Belofte - opvolgen",IF($P473&gt;=Instellingen!$B$9,"Zwak - twijfel","Vermijden"))))</f>
        <v/>
      </c>
      <c r="R473" s="5"/>
      <c r="T473" s="1" t="str">
        <f aca="false">IF($C473="","",IF($P473=_xlfn.MAXIFS($P$3:$P$1000,$B$3:$B$1000,$B473),"★ Cash cow – handmatig onderzoeken",""))</f>
        <v/>
      </c>
    </row>
    <row r="474" customFormat="false" ht="14.25" hidden="false" customHeight="true" outlineLevel="0" collapsed="false">
      <c r="A474" s="4"/>
      <c r="B474" s="5"/>
      <c r="C474" s="5"/>
      <c r="D474" s="5"/>
      <c r="E474" s="6"/>
      <c r="F474" s="7"/>
      <c r="G474" s="8"/>
      <c r="H474" s="7"/>
      <c r="I474" s="7"/>
      <c r="J474" s="6"/>
      <c r="K474" s="9" t="str">
        <f aca="false">IF(OR($J474="",$J474=0),"",$I474/$J474)</f>
        <v/>
      </c>
      <c r="L474" s="9" t="str">
        <f aca="false">IF(OR($E474="",$E474=0),"",$H474/$E474)</f>
        <v/>
      </c>
      <c r="M474" s="10" t="str">
        <f aca="false">IF(OR($L474="",$L474=0),"",($I474/30)/$L474)</f>
        <v/>
      </c>
      <c r="N474" s="8"/>
      <c r="O474" s="11" t="str">
        <f aca="false">IF(OR($I474="",$N474=""),"",($I474/1000)*$N474)</f>
        <v/>
      </c>
      <c r="P474" s="12" t="str">
        <f aca="false">IF($C474="","",IFERROR(ROUND(MIN(25,($N474/Instellingen!$B$3)*25)+MIN(25,($I474/Instellingen!$B$4)*25)+MIN(25,($J474/Instellingen!$B$5)*25)+MIN(25,(IF($M474="",0,$M474)/Instellingen!$B$6)*25),0),""))</f>
        <v/>
      </c>
      <c r="Q474" s="13" t="str">
        <f aca="false">IF($P474="","",IF($P474&gt;=Instellingen!$B$7,"Sterke niche",IF($P474&gt;=Instellingen!$B$8,"Belofte - opvolgen",IF($P474&gt;=Instellingen!$B$9,"Zwak - twijfel","Vermijden"))))</f>
        <v/>
      </c>
      <c r="R474" s="5"/>
      <c r="T474" s="1" t="str">
        <f aca="false">IF($C474="","",IF($P474=_xlfn.MAXIFS($P$3:$P$1000,$B$3:$B$1000,$B474),"★ Cash cow – handmatig onderzoeken",""))</f>
        <v/>
      </c>
    </row>
    <row r="475" customFormat="false" ht="14.25" hidden="false" customHeight="true" outlineLevel="0" collapsed="false">
      <c r="A475" s="4"/>
      <c r="B475" s="5"/>
      <c r="C475" s="5"/>
      <c r="D475" s="5"/>
      <c r="E475" s="6"/>
      <c r="F475" s="7"/>
      <c r="G475" s="8"/>
      <c r="H475" s="7"/>
      <c r="I475" s="7"/>
      <c r="J475" s="6"/>
      <c r="K475" s="9" t="str">
        <f aca="false">IF(OR($J475="",$J475=0),"",$I475/$J475)</f>
        <v/>
      </c>
      <c r="L475" s="9" t="str">
        <f aca="false">IF(OR($E475="",$E475=0),"",$H475/$E475)</f>
        <v/>
      </c>
      <c r="M475" s="10" t="str">
        <f aca="false">IF(OR($L475="",$L475=0),"",($I475/30)/$L475)</f>
        <v/>
      </c>
      <c r="N475" s="8"/>
      <c r="O475" s="11" t="str">
        <f aca="false">IF(OR($I475="",$N475=""),"",($I475/1000)*$N475)</f>
        <v/>
      </c>
      <c r="P475" s="12" t="str">
        <f aca="false">IF($C475="","",IFERROR(ROUND(MIN(25,($N475/Instellingen!$B$3)*25)+MIN(25,($I475/Instellingen!$B$4)*25)+MIN(25,($J475/Instellingen!$B$5)*25)+MIN(25,(IF($M475="",0,$M475)/Instellingen!$B$6)*25),0),""))</f>
        <v/>
      </c>
      <c r="Q475" s="13" t="str">
        <f aca="false">IF($P475="","",IF($P475&gt;=Instellingen!$B$7,"Sterke niche",IF($P475&gt;=Instellingen!$B$8,"Belofte - opvolgen",IF($P475&gt;=Instellingen!$B$9,"Zwak - twijfel","Vermijden"))))</f>
        <v/>
      </c>
      <c r="R475" s="5"/>
      <c r="T475" s="1" t="str">
        <f aca="false">IF($C475="","",IF($P475=_xlfn.MAXIFS($P$3:$P$1000,$B$3:$B$1000,$B475),"★ Cash cow – handmatig onderzoeken",""))</f>
        <v/>
      </c>
    </row>
    <row r="476" customFormat="false" ht="14.25" hidden="false" customHeight="true" outlineLevel="0" collapsed="false">
      <c r="A476" s="4"/>
      <c r="B476" s="5"/>
      <c r="C476" s="5"/>
      <c r="D476" s="5"/>
      <c r="E476" s="6"/>
      <c r="F476" s="7"/>
      <c r="G476" s="8"/>
      <c r="H476" s="7"/>
      <c r="I476" s="7"/>
      <c r="J476" s="6"/>
      <c r="K476" s="9" t="str">
        <f aca="false">IF(OR($J476="",$J476=0),"",$I476/$J476)</f>
        <v/>
      </c>
      <c r="L476" s="9" t="str">
        <f aca="false">IF(OR($E476="",$E476=0),"",$H476/$E476)</f>
        <v/>
      </c>
      <c r="M476" s="10" t="str">
        <f aca="false">IF(OR($L476="",$L476=0),"",($I476/30)/$L476)</f>
        <v/>
      </c>
      <c r="N476" s="8"/>
      <c r="O476" s="11" t="str">
        <f aca="false">IF(OR($I476="",$N476=""),"",($I476/1000)*$N476)</f>
        <v/>
      </c>
      <c r="P476" s="12" t="str">
        <f aca="false">IF($C476="","",IFERROR(ROUND(MIN(25,($N476/Instellingen!$B$3)*25)+MIN(25,($I476/Instellingen!$B$4)*25)+MIN(25,($J476/Instellingen!$B$5)*25)+MIN(25,(IF($M476="",0,$M476)/Instellingen!$B$6)*25),0),""))</f>
        <v/>
      </c>
      <c r="Q476" s="13" t="str">
        <f aca="false">IF($P476="","",IF($P476&gt;=Instellingen!$B$7,"Sterke niche",IF($P476&gt;=Instellingen!$B$8,"Belofte - opvolgen",IF($P476&gt;=Instellingen!$B$9,"Zwak - twijfel","Vermijden"))))</f>
        <v/>
      </c>
      <c r="R476" s="5"/>
      <c r="T476" s="1" t="str">
        <f aca="false">IF($C476="","",IF($P476=_xlfn.MAXIFS($P$3:$P$1000,$B$3:$B$1000,$B476),"★ Cash cow – handmatig onderzoeken",""))</f>
        <v/>
      </c>
    </row>
    <row r="477" customFormat="false" ht="14.25" hidden="false" customHeight="true" outlineLevel="0" collapsed="false">
      <c r="A477" s="4"/>
      <c r="B477" s="5"/>
      <c r="C477" s="5"/>
      <c r="D477" s="5"/>
      <c r="E477" s="6"/>
      <c r="F477" s="7"/>
      <c r="G477" s="8"/>
      <c r="H477" s="7"/>
      <c r="I477" s="7"/>
      <c r="J477" s="6"/>
      <c r="K477" s="9" t="str">
        <f aca="false">IF(OR($J477="",$J477=0),"",$I477/$J477)</f>
        <v/>
      </c>
      <c r="L477" s="9" t="str">
        <f aca="false">IF(OR($E477="",$E477=0),"",$H477/$E477)</f>
        <v/>
      </c>
      <c r="M477" s="10" t="str">
        <f aca="false">IF(OR($L477="",$L477=0),"",($I477/30)/$L477)</f>
        <v/>
      </c>
      <c r="N477" s="8"/>
      <c r="O477" s="11" t="str">
        <f aca="false">IF(OR($I477="",$N477=""),"",($I477/1000)*$N477)</f>
        <v/>
      </c>
      <c r="P477" s="12" t="str">
        <f aca="false">IF($C477="","",IFERROR(ROUND(MIN(25,($N477/Instellingen!$B$3)*25)+MIN(25,($I477/Instellingen!$B$4)*25)+MIN(25,($J477/Instellingen!$B$5)*25)+MIN(25,(IF($M477="",0,$M477)/Instellingen!$B$6)*25),0),""))</f>
        <v/>
      </c>
      <c r="Q477" s="13" t="str">
        <f aca="false">IF($P477="","",IF($P477&gt;=Instellingen!$B$7,"Sterke niche",IF($P477&gt;=Instellingen!$B$8,"Belofte - opvolgen",IF($P477&gt;=Instellingen!$B$9,"Zwak - twijfel","Vermijden"))))</f>
        <v/>
      </c>
      <c r="R477" s="5"/>
      <c r="T477" s="1" t="str">
        <f aca="false">IF($C477="","",IF($P477=_xlfn.MAXIFS($P$3:$P$1000,$B$3:$B$1000,$B477),"★ Cash cow – handmatig onderzoeken",""))</f>
        <v/>
      </c>
    </row>
    <row r="478" customFormat="false" ht="14.25" hidden="false" customHeight="true" outlineLevel="0" collapsed="false">
      <c r="A478" s="4"/>
      <c r="B478" s="5"/>
      <c r="C478" s="5"/>
      <c r="D478" s="5"/>
      <c r="E478" s="6"/>
      <c r="F478" s="7"/>
      <c r="G478" s="8"/>
      <c r="H478" s="7"/>
      <c r="I478" s="7"/>
      <c r="J478" s="6"/>
      <c r="K478" s="9" t="str">
        <f aca="false">IF(OR($J478="",$J478=0),"",$I478/$J478)</f>
        <v/>
      </c>
      <c r="L478" s="9" t="str">
        <f aca="false">IF(OR($E478="",$E478=0),"",$H478/$E478)</f>
        <v/>
      </c>
      <c r="M478" s="10" t="str">
        <f aca="false">IF(OR($L478="",$L478=0),"",($I478/30)/$L478)</f>
        <v/>
      </c>
      <c r="N478" s="8"/>
      <c r="O478" s="11" t="str">
        <f aca="false">IF(OR($I478="",$N478=""),"",($I478/1000)*$N478)</f>
        <v/>
      </c>
      <c r="P478" s="12" t="str">
        <f aca="false">IF($C478="","",IFERROR(ROUND(MIN(25,($N478/Instellingen!$B$3)*25)+MIN(25,($I478/Instellingen!$B$4)*25)+MIN(25,($J478/Instellingen!$B$5)*25)+MIN(25,(IF($M478="",0,$M478)/Instellingen!$B$6)*25),0),""))</f>
        <v/>
      </c>
      <c r="Q478" s="13" t="str">
        <f aca="false">IF($P478="","",IF($P478&gt;=Instellingen!$B$7,"Sterke niche",IF($P478&gt;=Instellingen!$B$8,"Belofte - opvolgen",IF($P478&gt;=Instellingen!$B$9,"Zwak - twijfel","Vermijden"))))</f>
        <v/>
      </c>
      <c r="R478" s="5"/>
      <c r="T478" s="1" t="str">
        <f aca="false">IF($C478="","",IF($P478=_xlfn.MAXIFS($P$3:$P$1000,$B$3:$B$1000,$B478),"★ Cash cow – handmatig onderzoeken",""))</f>
        <v/>
      </c>
    </row>
    <row r="479" customFormat="false" ht="14.25" hidden="false" customHeight="true" outlineLevel="0" collapsed="false">
      <c r="A479" s="4"/>
      <c r="B479" s="5"/>
      <c r="C479" s="5"/>
      <c r="D479" s="5"/>
      <c r="E479" s="6"/>
      <c r="F479" s="7"/>
      <c r="G479" s="8"/>
      <c r="H479" s="7"/>
      <c r="I479" s="7"/>
      <c r="J479" s="6"/>
      <c r="K479" s="9" t="str">
        <f aca="false">IF(OR($J479="",$J479=0),"",$I479/$J479)</f>
        <v/>
      </c>
      <c r="L479" s="9" t="str">
        <f aca="false">IF(OR($E479="",$E479=0),"",$H479/$E479)</f>
        <v/>
      </c>
      <c r="M479" s="10" t="str">
        <f aca="false">IF(OR($L479="",$L479=0),"",($I479/30)/$L479)</f>
        <v/>
      </c>
      <c r="N479" s="8"/>
      <c r="O479" s="11" t="str">
        <f aca="false">IF(OR($I479="",$N479=""),"",($I479/1000)*$N479)</f>
        <v/>
      </c>
      <c r="P479" s="12" t="str">
        <f aca="false">IF($C479="","",IFERROR(ROUND(MIN(25,($N479/Instellingen!$B$3)*25)+MIN(25,($I479/Instellingen!$B$4)*25)+MIN(25,($J479/Instellingen!$B$5)*25)+MIN(25,(IF($M479="",0,$M479)/Instellingen!$B$6)*25),0),""))</f>
        <v/>
      </c>
      <c r="Q479" s="13" t="str">
        <f aca="false">IF($P479="","",IF($P479&gt;=Instellingen!$B$7,"Sterke niche",IF($P479&gt;=Instellingen!$B$8,"Belofte - opvolgen",IF($P479&gt;=Instellingen!$B$9,"Zwak - twijfel","Vermijden"))))</f>
        <v/>
      </c>
      <c r="R479" s="5"/>
      <c r="T479" s="1" t="str">
        <f aca="false">IF($C479="","",IF($P479=_xlfn.MAXIFS($P$3:$P$1000,$B$3:$B$1000,$B479),"★ Cash cow – handmatig onderzoeken",""))</f>
        <v/>
      </c>
    </row>
    <row r="480" customFormat="false" ht="14.25" hidden="false" customHeight="true" outlineLevel="0" collapsed="false">
      <c r="A480" s="4"/>
      <c r="B480" s="5"/>
      <c r="C480" s="5"/>
      <c r="D480" s="5"/>
      <c r="E480" s="6"/>
      <c r="F480" s="7"/>
      <c r="G480" s="8"/>
      <c r="H480" s="7"/>
      <c r="I480" s="7"/>
      <c r="J480" s="6"/>
      <c r="K480" s="9" t="str">
        <f aca="false">IF(OR($J480="",$J480=0),"",$I480/$J480)</f>
        <v/>
      </c>
      <c r="L480" s="9" t="str">
        <f aca="false">IF(OR($E480="",$E480=0),"",$H480/$E480)</f>
        <v/>
      </c>
      <c r="M480" s="10" t="str">
        <f aca="false">IF(OR($L480="",$L480=0),"",($I480/30)/$L480)</f>
        <v/>
      </c>
      <c r="N480" s="8"/>
      <c r="O480" s="11" t="str">
        <f aca="false">IF(OR($I480="",$N480=""),"",($I480/1000)*$N480)</f>
        <v/>
      </c>
      <c r="P480" s="12" t="str">
        <f aca="false">IF($C480="","",IFERROR(ROUND(MIN(25,($N480/Instellingen!$B$3)*25)+MIN(25,($I480/Instellingen!$B$4)*25)+MIN(25,($J480/Instellingen!$B$5)*25)+MIN(25,(IF($M480="",0,$M480)/Instellingen!$B$6)*25),0),""))</f>
        <v/>
      </c>
      <c r="Q480" s="13" t="str">
        <f aca="false">IF($P480="","",IF($P480&gt;=Instellingen!$B$7,"Sterke niche",IF($P480&gt;=Instellingen!$B$8,"Belofte - opvolgen",IF($P480&gt;=Instellingen!$B$9,"Zwak - twijfel","Vermijden"))))</f>
        <v/>
      </c>
      <c r="R480" s="5"/>
      <c r="T480" s="1" t="str">
        <f aca="false">IF($C480="","",IF($P480=_xlfn.MAXIFS($P$3:$P$1000,$B$3:$B$1000,$B480),"★ Cash cow – handmatig onderzoeken",""))</f>
        <v/>
      </c>
    </row>
    <row r="481" customFormat="false" ht="14.25" hidden="false" customHeight="true" outlineLevel="0" collapsed="false">
      <c r="A481" s="4"/>
      <c r="B481" s="5"/>
      <c r="C481" s="5"/>
      <c r="D481" s="5"/>
      <c r="E481" s="6"/>
      <c r="F481" s="7"/>
      <c r="G481" s="8"/>
      <c r="H481" s="7"/>
      <c r="I481" s="7"/>
      <c r="J481" s="6"/>
      <c r="K481" s="9" t="str">
        <f aca="false">IF(OR($J481="",$J481=0),"",$I481/$J481)</f>
        <v/>
      </c>
      <c r="L481" s="9" t="str">
        <f aca="false">IF(OR($E481="",$E481=0),"",$H481/$E481)</f>
        <v/>
      </c>
      <c r="M481" s="10" t="str">
        <f aca="false">IF(OR($L481="",$L481=0),"",($I481/30)/$L481)</f>
        <v/>
      </c>
      <c r="N481" s="8"/>
      <c r="O481" s="11" t="str">
        <f aca="false">IF(OR($I481="",$N481=""),"",($I481/1000)*$N481)</f>
        <v/>
      </c>
      <c r="P481" s="12" t="str">
        <f aca="false">IF($C481="","",IFERROR(ROUND(MIN(25,($N481/Instellingen!$B$3)*25)+MIN(25,($I481/Instellingen!$B$4)*25)+MIN(25,($J481/Instellingen!$B$5)*25)+MIN(25,(IF($M481="",0,$M481)/Instellingen!$B$6)*25),0),""))</f>
        <v/>
      </c>
      <c r="Q481" s="13" t="str">
        <f aca="false">IF($P481="","",IF($P481&gt;=Instellingen!$B$7,"Sterke niche",IF($P481&gt;=Instellingen!$B$8,"Belofte - opvolgen",IF($P481&gt;=Instellingen!$B$9,"Zwak - twijfel","Vermijden"))))</f>
        <v/>
      </c>
      <c r="R481" s="5"/>
      <c r="T481" s="1" t="str">
        <f aca="false">IF($C481="","",IF($P481=_xlfn.MAXIFS($P$3:$P$1000,$B$3:$B$1000,$B481),"★ Cash cow – handmatig onderzoeken",""))</f>
        <v/>
      </c>
    </row>
    <row r="482" customFormat="false" ht="14.25" hidden="false" customHeight="true" outlineLevel="0" collapsed="false">
      <c r="A482" s="4"/>
      <c r="B482" s="5"/>
      <c r="C482" s="5"/>
      <c r="D482" s="5"/>
      <c r="E482" s="6"/>
      <c r="F482" s="7"/>
      <c r="G482" s="8"/>
      <c r="H482" s="7"/>
      <c r="I482" s="7"/>
      <c r="J482" s="6"/>
      <c r="K482" s="9" t="str">
        <f aca="false">IF(OR($J482="",$J482=0),"",$I482/$J482)</f>
        <v/>
      </c>
      <c r="L482" s="9" t="str">
        <f aca="false">IF(OR($E482="",$E482=0),"",$H482/$E482)</f>
        <v/>
      </c>
      <c r="M482" s="10" t="str">
        <f aca="false">IF(OR($L482="",$L482=0),"",($I482/30)/$L482)</f>
        <v/>
      </c>
      <c r="N482" s="8"/>
      <c r="O482" s="11" t="str">
        <f aca="false">IF(OR($I482="",$N482=""),"",($I482/1000)*$N482)</f>
        <v/>
      </c>
      <c r="P482" s="12" t="str">
        <f aca="false">IF($C482="","",IFERROR(ROUND(MIN(25,($N482/Instellingen!$B$3)*25)+MIN(25,($I482/Instellingen!$B$4)*25)+MIN(25,($J482/Instellingen!$B$5)*25)+MIN(25,(IF($M482="",0,$M482)/Instellingen!$B$6)*25),0),""))</f>
        <v/>
      </c>
      <c r="Q482" s="13" t="str">
        <f aca="false">IF($P482="","",IF($P482&gt;=Instellingen!$B$7,"Sterke niche",IF($P482&gt;=Instellingen!$B$8,"Belofte - opvolgen",IF($P482&gt;=Instellingen!$B$9,"Zwak - twijfel","Vermijden"))))</f>
        <v/>
      </c>
      <c r="R482" s="5"/>
      <c r="T482" s="1" t="str">
        <f aca="false">IF($C482="","",IF($P482=_xlfn.MAXIFS($P$3:$P$1000,$B$3:$B$1000,$B482),"★ Cash cow – handmatig onderzoeken",""))</f>
        <v/>
      </c>
    </row>
    <row r="483" customFormat="false" ht="14.25" hidden="false" customHeight="true" outlineLevel="0" collapsed="false">
      <c r="A483" s="4"/>
      <c r="B483" s="5"/>
      <c r="C483" s="5"/>
      <c r="D483" s="5"/>
      <c r="E483" s="6"/>
      <c r="F483" s="7"/>
      <c r="G483" s="8"/>
      <c r="H483" s="7"/>
      <c r="I483" s="7"/>
      <c r="J483" s="6"/>
      <c r="K483" s="9" t="str">
        <f aca="false">IF(OR($J483="",$J483=0),"",$I483/$J483)</f>
        <v/>
      </c>
      <c r="L483" s="9" t="str">
        <f aca="false">IF(OR($E483="",$E483=0),"",$H483/$E483)</f>
        <v/>
      </c>
      <c r="M483" s="10" t="str">
        <f aca="false">IF(OR($L483="",$L483=0),"",($I483/30)/$L483)</f>
        <v/>
      </c>
      <c r="N483" s="8"/>
      <c r="O483" s="11" t="str">
        <f aca="false">IF(OR($I483="",$N483=""),"",($I483/1000)*$N483)</f>
        <v/>
      </c>
      <c r="P483" s="12" t="str">
        <f aca="false">IF($C483="","",IFERROR(ROUND(MIN(25,($N483/Instellingen!$B$3)*25)+MIN(25,($I483/Instellingen!$B$4)*25)+MIN(25,($J483/Instellingen!$B$5)*25)+MIN(25,(IF($M483="",0,$M483)/Instellingen!$B$6)*25),0),""))</f>
        <v/>
      </c>
      <c r="Q483" s="13" t="str">
        <f aca="false">IF($P483="","",IF($P483&gt;=Instellingen!$B$7,"Sterke niche",IF($P483&gt;=Instellingen!$B$8,"Belofte - opvolgen",IF($P483&gt;=Instellingen!$B$9,"Zwak - twijfel","Vermijden"))))</f>
        <v/>
      </c>
      <c r="R483" s="5"/>
      <c r="T483" s="1" t="str">
        <f aca="false">IF($C483="","",IF($P483=_xlfn.MAXIFS($P$3:$P$1000,$B$3:$B$1000,$B483),"★ Cash cow – handmatig onderzoeken",""))</f>
        <v/>
      </c>
    </row>
    <row r="484" customFormat="false" ht="14.25" hidden="false" customHeight="true" outlineLevel="0" collapsed="false">
      <c r="A484" s="4"/>
      <c r="B484" s="5"/>
      <c r="C484" s="5"/>
      <c r="D484" s="5"/>
      <c r="E484" s="6"/>
      <c r="F484" s="7"/>
      <c r="G484" s="8"/>
      <c r="H484" s="7"/>
      <c r="I484" s="7"/>
      <c r="J484" s="6"/>
      <c r="K484" s="9" t="str">
        <f aca="false">IF(OR($J484="",$J484=0),"",$I484/$J484)</f>
        <v/>
      </c>
      <c r="L484" s="9" t="str">
        <f aca="false">IF(OR($E484="",$E484=0),"",$H484/$E484)</f>
        <v/>
      </c>
      <c r="M484" s="10" t="str">
        <f aca="false">IF(OR($L484="",$L484=0),"",($I484/30)/$L484)</f>
        <v/>
      </c>
      <c r="N484" s="8"/>
      <c r="O484" s="11" t="str">
        <f aca="false">IF(OR($I484="",$N484=""),"",($I484/1000)*$N484)</f>
        <v/>
      </c>
      <c r="P484" s="12" t="str">
        <f aca="false">IF($C484="","",IFERROR(ROUND(MIN(25,($N484/Instellingen!$B$3)*25)+MIN(25,($I484/Instellingen!$B$4)*25)+MIN(25,($J484/Instellingen!$B$5)*25)+MIN(25,(IF($M484="",0,$M484)/Instellingen!$B$6)*25),0),""))</f>
        <v/>
      </c>
      <c r="Q484" s="13" t="str">
        <f aca="false">IF($P484="","",IF($P484&gt;=Instellingen!$B$7,"Sterke niche",IF($P484&gt;=Instellingen!$B$8,"Belofte - opvolgen",IF($P484&gt;=Instellingen!$B$9,"Zwak - twijfel","Vermijden"))))</f>
        <v/>
      </c>
      <c r="R484" s="5"/>
      <c r="T484" s="1" t="str">
        <f aca="false">IF($C484="","",IF($P484=_xlfn.MAXIFS($P$3:$P$1000,$B$3:$B$1000,$B484),"★ Cash cow – handmatig onderzoeken",""))</f>
        <v/>
      </c>
    </row>
    <row r="485" customFormat="false" ht="14.25" hidden="false" customHeight="true" outlineLevel="0" collapsed="false">
      <c r="A485" s="4"/>
      <c r="B485" s="5"/>
      <c r="C485" s="5"/>
      <c r="D485" s="5"/>
      <c r="E485" s="6"/>
      <c r="F485" s="7"/>
      <c r="G485" s="8"/>
      <c r="H485" s="7"/>
      <c r="I485" s="7"/>
      <c r="J485" s="6"/>
      <c r="K485" s="9" t="str">
        <f aca="false">IF(OR($J485="",$J485=0),"",$I485/$J485)</f>
        <v/>
      </c>
      <c r="L485" s="9" t="str">
        <f aca="false">IF(OR($E485="",$E485=0),"",$H485/$E485)</f>
        <v/>
      </c>
      <c r="M485" s="10" t="str">
        <f aca="false">IF(OR($L485="",$L485=0),"",($I485/30)/$L485)</f>
        <v/>
      </c>
      <c r="N485" s="8"/>
      <c r="O485" s="11" t="str">
        <f aca="false">IF(OR($I485="",$N485=""),"",($I485/1000)*$N485)</f>
        <v/>
      </c>
      <c r="P485" s="12" t="str">
        <f aca="false">IF($C485="","",IFERROR(ROUND(MIN(25,($N485/Instellingen!$B$3)*25)+MIN(25,($I485/Instellingen!$B$4)*25)+MIN(25,($J485/Instellingen!$B$5)*25)+MIN(25,(IF($M485="",0,$M485)/Instellingen!$B$6)*25),0),""))</f>
        <v/>
      </c>
      <c r="Q485" s="13" t="str">
        <f aca="false">IF($P485="","",IF($P485&gt;=Instellingen!$B$7,"Sterke niche",IF($P485&gt;=Instellingen!$B$8,"Belofte - opvolgen",IF($P485&gt;=Instellingen!$B$9,"Zwak - twijfel","Vermijden"))))</f>
        <v/>
      </c>
      <c r="R485" s="5"/>
      <c r="T485" s="1" t="str">
        <f aca="false">IF($C485="","",IF($P485=_xlfn.MAXIFS($P$3:$P$1000,$B$3:$B$1000,$B485),"★ Cash cow – handmatig onderzoeken",""))</f>
        <v/>
      </c>
    </row>
    <row r="486" customFormat="false" ht="14.25" hidden="false" customHeight="true" outlineLevel="0" collapsed="false">
      <c r="A486" s="4"/>
      <c r="B486" s="5"/>
      <c r="C486" s="5"/>
      <c r="D486" s="5"/>
      <c r="E486" s="6"/>
      <c r="F486" s="7"/>
      <c r="G486" s="8"/>
      <c r="H486" s="7"/>
      <c r="I486" s="7"/>
      <c r="J486" s="6"/>
      <c r="K486" s="9" t="str">
        <f aca="false">IF(OR($J486="",$J486=0),"",$I486/$J486)</f>
        <v/>
      </c>
      <c r="L486" s="9" t="str">
        <f aca="false">IF(OR($E486="",$E486=0),"",$H486/$E486)</f>
        <v/>
      </c>
      <c r="M486" s="10" t="str">
        <f aca="false">IF(OR($L486="",$L486=0),"",($I486/30)/$L486)</f>
        <v/>
      </c>
      <c r="N486" s="8"/>
      <c r="O486" s="11" t="str">
        <f aca="false">IF(OR($I486="",$N486=""),"",($I486/1000)*$N486)</f>
        <v/>
      </c>
      <c r="P486" s="12" t="str">
        <f aca="false">IF($C486="","",IFERROR(ROUND(MIN(25,($N486/Instellingen!$B$3)*25)+MIN(25,($I486/Instellingen!$B$4)*25)+MIN(25,($J486/Instellingen!$B$5)*25)+MIN(25,(IF($M486="",0,$M486)/Instellingen!$B$6)*25),0),""))</f>
        <v/>
      </c>
      <c r="Q486" s="13" t="str">
        <f aca="false">IF($P486="","",IF($P486&gt;=Instellingen!$B$7,"Sterke niche",IF($P486&gt;=Instellingen!$B$8,"Belofte - opvolgen",IF($P486&gt;=Instellingen!$B$9,"Zwak - twijfel","Vermijden"))))</f>
        <v/>
      </c>
      <c r="R486" s="5"/>
      <c r="T486" s="1" t="str">
        <f aca="false">IF($C486="","",IF($P486=_xlfn.MAXIFS($P$3:$P$1000,$B$3:$B$1000,$B486),"★ Cash cow – handmatig onderzoeken",""))</f>
        <v/>
      </c>
    </row>
    <row r="487" customFormat="false" ht="14.25" hidden="false" customHeight="true" outlineLevel="0" collapsed="false">
      <c r="A487" s="4"/>
      <c r="B487" s="5"/>
      <c r="C487" s="5"/>
      <c r="D487" s="5"/>
      <c r="E487" s="6"/>
      <c r="F487" s="7"/>
      <c r="G487" s="8"/>
      <c r="H487" s="7"/>
      <c r="I487" s="7"/>
      <c r="J487" s="6"/>
      <c r="K487" s="9" t="str">
        <f aca="false">IF(OR($J487="",$J487=0),"",$I487/$J487)</f>
        <v/>
      </c>
      <c r="L487" s="9" t="str">
        <f aca="false">IF(OR($E487="",$E487=0),"",$H487/$E487)</f>
        <v/>
      </c>
      <c r="M487" s="10" t="str">
        <f aca="false">IF(OR($L487="",$L487=0),"",($I487/30)/$L487)</f>
        <v/>
      </c>
      <c r="N487" s="8"/>
      <c r="O487" s="11" t="str">
        <f aca="false">IF(OR($I487="",$N487=""),"",($I487/1000)*$N487)</f>
        <v/>
      </c>
      <c r="P487" s="12" t="str">
        <f aca="false">IF($C487="","",IFERROR(ROUND(MIN(25,($N487/Instellingen!$B$3)*25)+MIN(25,($I487/Instellingen!$B$4)*25)+MIN(25,($J487/Instellingen!$B$5)*25)+MIN(25,(IF($M487="",0,$M487)/Instellingen!$B$6)*25),0),""))</f>
        <v/>
      </c>
      <c r="Q487" s="13" t="str">
        <f aca="false">IF($P487="","",IF($P487&gt;=Instellingen!$B$7,"Sterke niche",IF($P487&gt;=Instellingen!$B$8,"Belofte - opvolgen",IF($P487&gt;=Instellingen!$B$9,"Zwak - twijfel","Vermijden"))))</f>
        <v/>
      </c>
      <c r="R487" s="5"/>
      <c r="T487" s="1" t="str">
        <f aca="false">IF($C487="","",IF($P487=_xlfn.MAXIFS($P$3:$P$1000,$B$3:$B$1000,$B487),"★ Cash cow – handmatig onderzoeken",""))</f>
        <v/>
      </c>
    </row>
    <row r="488" customFormat="false" ht="14.25" hidden="false" customHeight="true" outlineLevel="0" collapsed="false">
      <c r="A488" s="4"/>
      <c r="B488" s="5"/>
      <c r="C488" s="5"/>
      <c r="D488" s="5"/>
      <c r="E488" s="6"/>
      <c r="F488" s="7"/>
      <c r="G488" s="8"/>
      <c r="H488" s="7"/>
      <c r="I488" s="7"/>
      <c r="J488" s="6"/>
      <c r="K488" s="9" t="str">
        <f aca="false">IF(OR($J488="",$J488=0),"",$I488/$J488)</f>
        <v/>
      </c>
      <c r="L488" s="9" t="str">
        <f aca="false">IF(OR($E488="",$E488=0),"",$H488/$E488)</f>
        <v/>
      </c>
      <c r="M488" s="10" t="str">
        <f aca="false">IF(OR($L488="",$L488=0),"",($I488/30)/$L488)</f>
        <v/>
      </c>
      <c r="N488" s="8"/>
      <c r="O488" s="11" t="str">
        <f aca="false">IF(OR($I488="",$N488=""),"",($I488/1000)*$N488)</f>
        <v/>
      </c>
      <c r="P488" s="12" t="str">
        <f aca="false">IF($C488="","",IFERROR(ROUND(MIN(25,($N488/Instellingen!$B$3)*25)+MIN(25,($I488/Instellingen!$B$4)*25)+MIN(25,($J488/Instellingen!$B$5)*25)+MIN(25,(IF($M488="",0,$M488)/Instellingen!$B$6)*25),0),""))</f>
        <v/>
      </c>
      <c r="Q488" s="13" t="str">
        <f aca="false">IF($P488="","",IF($P488&gt;=Instellingen!$B$7,"Sterke niche",IF($P488&gt;=Instellingen!$B$8,"Belofte - opvolgen",IF($P488&gt;=Instellingen!$B$9,"Zwak - twijfel","Vermijden"))))</f>
        <v/>
      </c>
      <c r="R488" s="5"/>
      <c r="T488" s="1" t="str">
        <f aca="false">IF($C488="","",IF($P488=_xlfn.MAXIFS($P$3:$P$1000,$B$3:$B$1000,$B488),"★ Cash cow – handmatig onderzoeken",""))</f>
        <v/>
      </c>
    </row>
    <row r="489" customFormat="false" ht="14.25" hidden="false" customHeight="true" outlineLevel="0" collapsed="false">
      <c r="A489" s="4"/>
      <c r="B489" s="5"/>
      <c r="C489" s="5"/>
      <c r="D489" s="5"/>
      <c r="E489" s="6"/>
      <c r="F489" s="7"/>
      <c r="G489" s="8"/>
      <c r="H489" s="7"/>
      <c r="I489" s="7"/>
      <c r="J489" s="6"/>
      <c r="K489" s="9" t="str">
        <f aca="false">IF(OR($J489="",$J489=0),"",$I489/$J489)</f>
        <v/>
      </c>
      <c r="L489" s="9" t="str">
        <f aca="false">IF(OR($E489="",$E489=0),"",$H489/$E489)</f>
        <v/>
      </c>
      <c r="M489" s="10" t="str">
        <f aca="false">IF(OR($L489="",$L489=0),"",($I489/30)/$L489)</f>
        <v/>
      </c>
      <c r="N489" s="8"/>
      <c r="O489" s="11" t="str">
        <f aca="false">IF(OR($I489="",$N489=""),"",($I489/1000)*$N489)</f>
        <v/>
      </c>
      <c r="P489" s="12" t="str">
        <f aca="false">IF($C489="","",IFERROR(ROUND(MIN(25,($N489/Instellingen!$B$3)*25)+MIN(25,($I489/Instellingen!$B$4)*25)+MIN(25,($J489/Instellingen!$B$5)*25)+MIN(25,(IF($M489="",0,$M489)/Instellingen!$B$6)*25),0),""))</f>
        <v/>
      </c>
      <c r="Q489" s="13" t="str">
        <f aca="false">IF($P489="","",IF($P489&gt;=Instellingen!$B$7,"Sterke niche",IF($P489&gt;=Instellingen!$B$8,"Belofte - opvolgen",IF($P489&gt;=Instellingen!$B$9,"Zwak - twijfel","Vermijden"))))</f>
        <v/>
      </c>
      <c r="R489" s="5"/>
      <c r="T489" s="1" t="str">
        <f aca="false">IF($C489="","",IF($P489=_xlfn.MAXIFS($P$3:$P$1000,$B$3:$B$1000,$B489),"★ Cash cow – handmatig onderzoeken",""))</f>
        <v/>
      </c>
    </row>
    <row r="490" customFormat="false" ht="14.25" hidden="false" customHeight="true" outlineLevel="0" collapsed="false">
      <c r="A490" s="4"/>
      <c r="B490" s="5"/>
      <c r="C490" s="5"/>
      <c r="D490" s="5"/>
      <c r="E490" s="6"/>
      <c r="F490" s="7"/>
      <c r="G490" s="8"/>
      <c r="H490" s="7"/>
      <c r="I490" s="7"/>
      <c r="J490" s="6"/>
      <c r="K490" s="9" t="str">
        <f aca="false">IF(OR($J490="",$J490=0),"",$I490/$J490)</f>
        <v/>
      </c>
      <c r="L490" s="9" t="str">
        <f aca="false">IF(OR($E490="",$E490=0),"",$H490/$E490)</f>
        <v/>
      </c>
      <c r="M490" s="10" t="str">
        <f aca="false">IF(OR($L490="",$L490=0),"",($I490/30)/$L490)</f>
        <v/>
      </c>
      <c r="N490" s="8"/>
      <c r="O490" s="11" t="str">
        <f aca="false">IF(OR($I490="",$N490=""),"",($I490/1000)*$N490)</f>
        <v/>
      </c>
      <c r="P490" s="12" t="str">
        <f aca="false">IF($C490="","",IFERROR(ROUND(MIN(25,($N490/Instellingen!$B$3)*25)+MIN(25,($I490/Instellingen!$B$4)*25)+MIN(25,($J490/Instellingen!$B$5)*25)+MIN(25,(IF($M490="",0,$M490)/Instellingen!$B$6)*25),0),""))</f>
        <v/>
      </c>
      <c r="Q490" s="13" t="str">
        <f aca="false">IF($P490="","",IF($P490&gt;=Instellingen!$B$7,"Sterke niche",IF($P490&gt;=Instellingen!$B$8,"Belofte - opvolgen",IF($P490&gt;=Instellingen!$B$9,"Zwak - twijfel","Vermijden"))))</f>
        <v/>
      </c>
      <c r="R490" s="5"/>
      <c r="T490" s="1" t="str">
        <f aca="false">IF($C490="","",IF($P490=_xlfn.MAXIFS($P$3:$P$1000,$B$3:$B$1000,$B490),"★ Cash cow – handmatig onderzoeken",""))</f>
        <v/>
      </c>
    </row>
    <row r="491" customFormat="false" ht="14.25" hidden="false" customHeight="true" outlineLevel="0" collapsed="false">
      <c r="A491" s="4"/>
      <c r="B491" s="5"/>
      <c r="C491" s="5"/>
      <c r="D491" s="5"/>
      <c r="E491" s="6"/>
      <c r="F491" s="7"/>
      <c r="G491" s="8"/>
      <c r="H491" s="7"/>
      <c r="I491" s="7"/>
      <c r="J491" s="6"/>
      <c r="K491" s="9" t="str">
        <f aca="false">IF(OR($J491="",$J491=0),"",$I491/$J491)</f>
        <v/>
      </c>
      <c r="L491" s="9" t="str">
        <f aca="false">IF(OR($E491="",$E491=0),"",$H491/$E491)</f>
        <v/>
      </c>
      <c r="M491" s="10" t="str">
        <f aca="false">IF(OR($L491="",$L491=0),"",($I491/30)/$L491)</f>
        <v/>
      </c>
      <c r="N491" s="8"/>
      <c r="O491" s="11" t="str">
        <f aca="false">IF(OR($I491="",$N491=""),"",($I491/1000)*$N491)</f>
        <v/>
      </c>
      <c r="P491" s="12" t="str">
        <f aca="false">IF($C491="","",IFERROR(ROUND(MIN(25,($N491/Instellingen!$B$3)*25)+MIN(25,($I491/Instellingen!$B$4)*25)+MIN(25,($J491/Instellingen!$B$5)*25)+MIN(25,(IF($M491="",0,$M491)/Instellingen!$B$6)*25),0),""))</f>
        <v/>
      </c>
      <c r="Q491" s="13" t="str">
        <f aca="false">IF($P491="","",IF($P491&gt;=Instellingen!$B$7,"Sterke niche",IF($P491&gt;=Instellingen!$B$8,"Belofte - opvolgen",IF($P491&gt;=Instellingen!$B$9,"Zwak - twijfel","Vermijden"))))</f>
        <v/>
      </c>
      <c r="R491" s="5"/>
      <c r="T491" s="1" t="str">
        <f aca="false">IF($C491="","",IF($P491=_xlfn.MAXIFS($P$3:$P$1000,$B$3:$B$1000,$B491),"★ Cash cow – handmatig onderzoeken",""))</f>
        <v/>
      </c>
    </row>
    <row r="492" customFormat="false" ht="14.25" hidden="false" customHeight="true" outlineLevel="0" collapsed="false">
      <c r="A492" s="4"/>
      <c r="B492" s="5"/>
      <c r="C492" s="5"/>
      <c r="D492" s="5"/>
      <c r="E492" s="6"/>
      <c r="F492" s="7"/>
      <c r="G492" s="8"/>
      <c r="H492" s="7"/>
      <c r="I492" s="7"/>
      <c r="J492" s="6"/>
      <c r="K492" s="9" t="str">
        <f aca="false">IF(OR($J492="",$J492=0),"",$I492/$J492)</f>
        <v/>
      </c>
      <c r="L492" s="9" t="str">
        <f aca="false">IF(OR($E492="",$E492=0),"",$H492/$E492)</f>
        <v/>
      </c>
      <c r="M492" s="10" t="str">
        <f aca="false">IF(OR($L492="",$L492=0),"",($I492/30)/$L492)</f>
        <v/>
      </c>
      <c r="N492" s="8"/>
      <c r="O492" s="11" t="str">
        <f aca="false">IF(OR($I492="",$N492=""),"",($I492/1000)*$N492)</f>
        <v/>
      </c>
      <c r="P492" s="12" t="str">
        <f aca="false">IF($C492="","",IFERROR(ROUND(MIN(25,($N492/Instellingen!$B$3)*25)+MIN(25,($I492/Instellingen!$B$4)*25)+MIN(25,($J492/Instellingen!$B$5)*25)+MIN(25,(IF($M492="",0,$M492)/Instellingen!$B$6)*25),0),""))</f>
        <v/>
      </c>
      <c r="Q492" s="13" t="str">
        <f aca="false">IF($P492="","",IF($P492&gt;=Instellingen!$B$7,"Sterke niche",IF($P492&gt;=Instellingen!$B$8,"Belofte - opvolgen",IF($P492&gt;=Instellingen!$B$9,"Zwak - twijfel","Vermijden"))))</f>
        <v/>
      </c>
      <c r="R492" s="5"/>
      <c r="T492" s="1" t="str">
        <f aca="false">IF($C492="","",IF($P492=_xlfn.MAXIFS($P$3:$P$1000,$B$3:$B$1000,$B492),"★ Cash cow – handmatig onderzoeken",""))</f>
        <v/>
      </c>
    </row>
    <row r="493" customFormat="false" ht="14.25" hidden="false" customHeight="true" outlineLevel="0" collapsed="false">
      <c r="A493" s="4"/>
      <c r="B493" s="5"/>
      <c r="C493" s="5"/>
      <c r="D493" s="5"/>
      <c r="E493" s="6"/>
      <c r="F493" s="7"/>
      <c r="G493" s="8"/>
      <c r="H493" s="7"/>
      <c r="I493" s="7"/>
      <c r="J493" s="6"/>
      <c r="K493" s="9" t="str">
        <f aca="false">IF(OR($J493="",$J493=0),"",$I493/$J493)</f>
        <v/>
      </c>
      <c r="L493" s="9" t="str">
        <f aca="false">IF(OR($E493="",$E493=0),"",$H493/$E493)</f>
        <v/>
      </c>
      <c r="M493" s="10" t="str">
        <f aca="false">IF(OR($L493="",$L493=0),"",($I493/30)/$L493)</f>
        <v/>
      </c>
      <c r="N493" s="8"/>
      <c r="O493" s="11" t="str">
        <f aca="false">IF(OR($I493="",$N493=""),"",($I493/1000)*$N493)</f>
        <v/>
      </c>
      <c r="P493" s="12" t="str">
        <f aca="false">IF($C493="","",IFERROR(ROUND(MIN(25,($N493/Instellingen!$B$3)*25)+MIN(25,($I493/Instellingen!$B$4)*25)+MIN(25,($J493/Instellingen!$B$5)*25)+MIN(25,(IF($M493="",0,$M493)/Instellingen!$B$6)*25),0),""))</f>
        <v/>
      </c>
      <c r="Q493" s="13" t="str">
        <f aca="false">IF($P493="","",IF($P493&gt;=Instellingen!$B$7,"Sterke niche",IF($P493&gt;=Instellingen!$B$8,"Belofte - opvolgen",IF($P493&gt;=Instellingen!$B$9,"Zwak - twijfel","Vermijden"))))</f>
        <v/>
      </c>
      <c r="R493" s="5"/>
      <c r="T493" s="1" t="str">
        <f aca="false">IF($C493="","",IF($P493=_xlfn.MAXIFS($P$3:$P$1000,$B$3:$B$1000,$B493),"★ Cash cow – handmatig onderzoeken",""))</f>
        <v/>
      </c>
    </row>
    <row r="494" customFormat="false" ht="14.25" hidden="false" customHeight="true" outlineLevel="0" collapsed="false">
      <c r="A494" s="4"/>
      <c r="B494" s="5"/>
      <c r="C494" s="5"/>
      <c r="D494" s="5"/>
      <c r="E494" s="6"/>
      <c r="F494" s="7"/>
      <c r="G494" s="8"/>
      <c r="H494" s="7"/>
      <c r="I494" s="7"/>
      <c r="J494" s="6"/>
      <c r="K494" s="9" t="str">
        <f aca="false">IF(OR($J494="",$J494=0),"",$I494/$J494)</f>
        <v/>
      </c>
      <c r="L494" s="9" t="str">
        <f aca="false">IF(OR($E494="",$E494=0),"",$H494/$E494)</f>
        <v/>
      </c>
      <c r="M494" s="10" t="str">
        <f aca="false">IF(OR($L494="",$L494=0),"",($I494/30)/$L494)</f>
        <v/>
      </c>
      <c r="N494" s="8"/>
      <c r="O494" s="11" t="str">
        <f aca="false">IF(OR($I494="",$N494=""),"",($I494/1000)*$N494)</f>
        <v/>
      </c>
      <c r="P494" s="12" t="str">
        <f aca="false">IF($C494="","",IFERROR(ROUND(MIN(25,($N494/Instellingen!$B$3)*25)+MIN(25,($I494/Instellingen!$B$4)*25)+MIN(25,($J494/Instellingen!$B$5)*25)+MIN(25,(IF($M494="",0,$M494)/Instellingen!$B$6)*25),0),""))</f>
        <v/>
      </c>
      <c r="Q494" s="13" t="str">
        <f aca="false">IF($P494="","",IF($P494&gt;=Instellingen!$B$7,"Sterke niche",IF($P494&gt;=Instellingen!$B$8,"Belofte - opvolgen",IF($P494&gt;=Instellingen!$B$9,"Zwak - twijfel","Vermijden"))))</f>
        <v/>
      </c>
      <c r="R494" s="5"/>
      <c r="T494" s="1" t="str">
        <f aca="false">IF($C494="","",IF($P494=_xlfn.MAXIFS($P$3:$P$1000,$B$3:$B$1000,$B494),"★ Cash cow – handmatig onderzoeken",""))</f>
        <v/>
      </c>
    </row>
    <row r="495" customFormat="false" ht="14.25" hidden="false" customHeight="true" outlineLevel="0" collapsed="false">
      <c r="A495" s="4"/>
      <c r="B495" s="5"/>
      <c r="C495" s="5"/>
      <c r="D495" s="5"/>
      <c r="E495" s="6"/>
      <c r="F495" s="7"/>
      <c r="G495" s="8"/>
      <c r="H495" s="7"/>
      <c r="I495" s="7"/>
      <c r="J495" s="6"/>
      <c r="K495" s="9" t="str">
        <f aca="false">IF(OR($J495="",$J495=0),"",$I495/$J495)</f>
        <v/>
      </c>
      <c r="L495" s="9" t="str">
        <f aca="false">IF(OR($E495="",$E495=0),"",$H495/$E495)</f>
        <v/>
      </c>
      <c r="M495" s="10" t="str">
        <f aca="false">IF(OR($L495="",$L495=0),"",($I495/30)/$L495)</f>
        <v/>
      </c>
      <c r="N495" s="8"/>
      <c r="O495" s="11" t="str">
        <f aca="false">IF(OR($I495="",$N495=""),"",($I495/1000)*$N495)</f>
        <v/>
      </c>
      <c r="P495" s="12" t="str">
        <f aca="false">IF($C495="","",IFERROR(ROUND(MIN(25,($N495/Instellingen!$B$3)*25)+MIN(25,($I495/Instellingen!$B$4)*25)+MIN(25,($J495/Instellingen!$B$5)*25)+MIN(25,(IF($M495="",0,$M495)/Instellingen!$B$6)*25),0),""))</f>
        <v/>
      </c>
      <c r="Q495" s="13" t="str">
        <f aca="false">IF($P495="","",IF($P495&gt;=Instellingen!$B$7,"Sterke niche",IF($P495&gt;=Instellingen!$B$8,"Belofte - opvolgen",IF($P495&gt;=Instellingen!$B$9,"Zwak - twijfel","Vermijden"))))</f>
        <v/>
      </c>
      <c r="R495" s="5"/>
      <c r="T495" s="1" t="str">
        <f aca="false">IF($C495="","",IF($P495=_xlfn.MAXIFS($P$3:$P$1000,$B$3:$B$1000,$B495),"★ Cash cow – handmatig onderzoeken",""))</f>
        <v/>
      </c>
    </row>
    <row r="496" customFormat="false" ht="14.25" hidden="false" customHeight="true" outlineLevel="0" collapsed="false">
      <c r="A496" s="4"/>
      <c r="B496" s="5"/>
      <c r="C496" s="5"/>
      <c r="D496" s="5"/>
      <c r="E496" s="6"/>
      <c r="F496" s="7"/>
      <c r="G496" s="8"/>
      <c r="H496" s="7"/>
      <c r="I496" s="7"/>
      <c r="J496" s="6"/>
      <c r="K496" s="9" t="str">
        <f aca="false">IF(OR($J496="",$J496=0),"",$I496/$J496)</f>
        <v/>
      </c>
      <c r="L496" s="9" t="str">
        <f aca="false">IF(OR($E496="",$E496=0),"",$H496/$E496)</f>
        <v/>
      </c>
      <c r="M496" s="10" t="str">
        <f aca="false">IF(OR($L496="",$L496=0),"",($I496/30)/$L496)</f>
        <v/>
      </c>
      <c r="N496" s="8"/>
      <c r="O496" s="11" t="str">
        <f aca="false">IF(OR($I496="",$N496=""),"",($I496/1000)*$N496)</f>
        <v/>
      </c>
      <c r="P496" s="12" t="str">
        <f aca="false">IF($C496="","",IFERROR(ROUND(MIN(25,($N496/Instellingen!$B$3)*25)+MIN(25,($I496/Instellingen!$B$4)*25)+MIN(25,($J496/Instellingen!$B$5)*25)+MIN(25,(IF($M496="",0,$M496)/Instellingen!$B$6)*25),0),""))</f>
        <v/>
      </c>
      <c r="Q496" s="13" t="str">
        <f aca="false">IF($P496="","",IF($P496&gt;=Instellingen!$B$7,"Sterke niche",IF($P496&gt;=Instellingen!$B$8,"Belofte - opvolgen",IF($P496&gt;=Instellingen!$B$9,"Zwak - twijfel","Vermijden"))))</f>
        <v/>
      </c>
      <c r="R496" s="5"/>
      <c r="T496" s="1" t="str">
        <f aca="false">IF($C496="","",IF($P496=_xlfn.MAXIFS($P$3:$P$1000,$B$3:$B$1000,$B496),"★ Cash cow – handmatig onderzoeken",""))</f>
        <v/>
      </c>
    </row>
    <row r="497" customFormat="false" ht="14.25" hidden="false" customHeight="true" outlineLevel="0" collapsed="false">
      <c r="A497" s="4"/>
      <c r="B497" s="5"/>
      <c r="C497" s="5"/>
      <c r="D497" s="5"/>
      <c r="E497" s="6"/>
      <c r="F497" s="7"/>
      <c r="G497" s="8"/>
      <c r="H497" s="7"/>
      <c r="I497" s="7"/>
      <c r="J497" s="6"/>
      <c r="K497" s="9" t="str">
        <f aca="false">IF(OR($J497="",$J497=0),"",$I497/$J497)</f>
        <v/>
      </c>
      <c r="L497" s="9" t="str">
        <f aca="false">IF(OR($E497="",$E497=0),"",$H497/$E497)</f>
        <v/>
      </c>
      <c r="M497" s="10" t="str">
        <f aca="false">IF(OR($L497="",$L497=0),"",($I497/30)/$L497)</f>
        <v/>
      </c>
      <c r="N497" s="8"/>
      <c r="O497" s="11" t="str">
        <f aca="false">IF(OR($I497="",$N497=""),"",($I497/1000)*$N497)</f>
        <v/>
      </c>
      <c r="P497" s="12" t="str">
        <f aca="false">IF($C497="","",IFERROR(ROUND(MIN(25,($N497/Instellingen!$B$3)*25)+MIN(25,($I497/Instellingen!$B$4)*25)+MIN(25,($J497/Instellingen!$B$5)*25)+MIN(25,(IF($M497="",0,$M497)/Instellingen!$B$6)*25),0),""))</f>
        <v/>
      </c>
      <c r="Q497" s="13" t="str">
        <f aca="false">IF($P497="","",IF($P497&gt;=Instellingen!$B$7,"Sterke niche",IF($P497&gt;=Instellingen!$B$8,"Belofte - opvolgen",IF($P497&gt;=Instellingen!$B$9,"Zwak - twijfel","Vermijden"))))</f>
        <v/>
      </c>
      <c r="R497" s="5"/>
      <c r="T497" s="1" t="str">
        <f aca="false">IF($C497="","",IF($P497=_xlfn.MAXIFS($P$3:$P$1000,$B$3:$B$1000,$B497),"★ Cash cow – handmatig onderzoeken",""))</f>
        <v/>
      </c>
    </row>
    <row r="498" customFormat="false" ht="14.25" hidden="false" customHeight="true" outlineLevel="0" collapsed="false">
      <c r="A498" s="4"/>
      <c r="B498" s="5"/>
      <c r="C498" s="5"/>
      <c r="D498" s="5"/>
      <c r="E498" s="6"/>
      <c r="F498" s="7"/>
      <c r="G498" s="8"/>
      <c r="H498" s="7"/>
      <c r="I498" s="7"/>
      <c r="J498" s="6"/>
      <c r="K498" s="9" t="str">
        <f aca="false">IF(OR($J498="",$J498=0),"",$I498/$J498)</f>
        <v/>
      </c>
      <c r="L498" s="9" t="str">
        <f aca="false">IF(OR($E498="",$E498=0),"",$H498/$E498)</f>
        <v/>
      </c>
      <c r="M498" s="10" t="str">
        <f aca="false">IF(OR($L498="",$L498=0),"",($I498/30)/$L498)</f>
        <v/>
      </c>
      <c r="N498" s="8"/>
      <c r="O498" s="11" t="str">
        <f aca="false">IF(OR($I498="",$N498=""),"",($I498/1000)*$N498)</f>
        <v/>
      </c>
      <c r="P498" s="12" t="str">
        <f aca="false">IF($C498="","",IFERROR(ROUND(MIN(25,($N498/Instellingen!$B$3)*25)+MIN(25,($I498/Instellingen!$B$4)*25)+MIN(25,($J498/Instellingen!$B$5)*25)+MIN(25,(IF($M498="",0,$M498)/Instellingen!$B$6)*25),0),""))</f>
        <v/>
      </c>
      <c r="Q498" s="13" t="str">
        <f aca="false">IF($P498="","",IF($P498&gt;=Instellingen!$B$7,"Sterke niche",IF($P498&gt;=Instellingen!$B$8,"Belofte - opvolgen",IF($P498&gt;=Instellingen!$B$9,"Zwak - twijfel","Vermijden"))))</f>
        <v/>
      </c>
      <c r="R498" s="5"/>
      <c r="T498" s="1" t="str">
        <f aca="false">IF($C498="","",IF($P498=_xlfn.MAXIFS($P$3:$P$1000,$B$3:$B$1000,$B498),"★ Cash cow – handmatig onderzoeken",""))</f>
        <v/>
      </c>
    </row>
    <row r="499" customFormat="false" ht="14.25" hidden="false" customHeight="true" outlineLevel="0" collapsed="false">
      <c r="A499" s="4"/>
      <c r="B499" s="5"/>
      <c r="C499" s="5"/>
      <c r="D499" s="5"/>
      <c r="E499" s="6"/>
      <c r="F499" s="7"/>
      <c r="G499" s="8"/>
      <c r="H499" s="7"/>
      <c r="I499" s="7"/>
      <c r="J499" s="6"/>
      <c r="K499" s="9" t="str">
        <f aca="false">IF(OR($J499="",$J499=0),"",$I499/$J499)</f>
        <v/>
      </c>
      <c r="L499" s="9" t="str">
        <f aca="false">IF(OR($E499="",$E499=0),"",$H499/$E499)</f>
        <v/>
      </c>
      <c r="M499" s="10" t="str">
        <f aca="false">IF(OR($L499="",$L499=0),"",($I499/30)/$L499)</f>
        <v/>
      </c>
      <c r="N499" s="8"/>
      <c r="O499" s="11" t="str">
        <f aca="false">IF(OR($I499="",$N499=""),"",($I499/1000)*$N499)</f>
        <v/>
      </c>
      <c r="P499" s="12" t="str">
        <f aca="false">IF($C499="","",IFERROR(ROUND(MIN(25,($N499/Instellingen!$B$3)*25)+MIN(25,($I499/Instellingen!$B$4)*25)+MIN(25,($J499/Instellingen!$B$5)*25)+MIN(25,(IF($M499="",0,$M499)/Instellingen!$B$6)*25),0),""))</f>
        <v/>
      </c>
      <c r="Q499" s="13" t="str">
        <f aca="false">IF($P499="","",IF($P499&gt;=Instellingen!$B$7,"Sterke niche",IF($P499&gt;=Instellingen!$B$8,"Belofte - opvolgen",IF($P499&gt;=Instellingen!$B$9,"Zwak - twijfel","Vermijden"))))</f>
        <v/>
      </c>
      <c r="R499" s="5"/>
      <c r="T499" s="1" t="str">
        <f aca="false">IF($C499="","",IF($P499=_xlfn.MAXIFS($P$3:$P$1000,$B$3:$B$1000,$B499),"★ Cash cow – handmatig onderzoeken",""))</f>
        <v/>
      </c>
    </row>
    <row r="500" customFormat="false" ht="14.25" hidden="false" customHeight="true" outlineLevel="0" collapsed="false">
      <c r="A500" s="4"/>
      <c r="B500" s="5"/>
      <c r="C500" s="5"/>
      <c r="D500" s="5"/>
      <c r="E500" s="6"/>
      <c r="F500" s="7"/>
      <c r="G500" s="8"/>
      <c r="H500" s="7"/>
      <c r="I500" s="7"/>
      <c r="J500" s="6"/>
      <c r="K500" s="9" t="str">
        <f aca="false">IF(OR($J500="",$J500=0),"",$I500/$J500)</f>
        <v/>
      </c>
      <c r="L500" s="9" t="str">
        <f aca="false">IF(OR($E500="",$E500=0),"",$H500/$E500)</f>
        <v/>
      </c>
      <c r="M500" s="10" t="str">
        <f aca="false">IF(OR($L500="",$L500=0),"",($I500/30)/$L500)</f>
        <v/>
      </c>
      <c r="N500" s="8"/>
      <c r="O500" s="11" t="str">
        <f aca="false">IF(OR($I500="",$N500=""),"",($I500/1000)*$N500)</f>
        <v/>
      </c>
      <c r="P500" s="12" t="str">
        <f aca="false">IF($C500="","",IFERROR(ROUND(MIN(25,($N500/Instellingen!$B$3)*25)+MIN(25,($I500/Instellingen!$B$4)*25)+MIN(25,($J500/Instellingen!$B$5)*25)+MIN(25,(IF($M500="",0,$M500)/Instellingen!$B$6)*25),0),""))</f>
        <v/>
      </c>
      <c r="Q500" s="13" t="str">
        <f aca="false">IF($P500="","",IF($P500&gt;=Instellingen!$B$7,"Sterke niche",IF($P500&gt;=Instellingen!$B$8,"Belofte - opvolgen",IF($P500&gt;=Instellingen!$B$9,"Zwak - twijfel","Vermijden"))))</f>
        <v/>
      </c>
      <c r="R500" s="5"/>
      <c r="T500" s="1" t="str">
        <f aca="false">IF($C500="","",IF($P500=_xlfn.MAXIFS($P$3:$P$1000,$B$3:$B$1000,$B500),"★ Cash cow – handmatig onderzoeken",""))</f>
        <v/>
      </c>
    </row>
    <row r="501" customFormat="false" ht="14.25" hidden="false" customHeight="true" outlineLevel="0" collapsed="false">
      <c r="A501" s="4"/>
      <c r="B501" s="5"/>
      <c r="C501" s="5"/>
      <c r="D501" s="5"/>
      <c r="E501" s="6"/>
      <c r="F501" s="7"/>
      <c r="G501" s="8"/>
      <c r="H501" s="7"/>
      <c r="I501" s="7"/>
      <c r="J501" s="6"/>
      <c r="K501" s="9" t="str">
        <f aca="false">IF(OR($J501="",$J501=0),"",$I501/$J501)</f>
        <v/>
      </c>
      <c r="L501" s="9" t="str">
        <f aca="false">IF(OR($E501="",$E501=0),"",$H501/$E501)</f>
        <v/>
      </c>
      <c r="M501" s="10" t="str">
        <f aca="false">IF(OR($L501="",$L501=0),"",($I501/30)/$L501)</f>
        <v/>
      </c>
      <c r="N501" s="8"/>
      <c r="O501" s="11" t="str">
        <f aca="false">IF(OR($I501="",$N501=""),"",($I501/1000)*$N501)</f>
        <v/>
      </c>
      <c r="P501" s="12" t="str">
        <f aca="false">IF($C501="","",IFERROR(ROUND(MIN(25,($N501/Instellingen!$B$3)*25)+MIN(25,($I501/Instellingen!$B$4)*25)+MIN(25,($J501/Instellingen!$B$5)*25)+MIN(25,(IF($M501="",0,$M501)/Instellingen!$B$6)*25),0),""))</f>
        <v/>
      </c>
      <c r="Q501" s="13" t="str">
        <f aca="false">IF($P501="","",IF($P501&gt;=Instellingen!$B$7,"Sterke niche",IF($P501&gt;=Instellingen!$B$8,"Belofte - opvolgen",IF($P501&gt;=Instellingen!$B$9,"Zwak - twijfel","Vermijden"))))</f>
        <v/>
      </c>
      <c r="R501" s="5"/>
      <c r="T501" s="1" t="str">
        <f aca="false">IF($C501="","",IF($P501=_xlfn.MAXIFS($P$3:$P$1000,$B$3:$B$1000,$B501),"★ Cash cow – handmatig onderzoeken",""))</f>
        <v/>
      </c>
    </row>
    <row r="502" customFormat="false" ht="14.25" hidden="false" customHeight="true" outlineLevel="0" collapsed="false">
      <c r="A502" s="4"/>
      <c r="B502" s="5"/>
      <c r="C502" s="5"/>
      <c r="D502" s="5"/>
      <c r="E502" s="6"/>
      <c r="F502" s="7"/>
      <c r="G502" s="8"/>
      <c r="H502" s="7"/>
      <c r="I502" s="7"/>
      <c r="J502" s="6"/>
      <c r="K502" s="9" t="str">
        <f aca="false">IF(OR($J502="",$J502=0),"",$I502/$J502)</f>
        <v/>
      </c>
      <c r="L502" s="9" t="str">
        <f aca="false">IF(OR($E502="",$E502=0),"",$H502/$E502)</f>
        <v/>
      </c>
      <c r="M502" s="10" t="str">
        <f aca="false">IF(OR($L502="",$L502=0),"",($I502/30)/$L502)</f>
        <v/>
      </c>
      <c r="N502" s="8"/>
      <c r="O502" s="11" t="str">
        <f aca="false">IF(OR($I502="",$N502=""),"",($I502/1000)*$N502)</f>
        <v/>
      </c>
      <c r="P502" s="12" t="str">
        <f aca="false">IF($C502="","",IFERROR(ROUND(MIN(25,($N502/Instellingen!$B$3)*25)+MIN(25,($I502/Instellingen!$B$4)*25)+MIN(25,($J502/Instellingen!$B$5)*25)+MIN(25,(IF($M502="",0,$M502)/Instellingen!$B$6)*25),0),""))</f>
        <v/>
      </c>
      <c r="Q502" s="13" t="str">
        <f aca="false">IF($P502="","",IF($P502&gt;=Instellingen!$B$7,"Sterke niche",IF($P502&gt;=Instellingen!$B$8,"Belofte - opvolgen",IF($P502&gt;=Instellingen!$B$9,"Zwak - twijfel","Vermijden"))))</f>
        <v/>
      </c>
      <c r="R502" s="5"/>
      <c r="T502" s="1" t="str">
        <f aca="false">IF($C502="","",IF($P502=_xlfn.MAXIFS($P$3:$P$1000,$B$3:$B$1000,$B502),"★ Cash cow – handmatig onderzoeken",""))</f>
        <v/>
      </c>
    </row>
    <row r="503" customFormat="false" ht="14.25" hidden="false" customHeight="true" outlineLevel="0" collapsed="false">
      <c r="A503" s="4"/>
      <c r="B503" s="5"/>
      <c r="C503" s="5"/>
      <c r="D503" s="5"/>
      <c r="E503" s="6"/>
      <c r="F503" s="7"/>
      <c r="G503" s="8"/>
      <c r="H503" s="7"/>
      <c r="I503" s="7"/>
      <c r="J503" s="6"/>
      <c r="K503" s="9" t="str">
        <f aca="false">IF(OR($J503="",$J503=0),"",$I503/$J503)</f>
        <v/>
      </c>
      <c r="L503" s="9" t="str">
        <f aca="false">IF(OR($E503="",$E503=0),"",$H503/$E503)</f>
        <v/>
      </c>
      <c r="M503" s="10" t="str">
        <f aca="false">IF(OR($L503="",$L503=0),"",($I503/30)/$L503)</f>
        <v/>
      </c>
      <c r="N503" s="8"/>
      <c r="O503" s="11" t="str">
        <f aca="false">IF(OR($I503="",$N503=""),"",($I503/1000)*$N503)</f>
        <v/>
      </c>
      <c r="P503" s="12" t="str">
        <f aca="false">IF($C503="","",IFERROR(ROUND(MIN(25,($N503/Instellingen!$B$3)*25)+MIN(25,($I503/Instellingen!$B$4)*25)+MIN(25,($J503/Instellingen!$B$5)*25)+MIN(25,(IF($M503="",0,$M503)/Instellingen!$B$6)*25),0),""))</f>
        <v/>
      </c>
      <c r="Q503" s="13" t="str">
        <f aca="false">IF($P503="","",IF($P503&gt;=Instellingen!$B$7,"Sterke niche",IF($P503&gt;=Instellingen!$B$8,"Belofte - opvolgen",IF($P503&gt;=Instellingen!$B$9,"Zwak - twijfel","Vermijden"))))</f>
        <v/>
      </c>
      <c r="R503" s="5"/>
      <c r="T503" s="1" t="str">
        <f aca="false">IF($C503="","",IF($P503=_xlfn.MAXIFS($P$3:$P$1000,$B$3:$B$1000,$B503),"★ Cash cow – handmatig onderzoeken",""))</f>
        <v/>
      </c>
    </row>
    <row r="504" customFormat="false" ht="14.25" hidden="false" customHeight="true" outlineLevel="0" collapsed="false">
      <c r="A504" s="4"/>
      <c r="B504" s="5"/>
      <c r="C504" s="5"/>
      <c r="D504" s="5"/>
      <c r="E504" s="6"/>
      <c r="F504" s="7"/>
      <c r="G504" s="8"/>
      <c r="H504" s="7"/>
      <c r="I504" s="7"/>
      <c r="J504" s="6"/>
      <c r="K504" s="9" t="str">
        <f aca="false">IF(OR($J504="",$J504=0),"",$I504/$J504)</f>
        <v/>
      </c>
      <c r="L504" s="9" t="str">
        <f aca="false">IF(OR($E504="",$E504=0),"",$H504/$E504)</f>
        <v/>
      </c>
      <c r="M504" s="10" t="str">
        <f aca="false">IF(OR($L504="",$L504=0),"",($I504/30)/$L504)</f>
        <v/>
      </c>
      <c r="N504" s="8"/>
      <c r="O504" s="11" t="str">
        <f aca="false">IF(OR($I504="",$N504=""),"",($I504/1000)*$N504)</f>
        <v/>
      </c>
      <c r="P504" s="12" t="str">
        <f aca="false">IF($C504="","",IFERROR(ROUND(MIN(25,($N504/Instellingen!$B$3)*25)+MIN(25,($I504/Instellingen!$B$4)*25)+MIN(25,($J504/Instellingen!$B$5)*25)+MIN(25,(IF($M504="",0,$M504)/Instellingen!$B$6)*25),0),""))</f>
        <v/>
      </c>
      <c r="Q504" s="13" t="str">
        <f aca="false">IF($P504="","",IF($P504&gt;=Instellingen!$B$7,"Sterke niche",IF($P504&gt;=Instellingen!$B$8,"Belofte - opvolgen",IF($P504&gt;=Instellingen!$B$9,"Zwak - twijfel","Vermijden"))))</f>
        <v/>
      </c>
      <c r="R504" s="5"/>
      <c r="T504" s="1" t="str">
        <f aca="false">IF($C504="","",IF($P504=_xlfn.MAXIFS($P$3:$P$1000,$B$3:$B$1000,$B504),"★ Cash cow – handmatig onderzoeken",""))</f>
        <v/>
      </c>
    </row>
    <row r="505" customFormat="false" ht="14.25" hidden="false" customHeight="true" outlineLevel="0" collapsed="false">
      <c r="A505" s="4"/>
      <c r="B505" s="5"/>
      <c r="C505" s="5"/>
      <c r="D505" s="5"/>
      <c r="E505" s="6"/>
      <c r="F505" s="7"/>
      <c r="G505" s="8"/>
      <c r="H505" s="7"/>
      <c r="I505" s="7"/>
      <c r="J505" s="6"/>
      <c r="K505" s="9" t="str">
        <f aca="false">IF(OR($J505="",$J505=0),"",$I505/$J505)</f>
        <v/>
      </c>
      <c r="L505" s="9" t="str">
        <f aca="false">IF(OR($E505="",$E505=0),"",$H505/$E505)</f>
        <v/>
      </c>
      <c r="M505" s="10" t="str">
        <f aca="false">IF(OR($L505="",$L505=0),"",($I505/30)/$L505)</f>
        <v/>
      </c>
      <c r="N505" s="8"/>
      <c r="O505" s="11" t="str">
        <f aca="false">IF(OR($I505="",$N505=""),"",($I505/1000)*$N505)</f>
        <v/>
      </c>
      <c r="P505" s="12" t="str">
        <f aca="false">IF($C505="","",IFERROR(ROUND(MIN(25,($N505/Instellingen!$B$3)*25)+MIN(25,($I505/Instellingen!$B$4)*25)+MIN(25,($J505/Instellingen!$B$5)*25)+MIN(25,(IF($M505="",0,$M505)/Instellingen!$B$6)*25),0),""))</f>
        <v/>
      </c>
      <c r="Q505" s="13" t="str">
        <f aca="false">IF($P505="","",IF($P505&gt;=Instellingen!$B$7,"Sterke niche",IF($P505&gt;=Instellingen!$B$8,"Belofte - opvolgen",IF($P505&gt;=Instellingen!$B$9,"Zwak - twijfel","Vermijden"))))</f>
        <v/>
      </c>
      <c r="R505" s="5"/>
      <c r="T505" s="1" t="str">
        <f aca="false">IF($C505="","",IF($P505=_xlfn.MAXIFS($P$3:$P$1000,$B$3:$B$1000,$B505),"★ Cash cow – handmatig onderzoeken",""))</f>
        <v/>
      </c>
    </row>
    <row r="506" customFormat="false" ht="14.25" hidden="false" customHeight="true" outlineLevel="0" collapsed="false">
      <c r="A506" s="4"/>
      <c r="B506" s="5"/>
      <c r="C506" s="5"/>
      <c r="D506" s="5"/>
      <c r="E506" s="6"/>
      <c r="F506" s="7"/>
      <c r="G506" s="8"/>
      <c r="H506" s="7"/>
      <c r="I506" s="7"/>
      <c r="J506" s="6"/>
      <c r="K506" s="9" t="str">
        <f aca="false">IF(OR($J506="",$J506=0),"",$I506/$J506)</f>
        <v/>
      </c>
      <c r="L506" s="9" t="str">
        <f aca="false">IF(OR($E506="",$E506=0),"",$H506/$E506)</f>
        <v/>
      </c>
      <c r="M506" s="10" t="str">
        <f aca="false">IF(OR($L506="",$L506=0),"",($I506/30)/$L506)</f>
        <v/>
      </c>
      <c r="N506" s="8"/>
      <c r="O506" s="11" t="str">
        <f aca="false">IF(OR($I506="",$N506=""),"",($I506/1000)*$N506)</f>
        <v/>
      </c>
      <c r="P506" s="12" t="str">
        <f aca="false">IF($C506="","",IFERROR(ROUND(MIN(25,($N506/Instellingen!$B$3)*25)+MIN(25,($I506/Instellingen!$B$4)*25)+MIN(25,($J506/Instellingen!$B$5)*25)+MIN(25,(IF($M506="",0,$M506)/Instellingen!$B$6)*25),0),""))</f>
        <v/>
      </c>
      <c r="Q506" s="13" t="str">
        <f aca="false">IF($P506="","",IF($P506&gt;=Instellingen!$B$7,"Sterke niche",IF($P506&gt;=Instellingen!$B$8,"Belofte - opvolgen",IF($P506&gt;=Instellingen!$B$9,"Zwak - twijfel","Vermijden"))))</f>
        <v/>
      </c>
      <c r="R506" s="5"/>
      <c r="T506" s="1" t="str">
        <f aca="false">IF($C506="","",IF($P506=_xlfn.MAXIFS($P$3:$P$1000,$B$3:$B$1000,$B506),"★ Cash cow – handmatig onderzoeken",""))</f>
        <v/>
      </c>
    </row>
    <row r="507" customFormat="false" ht="14.25" hidden="false" customHeight="true" outlineLevel="0" collapsed="false">
      <c r="A507" s="4"/>
      <c r="B507" s="5"/>
      <c r="C507" s="5"/>
      <c r="D507" s="5"/>
      <c r="E507" s="6"/>
      <c r="F507" s="7"/>
      <c r="G507" s="8"/>
      <c r="H507" s="7"/>
      <c r="I507" s="7"/>
      <c r="J507" s="6"/>
      <c r="K507" s="9" t="str">
        <f aca="false">IF(OR($J507="",$J507=0),"",$I507/$J507)</f>
        <v/>
      </c>
      <c r="L507" s="9" t="str">
        <f aca="false">IF(OR($E507="",$E507=0),"",$H507/$E507)</f>
        <v/>
      </c>
      <c r="M507" s="10" t="str">
        <f aca="false">IF(OR($L507="",$L507=0),"",($I507/30)/$L507)</f>
        <v/>
      </c>
      <c r="N507" s="8"/>
      <c r="O507" s="11" t="str">
        <f aca="false">IF(OR($I507="",$N507=""),"",($I507/1000)*$N507)</f>
        <v/>
      </c>
      <c r="P507" s="12" t="str">
        <f aca="false">IF($C507="","",IFERROR(ROUND(MIN(25,($N507/Instellingen!$B$3)*25)+MIN(25,($I507/Instellingen!$B$4)*25)+MIN(25,($J507/Instellingen!$B$5)*25)+MIN(25,(IF($M507="",0,$M507)/Instellingen!$B$6)*25),0),""))</f>
        <v/>
      </c>
      <c r="Q507" s="13" t="str">
        <f aca="false">IF($P507="","",IF($P507&gt;=Instellingen!$B$7,"Sterke niche",IF($P507&gt;=Instellingen!$B$8,"Belofte - opvolgen",IF($P507&gt;=Instellingen!$B$9,"Zwak - twijfel","Vermijden"))))</f>
        <v/>
      </c>
      <c r="R507" s="5"/>
      <c r="T507" s="1" t="str">
        <f aca="false">IF($C507="","",IF($P507=_xlfn.MAXIFS($P$3:$P$1000,$B$3:$B$1000,$B507),"★ Cash cow – handmatig onderzoeken",""))</f>
        <v/>
      </c>
    </row>
    <row r="508" customFormat="false" ht="14.25" hidden="false" customHeight="true" outlineLevel="0" collapsed="false">
      <c r="A508" s="4"/>
      <c r="B508" s="5"/>
      <c r="C508" s="5"/>
      <c r="D508" s="5"/>
      <c r="E508" s="6"/>
      <c r="F508" s="7"/>
      <c r="G508" s="8"/>
      <c r="H508" s="7"/>
      <c r="I508" s="7"/>
      <c r="J508" s="6"/>
      <c r="K508" s="9" t="str">
        <f aca="false">IF(OR($J508="",$J508=0),"",$I508/$J508)</f>
        <v/>
      </c>
      <c r="L508" s="9" t="str">
        <f aca="false">IF(OR($E508="",$E508=0),"",$H508/$E508)</f>
        <v/>
      </c>
      <c r="M508" s="10" t="str">
        <f aca="false">IF(OR($L508="",$L508=0),"",($I508/30)/$L508)</f>
        <v/>
      </c>
      <c r="N508" s="8"/>
      <c r="O508" s="11" t="str">
        <f aca="false">IF(OR($I508="",$N508=""),"",($I508/1000)*$N508)</f>
        <v/>
      </c>
      <c r="P508" s="12" t="str">
        <f aca="false">IF($C508="","",IFERROR(ROUND(MIN(25,($N508/Instellingen!$B$3)*25)+MIN(25,($I508/Instellingen!$B$4)*25)+MIN(25,($J508/Instellingen!$B$5)*25)+MIN(25,(IF($M508="",0,$M508)/Instellingen!$B$6)*25),0),""))</f>
        <v/>
      </c>
      <c r="Q508" s="13" t="str">
        <f aca="false">IF($P508="","",IF($P508&gt;=Instellingen!$B$7,"Sterke niche",IF($P508&gt;=Instellingen!$B$8,"Belofte - opvolgen",IF($P508&gt;=Instellingen!$B$9,"Zwak - twijfel","Vermijden"))))</f>
        <v/>
      </c>
      <c r="R508" s="5"/>
      <c r="T508" s="1" t="str">
        <f aca="false">IF($C508="","",IF($P508=_xlfn.MAXIFS($P$3:$P$1000,$B$3:$B$1000,$B508),"★ Cash cow – handmatig onderzoeken",""))</f>
        <v/>
      </c>
    </row>
    <row r="509" customFormat="false" ht="14.25" hidden="false" customHeight="true" outlineLevel="0" collapsed="false">
      <c r="A509" s="4"/>
      <c r="B509" s="5"/>
      <c r="C509" s="5"/>
      <c r="D509" s="5"/>
      <c r="E509" s="6"/>
      <c r="F509" s="7"/>
      <c r="G509" s="8"/>
      <c r="H509" s="7"/>
      <c r="I509" s="7"/>
      <c r="J509" s="6"/>
      <c r="K509" s="9" t="str">
        <f aca="false">IF(OR($J509="",$J509=0),"",$I509/$J509)</f>
        <v/>
      </c>
      <c r="L509" s="9" t="str">
        <f aca="false">IF(OR($E509="",$E509=0),"",$H509/$E509)</f>
        <v/>
      </c>
      <c r="M509" s="10" t="str">
        <f aca="false">IF(OR($L509="",$L509=0),"",($I509/30)/$L509)</f>
        <v/>
      </c>
      <c r="N509" s="8"/>
      <c r="O509" s="11" t="str">
        <f aca="false">IF(OR($I509="",$N509=""),"",($I509/1000)*$N509)</f>
        <v/>
      </c>
      <c r="P509" s="12" t="str">
        <f aca="false">IF($C509="","",IFERROR(ROUND(MIN(25,($N509/Instellingen!$B$3)*25)+MIN(25,($I509/Instellingen!$B$4)*25)+MIN(25,($J509/Instellingen!$B$5)*25)+MIN(25,(IF($M509="",0,$M509)/Instellingen!$B$6)*25),0),""))</f>
        <v/>
      </c>
      <c r="Q509" s="13" t="str">
        <f aca="false">IF($P509="","",IF($P509&gt;=Instellingen!$B$7,"Sterke niche",IF($P509&gt;=Instellingen!$B$8,"Belofte - opvolgen",IF($P509&gt;=Instellingen!$B$9,"Zwak - twijfel","Vermijden"))))</f>
        <v/>
      </c>
      <c r="R509" s="5"/>
      <c r="T509" s="1" t="str">
        <f aca="false">IF($C509="","",IF($P509=_xlfn.MAXIFS($P$3:$P$1000,$B$3:$B$1000,$B509),"★ Cash cow – handmatig onderzoeken",""))</f>
        <v/>
      </c>
    </row>
    <row r="510" customFormat="false" ht="14.25" hidden="false" customHeight="true" outlineLevel="0" collapsed="false">
      <c r="A510" s="4"/>
      <c r="B510" s="5"/>
      <c r="C510" s="5"/>
      <c r="D510" s="5"/>
      <c r="E510" s="6"/>
      <c r="F510" s="7"/>
      <c r="G510" s="8"/>
      <c r="H510" s="7"/>
      <c r="I510" s="7"/>
      <c r="J510" s="6"/>
      <c r="K510" s="9" t="str">
        <f aca="false">IF(OR($J510="",$J510=0),"",$I510/$J510)</f>
        <v/>
      </c>
      <c r="L510" s="9" t="str">
        <f aca="false">IF(OR($E510="",$E510=0),"",$H510/$E510)</f>
        <v/>
      </c>
      <c r="M510" s="10" t="str">
        <f aca="false">IF(OR($L510="",$L510=0),"",($I510/30)/$L510)</f>
        <v/>
      </c>
      <c r="N510" s="8"/>
      <c r="O510" s="11" t="str">
        <f aca="false">IF(OR($I510="",$N510=""),"",($I510/1000)*$N510)</f>
        <v/>
      </c>
      <c r="P510" s="12" t="str">
        <f aca="false">IF($C510="","",IFERROR(ROUND(MIN(25,($N510/Instellingen!$B$3)*25)+MIN(25,($I510/Instellingen!$B$4)*25)+MIN(25,($J510/Instellingen!$B$5)*25)+MIN(25,(IF($M510="",0,$M510)/Instellingen!$B$6)*25),0),""))</f>
        <v/>
      </c>
      <c r="Q510" s="13" t="str">
        <f aca="false">IF($P510="","",IF($P510&gt;=Instellingen!$B$7,"Sterke niche",IF($P510&gt;=Instellingen!$B$8,"Belofte - opvolgen",IF($P510&gt;=Instellingen!$B$9,"Zwak - twijfel","Vermijden"))))</f>
        <v/>
      </c>
      <c r="R510" s="5"/>
      <c r="T510" s="1" t="str">
        <f aca="false">IF($C510="","",IF($P510=_xlfn.MAXIFS($P$3:$P$1000,$B$3:$B$1000,$B510),"★ Cash cow – handmatig onderzoeken",""))</f>
        <v/>
      </c>
    </row>
    <row r="511" customFormat="false" ht="14.25" hidden="false" customHeight="true" outlineLevel="0" collapsed="false">
      <c r="A511" s="4"/>
      <c r="B511" s="5"/>
      <c r="C511" s="5"/>
      <c r="D511" s="5"/>
      <c r="E511" s="6"/>
      <c r="F511" s="7"/>
      <c r="G511" s="8"/>
      <c r="H511" s="7"/>
      <c r="I511" s="7"/>
      <c r="J511" s="6"/>
      <c r="K511" s="9" t="str">
        <f aca="false">IF(OR($J511="",$J511=0),"",$I511/$J511)</f>
        <v/>
      </c>
      <c r="L511" s="9" t="str">
        <f aca="false">IF(OR($E511="",$E511=0),"",$H511/$E511)</f>
        <v/>
      </c>
      <c r="M511" s="10" t="str">
        <f aca="false">IF(OR($L511="",$L511=0),"",($I511/30)/$L511)</f>
        <v/>
      </c>
      <c r="N511" s="8"/>
      <c r="O511" s="11" t="str">
        <f aca="false">IF(OR($I511="",$N511=""),"",($I511/1000)*$N511)</f>
        <v/>
      </c>
      <c r="P511" s="12" t="str">
        <f aca="false">IF($C511="","",IFERROR(ROUND(MIN(25,($N511/Instellingen!$B$3)*25)+MIN(25,($I511/Instellingen!$B$4)*25)+MIN(25,($J511/Instellingen!$B$5)*25)+MIN(25,(IF($M511="",0,$M511)/Instellingen!$B$6)*25),0),""))</f>
        <v/>
      </c>
      <c r="Q511" s="13" t="str">
        <f aca="false">IF($P511="","",IF($P511&gt;=Instellingen!$B$7,"Sterke niche",IF($P511&gt;=Instellingen!$B$8,"Belofte - opvolgen",IF($P511&gt;=Instellingen!$B$9,"Zwak - twijfel","Vermijden"))))</f>
        <v/>
      </c>
      <c r="R511" s="5"/>
      <c r="T511" s="1" t="str">
        <f aca="false">IF($C511="","",IF($P511=_xlfn.MAXIFS($P$3:$P$1000,$B$3:$B$1000,$B511),"★ Cash cow – handmatig onderzoeken",""))</f>
        <v/>
      </c>
    </row>
    <row r="512" customFormat="false" ht="14.25" hidden="false" customHeight="true" outlineLevel="0" collapsed="false">
      <c r="A512" s="4"/>
      <c r="B512" s="5"/>
      <c r="C512" s="5"/>
      <c r="D512" s="5"/>
      <c r="E512" s="6"/>
      <c r="F512" s="7"/>
      <c r="G512" s="8"/>
      <c r="H512" s="7"/>
      <c r="I512" s="7"/>
      <c r="J512" s="6"/>
      <c r="K512" s="9" t="str">
        <f aca="false">IF(OR($J512="",$J512=0),"",$I512/$J512)</f>
        <v/>
      </c>
      <c r="L512" s="9" t="str">
        <f aca="false">IF(OR($E512="",$E512=0),"",$H512/$E512)</f>
        <v/>
      </c>
      <c r="M512" s="10" t="str">
        <f aca="false">IF(OR($L512="",$L512=0),"",($I512/30)/$L512)</f>
        <v/>
      </c>
      <c r="N512" s="8"/>
      <c r="O512" s="11" t="str">
        <f aca="false">IF(OR($I512="",$N512=""),"",($I512/1000)*$N512)</f>
        <v/>
      </c>
      <c r="P512" s="12" t="str">
        <f aca="false">IF($C512="","",IFERROR(ROUND(MIN(25,($N512/Instellingen!$B$3)*25)+MIN(25,($I512/Instellingen!$B$4)*25)+MIN(25,($J512/Instellingen!$B$5)*25)+MIN(25,(IF($M512="",0,$M512)/Instellingen!$B$6)*25),0),""))</f>
        <v/>
      </c>
      <c r="Q512" s="13" t="str">
        <f aca="false">IF($P512="","",IF($P512&gt;=Instellingen!$B$7,"Sterke niche",IF($P512&gt;=Instellingen!$B$8,"Belofte - opvolgen",IF($P512&gt;=Instellingen!$B$9,"Zwak - twijfel","Vermijden"))))</f>
        <v/>
      </c>
      <c r="R512" s="5"/>
      <c r="T512" s="1" t="str">
        <f aca="false">IF($C512="","",IF($P512=_xlfn.MAXIFS($P$3:$P$1000,$B$3:$B$1000,$B512),"★ Cash cow – handmatig onderzoeken",""))</f>
        <v/>
      </c>
    </row>
    <row r="513" customFormat="false" ht="14.25" hidden="false" customHeight="true" outlineLevel="0" collapsed="false">
      <c r="A513" s="4"/>
      <c r="B513" s="5"/>
      <c r="C513" s="5"/>
      <c r="D513" s="5"/>
      <c r="E513" s="6"/>
      <c r="F513" s="7"/>
      <c r="G513" s="8"/>
      <c r="H513" s="7"/>
      <c r="I513" s="7"/>
      <c r="J513" s="6"/>
      <c r="K513" s="9" t="str">
        <f aca="false">IF(OR($J513="",$J513=0),"",$I513/$J513)</f>
        <v/>
      </c>
      <c r="L513" s="9" t="str">
        <f aca="false">IF(OR($E513="",$E513=0),"",$H513/$E513)</f>
        <v/>
      </c>
      <c r="M513" s="10" t="str">
        <f aca="false">IF(OR($L513="",$L513=0),"",($I513/30)/$L513)</f>
        <v/>
      </c>
      <c r="N513" s="8"/>
      <c r="O513" s="11" t="str">
        <f aca="false">IF(OR($I513="",$N513=""),"",($I513/1000)*$N513)</f>
        <v/>
      </c>
      <c r="P513" s="12" t="str">
        <f aca="false">IF($C513="","",IFERROR(ROUND(MIN(25,($N513/Instellingen!$B$3)*25)+MIN(25,($I513/Instellingen!$B$4)*25)+MIN(25,($J513/Instellingen!$B$5)*25)+MIN(25,(IF($M513="",0,$M513)/Instellingen!$B$6)*25),0),""))</f>
        <v/>
      </c>
      <c r="Q513" s="13" t="str">
        <f aca="false">IF($P513="","",IF($P513&gt;=Instellingen!$B$7,"Sterke niche",IF($P513&gt;=Instellingen!$B$8,"Belofte - opvolgen",IF($P513&gt;=Instellingen!$B$9,"Zwak - twijfel","Vermijden"))))</f>
        <v/>
      </c>
      <c r="R513" s="5"/>
      <c r="T513" s="1" t="str">
        <f aca="false">IF($C513="","",IF($P513=_xlfn.MAXIFS($P$3:$P$1000,$B$3:$B$1000,$B513),"★ Cash cow – handmatig onderzoeken",""))</f>
        <v/>
      </c>
    </row>
    <row r="514" customFormat="false" ht="14.25" hidden="false" customHeight="true" outlineLevel="0" collapsed="false">
      <c r="A514" s="4"/>
      <c r="B514" s="5"/>
      <c r="C514" s="5"/>
      <c r="D514" s="5"/>
      <c r="E514" s="6"/>
      <c r="F514" s="7"/>
      <c r="G514" s="8"/>
      <c r="H514" s="7"/>
      <c r="I514" s="7"/>
      <c r="J514" s="6"/>
      <c r="K514" s="9" t="str">
        <f aca="false">IF(OR($J514="",$J514=0),"",$I514/$J514)</f>
        <v/>
      </c>
      <c r="L514" s="9" t="str">
        <f aca="false">IF(OR($E514="",$E514=0),"",$H514/$E514)</f>
        <v/>
      </c>
      <c r="M514" s="10" t="str">
        <f aca="false">IF(OR($L514="",$L514=0),"",($I514/30)/$L514)</f>
        <v/>
      </c>
      <c r="N514" s="8"/>
      <c r="O514" s="11" t="str">
        <f aca="false">IF(OR($I514="",$N514=""),"",($I514/1000)*$N514)</f>
        <v/>
      </c>
      <c r="P514" s="12" t="str">
        <f aca="false">IF($C514="","",IFERROR(ROUND(MIN(25,($N514/Instellingen!$B$3)*25)+MIN(25,($I514/Instellingen!$B$4)*25)+MIN(25,($J514/Instellingen!$B$5)*25)+MIN(25,(IF($M514="",0,$M514)/Instellingen!$B$6)*25),0),""))</f>
        <v/>
      </c>
      <c r="Q514" s="13" t="str">
        <f aca="false">IF($P514="","",IF($P514&gt;=Instellingen!$B$7,"Sterke niche",IF($P514&gt;=Instellingen!$B$8,"Belofte - opvolgen",IF($P514&gt;=Instellingen!$B$9,"Zwak - twijfel","Vermijden"))))</f>
        <v/>
      </c>
      <c r="R514" s="5"/>
      <c r="T514" s="1" t="str">
        <f aca="false">IF($C514="","",IF($P514=_xlfn.MAXIFS($P$3:$P$1000,$B$3:$B$1000,$B514),"★ Cash cow – handmatig onderzoeken",""))</f>
        <v/>
      </c>
    </row>
    <row r="515" customFormat="false" ht="14.25" hidden="false" customHeight="true" outlineLevel="0" collapsed="false">
      <c r="A515" s="4"/>
      <c r="B515" s="5"/>
      <c r="C515" s="5"/>
      <c r="D515" s="5"/>
      <c r="E515" s="6"/>
      <c r="F515" s="7"/>
      <c r="G515" s="8"/>
      <c r="H515" s="7"/>
      <c r="I515" s="7"/>
      <c r="J515" s="6"/>
      <c r="K515" s="9" t="str">
        <f aca="false">IF(OR($J515="",$J515=0),"",$I515/$J515)</f>
        <v/>
      </c>
      <c r="L515" s="9" t="str">
        <f aca="false">IF(OR($E515="",$E515=0),"",$H515/$E515)</f>
        <v/>
      </c>
      <c r="M515" s="10" t="str">
        <f aca="false">IF(OR($L515="",$L515=0),"",($I515/30)/$L515)</f>
        <v/>
      </c>
      <c r="N515" s="8"/>
      <c r="O515" s="11" t="str">
        <f aca="false">IF(OR($I515="",$N515=""),"",($I515/1000)*$N515)</f>
        <v/>
      </c>
      <c r="P515" s="12" t="str">
        <f aca="false">IF($C515="","",IFERROR(ROUND(MIN(25,($N515/Instellingen!$B$3)*25)+MIN(25,($I515/Instellingen!$B$4)*25)+MIN(25,($J515/Instellingen!$B$5)*25)+MIN(25,(IF($M515="",0,$M515)/Instellingen!$B$6)*25),0),""))</f>
        <v/>
      </c>
      <c r="Q515" s="13" t="str">
        <f aca="false">IF($P515="","",IF($P515&gt;=Instellingen!$B$7,"Sterke niche",IF($P515&gt;=Instellingen!$B$8,"Belofte - opvolgen",IF($P515&gt;=Instellingen!$B$9,"Zwak - twijfel","Vermijden"))))</f>
        <v/>
      </c>
      <c r="R515" s="5"/>
      <c r="T515" s="1" t="str">
        <f aca="false">IF($C515="","",IF($P515=_xlfn.MAXIFS($P$3:$P$1000,$B$3:$B$1000,$B515),"★ Cash cow – handmatig onderzoeken",""))</f>
        <v/>
      </c>
    </row>
    <row r="516" customFormat="false" ht="14.25" hidden="false" customHeight="true" outlineLevel="0" collapsed="false">
      <c r="A516" s="4"/>
      <c r="B516" s="5"/>
      <c r="C516" s="5"/>
      <c r="D516" s="5"/>
      <c r="E516" s="6"/>
      <c r="F516" s="7"/>
      <c r="G516" s="8"/>
      <c r="H516" s="7"/>
      <c r="I516" s="7"/>
      <c r="J516" s="6"/>
      <c r="K516" s="9" t="str">
        <f aca="false">IF(OR($J516="",$J516=0),"",$I516/$J516)</f>
        <v/>
      </c>
      <c r="L516" s="9" t="str">
        <f aca="false">IF(OR($E516="",$E516=0),"",$H516/$E516)</f>
        <v/>
      </c>
      <c r="M516" s="10" t="str">
        <f aca="false">IF(OR($L516="",$L516=0),"",($I516/30)/$L516)</f>
        <v/>
      </c>
      <c r="N516" s="8"/>
      <c r="O516" s="11" t="str">
        <f aca="false">IF(OR($I516="",$N516=""),"",($I516/1000)*$N516)</f>
        <v/>
      </c>
      <c r="P516" s="12" t="str">
        <f aca="false">IF($C516="","",IFERROR(ROUND(MIN(25,($N516/Instellingen!$B$3)*25)+MIN(25,($I516/Instellingen!$B$4)*25)+MIN(25,($J516/Instellingen!$B$5)*25)+MIN(25,(IF($M516="",0,$M516)/Instellingen!$B$6)*25),0),""))</f>
        <v/>
      </c>
      <c r="Q516" s="13" t="str">
        <f aca="false">IF($P516="","",IF($P516&gt;=Instellingen!$B$7,"Sterke niche",IF($P516&gt;=Instellingen!$B$8,"Belofte - opvolgen",IF($P516&gt;=Instellingen!$B$9,"Zwak - twijfel","Vermijden"))))</f>
        <v/>
      </c>
      <c r="R516" s="5"/>
      <c r="T516" s="1" t="str">
        <f aca="false">IF($C516="","",IF($P516=_xlfn.MAXIFS($P$3:$P$1000,$B$3:$B$1000,$B516),"★ Cash cow – handmatig onderzoeken",""))</f>
        <v/>
      </c>
    </row>
    <row r="517" customFormat="false" ht="14.25" hidden="false" customHeight="true" outlineLevel="0" collapsed="false">
      <c r="A517" s="4"/>
      <c r="B517" s="5"/>
      <c r="C517" s="5"/>
      <c r="D517" s="5"/>
      <c r="E517" s="6"/>
      <c r="F517" s="7"/>
      <c r="G517" s="8"/>
      <c r="H517" s="7"/>
      <c r="I517" s="7"/>
      <c r="J517" s="6"/>
      <c r="K517" s="9" t="str">
        <f aca="false">IF(OR($J517="",$J517=0),"",$I517/$J517)</f>
        <v/>
      </c>
      <c r="L517" s="9" t="str">
        <f aca="false">IF(OR($E517="",$E517=0),"",$H517/$E517)</f>
        <v/>
      </c>
      <c r="M517" s="10" t="str">
        <f aca="false">IF(OR($L517="",$L517=0),"",($I517/30)/$L517)</f>
        <v/>
      </c>
      <c r="N517" s="8"/>
      <c r="O517" s="11" t="str">
        <f aca="false">IF(OR($I517="",$N517=""),"",($I517/1000)*$N517)</f>
        <v/>
      </c>
      <c r="P517" s="12" t="str">
        <f aca="false">IF($C517="","",IFERROR(ROUND(MIN(25,($N517/Instellingen!$B$3)*25)+MIN(25,($I517/Instellingen!$B$4)*25)+MIN(25,($J517/Instellingen!$B$5)*25)+MIN(25,(IF($M517="",0,$M517)/Instellingen!$B$6)*25),0),""))</f>
        <v/>
      </c>
      <c r="Q517" s="13" t="str">
        <f aca="false">IF($P517="","",IF($P517&gt;=Instellingen!$B$7,"Sterke niche",IF($P517&gt;=Instellingen!$B$8,"Belofte - opvolgen",IF($P517&gt;=Instellingen!$B$9,"Zwak - twijfel","Vermijden"))))</f>
        <v/>
      </c>
      <c r="R517" s="5"/>
      <c r="T517" s="1" t="str">
        <f aca="false">IF($C517="","",IF($P517=_xlfn.MAXIFS($P$3:$P$1000,$B$3:$B$1000,$B517),"★ Cash cow – handmatig onderzoeken",""))</f>
        <v/>
      </c>
    </row>
    <row r="518" customFormat="false" ht="14.25" hidden="false" customHeight="true" outlineLevel="0" collapsed="false">
      <c r="A518" s="4"/>
      <c r="B518" s="5"/>
      <c r="C518" s="5"/>
      <c r="D518" s="5"/>
      <c r="E518" s="6"/>
      <c r="F518" s="7"/>
      <c r="G518" s="8"/>
      <c r="H518" s="7"/>
      <c r="I518" s="7"/>
      <c r="J518" s="6"/>
      <c r="K518" s="9" t="str">
        <f aca="false">IF(OR($J518="",$J518=0),"",$I518/$J518)</f>
        <v/>
      </c>
      <c r="L518" s="9" t="str">
        <f aca="false">IF(OR($E518="",$E518=0),"",$H518/$E518)</f>
        <v/>
      </c>
      <c r="M518" s="10" t="str">
        <f aca="false">IF(OR($L518="",$L518=0),"",($I518/30)/$L518)</f>
        <v/>
      </c>
      <c r="N518" s="8"/>
      <c r="O518" s="11" t="str">
        <f aca="false">IF(OR($I518="",$N518=""),"",($I518/1000)*$N518)</f>
        <v/>
      </c>
      <c r="P518" s="12" t="str">
        <f aca="false">IF($C518="","",IFERROR(ROUND(MIN(25,($N518/Instellingen!$B$3)*25)+MIN(25,($I518/Instellingen!$B$4)*25)+MIN(25,($J518/Instellingen!$B$5)*25)+MIN(25,(IF($M518="",0,$M518)/Instellingen!$B$6)*25),0),""))</f>
        <v/>
      </c>
      <c r="Q518" s="13" t="str">
        <f aca="false">IF($P518="","",IF($P518&gt;=Instellingen!$B$7,"Sterke niche",IF($P518&gt;=Instellingen!$B$8,"Belofte - opvolgen",IF($P518&gt;=Instellingen!$B$9,"Zwak - twijfel","Vermijden"))))</f>
        <v/>
      </c>
      <c r="R518" s="5"/>
      <c r="T518" s="1" t="str">
        <f aca="false">IF($C518="","",IF($P518=_xlfn.MAXIFS($P$3:$P$1000,$B$3:$B$1000,$B518),"★ Cash cow – handmatig onderzoeken",""))</f>
        <v/>
      </c>
    </row>
    <row r="519" customFormat="false" ht="14.25" hidden="false" customHeight="true" outlineLevel="0" collapsed="false">
      <c r="A519" s="4"/>
      <c r="B519" s="5"/>
      <c r="C519" s="5"/>
      <c r="D519" s="5"/>
      <c r="E519" s="6"/>
      <c r="F519" s="7"/>
      <c r="G519" s="8"/>
      <c r="H519" s="7"/>
      <c r="I519" s="7"/>
      <c r="J519" s="6"/>
      <c r="K519" s="9" t="str">
        <f aca="false">IF(OR($J519="",$J519=0),"",$I519/$J519)</f>
        <v/>
      </c>
      <c r="L519" s="9" t="str">
        <f aca="false">IF(OR($E519="",$E519=0),"",$H519/$E519)</f>
        <v/>
      </c>
      <c r="M519" s="10" t="str">
        <f aca="false">IF(OR($L519="",$L519=0),"",($I519/30)/$L519)</f>
        <v/>
      </c>
      <c r="N519" s="8"/>
      <c r="O519" s="11" t="str">
        <f aca="false">IF(OR($I519="",$N519=""),"",($I519/1000)*$N519)</f>
        <v/>
      </c>
      <c r="P519" s="12" t="str">
        <f aca="false">IF($C519="","",IFERROR(ROUND(MIN(25,($N519/Instellingen!$B$3)*25)+MIN(25,($I519/Instellingen!$B$4)*25)+MIN(25,($J519/Instellingen!$B$5)*25)+MIN(25,(IF($M519="",0,$M519)/Instellingen!$B$6)*25),0),""))</f>
        <v/>
      </c>
      <c r="Q519" s="13" t="str">
        <f aca="false">IF($P519="","",IF($P519&gt;=Instellingen!$B$7,"Sterke niche",IF($P519&gt;=Instellingen!$B$8,"Belofte - opvolgen",IF($P519&gt;=Instellingen!$B$9,"Zwak - twijfel","Vermijden"))))</f>
        <v/>
      </c>
      <c r="R519" s="5"/>
      <c r="T519" s="1" t="str">
        <f aca="false">IF($C519="","",IF($P519=_xlfn.MAXIFS($P$3:$P$1000,$B$3:$B$1000,$B519),"★ Cash cow – handmatig onderzoeken",""))</f>
        <v/>
      </c>
    </row>
    <row r="520" customFormat="false" ht="14.25" hidden="false" customHeight="true" outlineLevel="0" collapsed="false">
      <c r="A520" s="4"/>
      <c r="B520" s="5"/>
      <c r="C520" s="5"/>
      <c r="D520" s="5"/>
      <c r="E520" s="6"/>
      <c r="F520" s="7"/>
      <c r="G520" s="8"/>
      <c r="H520" s="7"/>
      <c r="I520" s="7"/>
      <c r="J520" s="6"/>
      <c r="K520" s="9" t="str">
        <f aca="false">IF(OR($J520="",$J520=0),"",$I520/$J520)</f>
        <v/>
      </c>
      <c r="L520" s="9" t="str">
        <f aca="false">IF(OR($E520="",$E520=0),"",$H520/$E520)</f>
        <v/>
      </c>
      <c r="M520" s="10" t="str">
        <f aca="false">IF(OR($L520="",$L520=0),"",($I520/30)/$L520)</f>
        <v/>
      </c>
      <c r="N520" s="8"/>
      <c r="O520" s="11" t="str">
        <f aca="false">IF(OR($I520="",$N520=""),"",($I520/1000)*$N520)</f>
        <v/>
      </c>
      <c r="P520" s="12" t="str">
        <f aca="false">IF($C520="","",IFERROR(ROUND(MIN(25,($N520/Instellingen!$B$3)*25)+MIN(25,($I520/Instellingen!$B$4)*25)+MIN(25,($J520/Instellingen!$B$5)*25)+MIN(25,(IF($M520="",0,$M520)/Instellingen!$B$6)*25),0),""))</f>
        <v/>
      </c>
      <c r="Q520" s="13" t="str">
        <f aca="false">IF($P520="","",IF($P520&gt;=Instellingen!$B$7,"Sterke niche",IF($P520&gt;=Instellingen!$B$8,"Belofte - opvolgen",IF($P520&gt;=Instellingen!$B$9,"Zwak - twijfel","Vermijden"))))</f>
        <v/>
      </c>
      <c r="R520" s="5"/>
      <c r="T520" s="1" t="str">
        <f aca="false">IF($C520="","",IF($P520=_xlfn.MAXIFS($P$3:$P$1000,$B$3:$B$1000,$B520),"★ Cash cow – handmatig onderzoeken",""))</f>
        <v/>
      </c>
    </row>
    <row r="521" customFormat="false" ht="14.25" hidden="false" customHeight="true" outlineLevel="0" collapsed="false">
      <c r="A521" s="4"/>
      <c r="B521" s="5"/>
      <c r="C521" s="5"/>
      <c r="D521" s="5"/>
      <c r="E521" s="6"/>
      <c r="F521" s="7"/>
      <c r="G521" s="8"/>
      <c r="H521" s="7"/>
      <c r="I521" s="7"/>
      <c r="J521" s="6"/>
      <c r="K521" s="9" t="str">
        <f aca="false">IF(OR($J521="",$J521=0),"",$I521/$J521)</f>
        <v/>
      </c>
      <c r="L521" s="9" t="str">
        <f aca="false">IF(OR($E521="",$E521=0),"",$H521/$E521)</f>
        <v/>
      </c>
      <c r="M521" s="10" t="str">
        <f aca="false">IF(OR($L521="",$L521=0),"",($I521/30)/$L521)</f>
        <v/>
      </c>
      <c r="N521" s="8"/>
      <c r="O521" s="11" t="str">
        <f aca="false">IF(OR($I521="",$N521=""),"",($I521/1000)*$N521)</f>
        <v/>
      </c>
      <c r="P521" s="12" t="str">
        <f aca="false">IF($C521="","",IFERROR(ROUND(MIN(25,($N521/Instellingen!$B$3)*25)+MIN(25,($I521/Instellingen!$B$4)*25)+MIN(25,($J521/Instellingen!$B$5)*25)+MIN(25,(IF($M521="",0,$M521)/Instellingen!$B$6)*25),0),""))</f>
        <v/>
      </c>
      <c r="Q521" s="13" t="str">
        <f aca="false">IF($P521="","",IF($P521&gt;=Instellingen!$B$7,"Sterke niche",IF($P521&gt;=Instellingen!$B$8,"Belofte - opvolgen",IF($P521&gt;=Instellingen!$B$9,"Zwak - twijfel","Vermijden"))))</f>
        <v/>
      </c>
      <c r="R521" s="5"/>
      <c r="T521" s="1" t="str">
        <f aca="false">IF($C521="","",IF($P521=_xlfn.MAXIFS($P$3:$P$1000,$B$3:$B$1000,$B521),"★ Cash cow – handmatig onderzoeken",""))</f>
        <v/>
      </c>
    </row>
    <row r="522" customFormat="false" ht="14.25" hidden="false" customHeight="true" outlineLevel="0" collapsed="false">
      <c r="A522" s="4"/>
      <c r="B522" s="5"/>
      <c r="C522" s="5"/>
      <c r="D522" s="5"/>
      <c r="E522" s="6"/>
      <c r="F522" s="7"/>
      <c r="G522" s="8"/>
      <c r="H522" s="7"/>
      <c r="I522" s="7"/>
      <c r="J522" s="6"/>
      <c r="K522" s="9" t="str">
        <f aca="false">IF(OR($J522="",$J522=0),"",$I522/$J522)</f>
        <v/>
      </c>
      <c r="L522" s="9" t="str">
        <f aca="false">IF(OR($E522="",$E522=0),"",$H522/$E522)</f>
        <v/>
      </c>
      <c r="M522" s="10" t="str">
        <f aca="false">IF(OR($L522="",$L522=0),"",($I522/30)/$L522)</f>
        <v/>
      </c>
      <c r="N522" s="8"/>
      <c r="O522" s="11" t="str">
        <f aca="false">IF(OR($I522="",$N522=""),"",($I522/1000)*$N522)</f>
        <v/>
      </c>
      <c r="P522" s="12" t="str">
        <f aca="false">IF($C522="","",IFERROR(ROUND(MIN(25,($N522/Instellingen!$B$3)*25)+MIN(25,($I522/Instellingen!$B$4)*25)+MIN(25,($J522/Instellingen!$B$5)*25)+MIN(25,(IF($M522="",0,$M522)/Instellingen!$B$6)*25),0),""))</f>
        <v/>
      </c>
      <c r="Q522" s="13" t="str">
        <f aca="false">IF($P522="","",IF($P522&gt;=Instellingen!$B$7,"Sterke niche",IF($P522&gt;=Instellingen!$B$8,"Belofte - opvolgen",IF($P522&gt;=Instellingen!$B$9,"Zwak - twijfel","Vermijden"))))</f>
        <v/>
      </c>
      <c r="R522" s="5"/>
      <c r="T522" s="1" t="str">
        <f aca="false">IF($C522="","",IF($P522=_xlfn.MAXIFS($P$3:$P$1000,$B$3:$B$1000,$B522),"★ Cash cow – handmatig onderzoeken",""))</f>
        <v/>
      </c>
    </row>
    <row r="523" customFormat="false" ht="14.25" hidden="false" customHeight="true" outlineLevel="0" collapsed="false">
      <c r="A523" s="4"/>
      <c r="B523" s="5"/>
      <c r="C523" s="5"/>
      <c r="D523" s="5"/>
      <c r="E523" s="6"/>
      <c r="F523" s="7"/>
      <c r="G523" s="8"/>
      <c r="H523" s="7"/>
      <c r="I523" s="7"/>
      <c r="J523" s="6"/>
      <c r="K523" s="9" t="str">
        <f aca="false">IF(OR($J523="",$J523=0),"",$I523/$J523)</f>
        <v/>
      </c>
      <c r="L523" s="9" t="str">
        <f aca="false">IF(OR($E523="",$E523=0),"",$H523/$E523)</f>
        <v/>
      </c>
      <c r="M523" s="10" t="str">
        <f aca="false">IF(OR($L523="",$L523=0),"",($I523/30)/$L523)</f>
        <v/>
      </c>
      <c r="N523" s="8"/>
      <c r="O523" s="11" t="str">
        <f aca="false">IF(OR($I523="",$N523=""),"",($I523/1000)*$N523)</f>
        <v/>
      </c>
      <c r="P523" s="12" t="str">
        <f aca="false">IF($C523="","",IFERROR(ROUND(MIN(25,($N523/Instellingen!$B$3)*25)+MIN(25,($I523/Instellingen!$B$4)*25)+MIN(25,($J523/Instellingen!$B$5)*25)+MIN(25,(IF($M523="",0,$M523)/Instellingen!$B$6)*25),0),""))</f>
        <v/>
      </c>
      <c r="Q523" s="13" t="str">
        <f aca="false">IF($P523="","",IF($P523&gt;=Instellingen!$B$7,"Sterke niche",IF($P523&gt;=Instellingen!$B$8,"Belofte - opvolgen",IF($P523&gt;=Instellingen!$B$9,"Zwak - twijfel","Vermijden"))))</f>
        <v/>
      </c>
      <c r="R523" s="5"/>
      <c r="T523" s="1" t="str">
        <f aca="false">IF($C523="","",IF($P523=_xlfn.MAXIFS($P$3:$P$1000,$B$3:$B$1000,$B523),"★ Cash cow – handmatig onderzoeken",""))</f>
        <v/>
      </c>
    </row>
    <row r="524" customFormat="false" ht="14.25" hidden="false" customHeight="true" outlineLevel="0" collapsed="false">
      <c r="A524" s="4"/>
      <c r="B524" s="5"/>
      <c r="C524" s="5"/>
      <c r="D524" s="5"/>
      <c r="E524" s="6"/>
      <c r="F524" s="7"/>
      <c r="G524" s="8"/>
      <c r="H524" s="7"/>
      <c r="I524" s="7"/>
      <c r="J524" s="6"/>
      <c r="K524" s="9" t="str">
        <f aca="false">IF(OR($J524="",$J524=0),"",$I524/$J524)</f>
        <v/>
      </c>
      <c r="L524" s="9" t="str">
        <f aca="false">IF(OR($E524="",$E524=0),"",$H524/$E524)</f>
        <v/>
      </c>
      <c r="M524" s="10" t="str">
        <f aca="false">IF(OR($L524="",$L524=0),"",($I524/30)/$L524)</f>
        <v/>
      </c>
      <c r="N524" s="8"/>
      <c r="O524" s="11" t="str">
        <f aca="false">IF(OR($I524="",$N524=""),"",($I524/1000)*$N524)</f>
        <v/>
      </c>
      <c r="P524" s="12" t="str">
        <f aca="false">IF($C524="","",IFERROR(ROUND(MIN(25,($N524/Instellingen!$B$3)*25)+MIN(25,($I524/Instellingen!$B$4)*25)+MIN(25,($J524/Instellingen!$B$5)*25)+MIN(25,(IF($M524="",0,$M524)/Instellingen!$B$6)*25),0),""))</f>
        <v/>
      </c>
      <c r="Q524" s="13" t="str">
        <f aca="false">IF($P524="","",IF($P524&gt;=Instellingen!$B$7,"Sterke niche",IF($P524&gt;=Instellingen!$B$8,"Belofte - opvolgen",IF($P524&gt;=Instellingen!$B$9,"Zwak - twijfel","Vermijden"))))</f>
        <v/>
      </c>
      <c r="R524" s="5"/>
      <c r="T524" s="1" t="str">
        <f aca="false">IF($C524="","",IF($P524=_xlfn.MAXIFS($P$3:$P$1000,$B$3:$B$1000,$B524),"★ Cash cow – handmatig onderzoeken",""))</f>
        <v/>
      </c>
    </row>
    <row r="525" customFormat="false" ht="14.25" hidden="false" customHeight="true" outlineLevel="0" collapsed="false">
      <c r="A525" s="4"/>
      <c r="B525" s="5"/>
      <c r="C525" s="5"/>
      <c r="D525" s="5"/>
      <c r="E525" s="6"/>
      <c r="F525" s="7"/>
      <c r="G525" s="8"/>
      <c r="H525" s="7"/>
      <c r="I525" s="7"/>
      <c r="J525" s="6"/>
      <c r="K525" s="9" t="str">
        <f aca="false">IF(OR($J525="",$J525=0),"",$I525/$J525)</f>
        <v/>
      </c>
      <c r="L525" s="9" t="str">
        <f aca="false">IF(OR($E525="",$E525=0),"",$H525/$E525)</f>
        <v/>
      </c>
      <c r="M525" s="10" t="str">
        <f aca="false">IF(OR($L525="",$L525=0),"",($I525/30)/$L525)</f>
        <v/>
      </c>
      <c r="N525" s="8"/>
      <c r="O525" s="11" t="str">
        <f aca="false">IF(OR($I525="",$N525=""),"",($I525/1000)*$N525)</f>
        <v/>
      </c>
      <c r="P525" s="12" t="str">
        <f aca="false">IF($C525="","",IFERROR(ROUND(MIN(25,($N525/Instellingen!$B$3)*25)+MIN(25,($I525/Instellingen!$B$4)*25)+MIN(25,($J525/Instellingen!$B$5)*25)+MIN(25,(IF($M525="",0,$M525)/Instellingen!$B$6)*25),0),""))</f>
        <v/>
      </c>
      <c r="Q525" s="13" t="str">
        <f aca="false">IF($P525="","",IF($P525&gt;=Instellingen!$B$7,"Sterke niche",IF($P525&gt;=Instellingen!$B$8,"Belofte - opvolgen",IF($P525&gt;=Instellingen!$B$9,"Zwak - twijfel","Vermijden"))))</f>
        <v/>
      </c>
      <c r="R525" s="5"/>
      <c r="T525" s="1" t="str">
        <f aca="false">IF($C525="","",IF($P525=_xlfn.MAXIFS($P$3:$P$1000,$B$3:$B$1000,$B525),"★ Cash cow – handmatig onderzoeken",""))</f>
        <v/>
      </c>
    </row>
    <row r="526" customFormat="false" ht="14.25" hidden="false" customHeight="true" outlineLevel="0" collapsed="false">
      <c r="A526" s="4"/>
      <c r="B526" s="5"/>
      <c r="C526" s="5"/>
      <c r="D526" s="5"/>
      <c r="E526" s="6"/>
      <c r="F526" s="7"/>
      <c r="G526" s="8"/>
      <c r="H526" s="7"/>
      <c r="I526" s="7"/>
      <c r="J526" s="6"/>
      <c r="K526" s="9" t="str">
        <f aca="false">IF(OR($J526="",$J526=0),"",$I526/$J526)</f>
        <v/>
      </c>
      <c r="L526" s="9" t="str">
        <f aca="false">IF(OR($E526="",$E526=0),"",$H526/$E526)</f>
        <v/>
      </c>
      <c r="M526" s="10" t="str">
        <f aca="false">IF(OR($L526="",$L526=0),"",($I526/30)/$L526)</f>
        <v/>
      </c>
      <c r="N526" s="8"/>
      <c r="O526" s="11" t="str">
        <f aca="false">IF(OR($I526="",$N526=""),"",($I526/1000)*$N526)</f>
        <v/>
      </c>
      <c r="P526" s="12" t="str">
        <f aca="false">IF($C526="","",IFERROR(ROUND(MIN(25,($N526/Instellingen!$B$3)*25)+MIN(25,($I526/Instellingen!$B$4)*25)+MIN(25,($J526/Instellingen!$B$5)*25)+MIN(25,(IF($M526="",0,$M526)/Instellingen!$B$6)*25),0),""))</f>
        <v/>
      </c>
      <c r="Q526" s="13" t="str">
        <f aca="false">IF($P526="","",IF($P526&gt;=Instellingen!$B$7,"Sterke niche",IF($P526&gt;=Instellingen!$B$8,"Belofte - opvolgen",IF($P526&gt;=Instellingen!$B$9,"Zwak - twijfel","Vermijden"))))</f>
        <v/>
      </c>
      <c r="R526" s="5"/>
      <c r="T526" s="1" t="str">
        <f aca="false">IF($C526="","",IF($P526=_xlfn.MAXIFS($P$3:$P$1000,$B$3:$B$1000,$B526),"★ Cash cow – handmatig onderzoeken",""))</f>
        <v/>
      </c>
    </row>
    <row r="527" customFormat="false" ht="14.25" hidden="false" customHeight="true" outlineLevel="0" collapsed="false">
      <c r="A527" s="4"/>
      <c r="B527" s="5"/>
      <c r="C527" s="5"/>
      <c r="D527" s="5"/>
      <c r="E527" s="6"/>
      <c r="F527" s="7"/>
      <c r="G527" s="8"/>
      <c r="H527" s="7"/>
      <c r="I527" s="7"/>
      <c r="J527" s="6"/>
      <c r="K527" s="9" t="str">
        <f aca="false">IF(OR($J527="",$J527=0),"",$I527/$J527)</f>
        <v/>
      </c>
      <c r="L527" s="9" t="str">
        <f aca="false">IF(OR($E527="",$E527=0),"",$H527/$E527)</f>
        <v/>
      </c>
      <c r="M527" s="10" t="str">
        <f aca="false">IF(OR($L527="",$L527=0),"",($I527/30)/$L527)</f>
        <v/>
      </c>
      <c r="N527" s="8"/>
      <c r="O527" s="11" t="str">
        <f aca="false">IF(OR($I527="",$N527=""),"",($I527/1000)*$N527)</f>
        <v/>
      </c>
      <c r="P527" s="12" t="str">
        <f aca="false">IF($C527="","",IFERROR(ROUND(MIN(25,($N527/Instellingen!$B$3)*25)+MIN(25,($I527/Instellingen!$B$4)*25)+MIN(25,($J527/Instellingen!$B$5)*25)+MIN(25,(IF($M527="",0,$M527)/Instellingen!$B$6)*25),0),""))</f>
        <v/>
      </c>
      <c r="Q527" s="13" t="str">
        <f aca="false">IF($P527="","",IF($P527&gt;=Instellingen!$B$7,"Sterke niche",IF($P527&gt;=Instellingen!$B$8,"Belofte - opvolgen",IF($P527&gt;=Instellingen!$B$9,"Zwak - twijfel","Vermijden"))))</f>
        <v/>
      </c>
      <c r="R527" s="5"/>
      <c r="T527" s="1" t="str">
        <f aca="false">IF($C527="","",IF($P527=_xlfn.MAXIFS($P$3:$P$1000,$B$3:$B$1000,$B527),"★ Cash cow – handmatig onderzoeken",""))</f>
        <v/>
      </c>
    </row>
    <row r="528" customFormat="false" ht="14.25" hidden="false" customHeight="true" outlineLevel="0" collapsed="false">
      <c r="A528" s="4"/>
      <c r="B528" s="5"/>
      <c r="C528" s="5"/>
      <c r="D528" s="5"/>
      <c r="E528" s="6"/>
      <c r="F528" s="7"/>
      <c r="G528" s="8"/>
      <c r="H528" s="7"/>
      <c r="I528" s="7"/>
      <c r="J528" s="6"/>
      <c r="K528" s="9" t="str">
        <f aca="false">IF(OR($J528="",$J528=0),"",$I528/$J528)</f>
        <v/>
      </c>
      <c r="L528" s="9" t="str">
        <f aca="false">IF(OR($E528="",$E528=0),"",$H528/$E528)</f>
        <v/>
      </c>
      <c r="M528" s="10" t="str">
        <f aca="false">IF(OR($L528="",$L528=0),"",($I528/30)/$L528)</f>
        <v/>
      </c>
      <c r="N528" s="8"/>
      <c r="O528" s="11" t="str">
        <f aca="false">IF(OR($I528="",$N528=""),"",($I528/1000)*$N528)</f>
        <v/>
      </c>
      <c r="P528" s="12" t="str">
        <f aca="false">IF($C528="","",IFERROR(ROUND(MIN(25,($N528/Instellingen!$B$3)*25)+MIN(25,($I528/Instellingen!$B$4)*25)+MIN(25,($J528/Instellingen!$B$5)*25)+MIN(25,(IF($M528="",0,$M528)/Instellingen!$B$6)*25),0),""))</f>
        <v/>
      </c>
      <c r="Q528" s="13" t="str">
        <f aca="false">IF($P528="","",IF($P528&gt;=Instellingen!$B$7,"Sterke niche",IF($P528&gt;=Instellingen!$B$8,"Belofte - opvolgen",IF($P528&gt;=Instellingen!$B$9,"Zwak - twijfel","Vermijden"))))</f>
        <v/>
      </c>
      <c r="R528" s="5"/>
      <c r="T528" s="1" t="str">
        <f aca="false">IF($C528="","",IF($P528=_xlfn.MAXIFS($P$3:$P$1000,$B$3:$B$1000,$B528),"★ Cash cow – handmatig onderzoeken",""))</f>
        <v/>
      </c>
    </row>
    <row r="529" customFormat="false" ht="14.25" hidden="false" customHeight="true" outlineLevel="0" collapsed="false">
      <c r="A529" s="4"/>
      <c r="B529" s="5"/>
      <c r="C529" s="5"/>
      <c r="D529" s="5"/>
      <c r="E529" s="6"/>
      <c r="F529" s="7"/>
      <c r="G529" s="8"/>
      <c r="H529" s="7"/>
      <c r="I529" s="7"/>
      <c r="J529" s="6"/>
      <c r="K529" s="9" t="str">
        <f aca="false">IF(OR($J529="",$J529=0),"",$I529/$J529)</f>
        <v/>
      </c>
      <c r="L529" s="9" t="str">
        <f aca="false">IF(OR($E529="",$E529=0),"",$H529/$E529)</f>
        <v/>
      </c>
      <c r="M529" s="10" t="str">
        <f aca="false">IF(OR($L529="",$L529=0),"",($I529/30)/$L529)</f>
        <v/>
      </c>
      <c r="N529" s="8"/>
      <c r="O529" s="11" t="str">
        <f aca="false">IF(OR($I529="",$N529=""),"",($I529/1000)*$N529)</f>
        <v/>
      </c>
      <c r="P529" s="12" t="str">
        <f aca="false">IF($C529="","",IFERROR(ROUND(MIN(25,($N529/Instellingen!$B$3)*25)+MIN(25,($I529/Instellingen!$B$4)*25)+MIN(25,($J529/Instellingen!$B$5)*25)+MIN(25,(IF($M529="",0,$M529)/Instellingen!$B$6)*25),0),""))</f>
        <v/>
      </c>
      <c r="Q529" s="13" t="str">
        <f aca="false">IF($P529="","",IF($P529&gt;=Instellingen!$B$7,"Sterke niche",IF($P529&gt;=Instellingen!$B$8,"Belofte - opvolgen",IF($P529&gt;=Instellingen!$B$9,"Zwak - twijfel","Vermijden"))))</f>
        <v/>
      </c>
      <c r="R529" s="5"/>
      <c r="T529" s="1" t="str">
        <f aca="false">IF($C529="","",IF($P529=_xlfn.MAXIFS($P$3:$P$1000,$B$3:$B$1000,$B529),"★ Cash cow – handmatig onderzoeken",""))</f>
        <v/>
      </c>
    </row>
    <row r="530" customFormat="false" ht="14.25" hidden="false" customHeight="true" outlineLevel="0" collapsed="false">
      <c r="A530" s="4"/>
      <c r="B530" s="5"/>
      <c r="C530" s="5"/>
      <c r="D530" s="5"/>
      <c r="E530" s="6"/>
      <c r="F530" s="7"/>
      <c r="G530" s="8"/>
      <c r="H530" s="7"/>
      <c r="I530" s="7"/>
      <c r="J530" s="6"/>
      <c r="K530" s="9" t="str">
        <f aca="false">IF(OR($J530="",$J530=0),"",$I530/$J530)</f>
        <v/>
      </c>
      <c r="L530" s="9" t="str">
        <f aca="false">IF(OR($E530="",$E530=0),"",$H530/$E530)</f>
        <v/>
      </c>
      <c r="M530" s="10" t="str">
        <f aca="false">IF(OR($L530="",$L530=0),"",($I530/30)/$L530)</f>
        <v/>
      </c>
      <c r="N530" s="8"/>
      <c r="O530" s="11" t="str">
        <f aca="false">IF(OR($I530="",$N530=""),"",($I530/1000)*$N530)</f>
        <v/>
      </c>
      <c r="P530" s="12" t="str">
        <f aca="false">IF($C530="","",IFERROR(ROUND(MIN(25,($N530/Instellingen!$B$3)*25)+MIN(25,($I530/Instellingen!$B$4)*25)+MIN(25,($J530/Instellingen!$B$5)*25)+MIN(25,(IF($M530="",0,$M530)/Instellingen!$B$6)*25),0),""))</f>
        <v/>
      </c>
      <c r="Q530" s="13" t="str">
        <f aca="false">IF($P530="","",IF($P530&gt;=Instellingen!$B$7,"Sterke niche",IF($P530&gt;=Instellingen!$B$8,"Belofte - opvolgen",IF($P530&gt;=Instellingen!$B$9,"Zwak - twijfel","Vermijden"))))</f>
        <v/>
      </c>
      <c r="R530" s="5"/>
      <c r="T530" s="1" t="str">
        <f aca="false">IF($C530="","",IF($P530=_xlfn.MAXIFS($P$3:$P$1000,$B$3:$B$1000,$B530),"★ Cash cow – handmatig onderzoeken",""))</f>
        <v/>
      </c>
    </row>
    <row r="531" customFormat="false" ht="14.25" hidden="false" customHeight="true" outlineLevel="0" collapsed="false">
      <c r="A531" s="4"/>
      <c r="B531" s="5"/>
      <c r="C531" s="5"/>
      <c r="D531" s="5"/>
      <c r="E531" s="6"/>
      <c r="F531" s="7"/>
      <c r="G531" s="8"/>
      <c r="H531" s="7"/>
      <c r="I531" s="7"/>
      <c r="J531" s="6"/>
      <c r="K531" s="9" t="str">
        <f aca="false">IF(OR($J531="",$J531=0),"",$I531/$J531)</f>
        <v/>
      </c>
      <c r="L531" s="9" t="str">
        <f aca="false">IF(OR($E531="",$E531=0),"",$H531/$E531)</f>
        <v/>
      </c>
      <c r="M531" s="10" t="str">
        <f aca="false">IF(OR($L531="",$L531=0),"",($I531/30)/$L531)</f>
        <v/>
      </c>
      <c r="N531" s="8"/>
      <c r="O531" s="11" t="str">
        <f aca="false">IF(OR($I531="",$N531=""),"",($I531/1000)*$N531)</f>
        <v/>
      </c>
      <c r="P531" s="12" t="str">
        <f aca="false">IF($C531="","",IFERROR(ROUND(MIN(25,($N531/Instellingen!$B$3)*25)+MIN(25,($I531/Instellingen!$B$4)*25)+MIN(25,($J531/Instellingen!$B$5)*25)+MIN(25,(IF($M531="",0,$M531)/Instellingen!$B$6)*25),0),""))</f>
        <v/>
      </c>
      <c r="Q531" s="13" t="str">
        <f aca="false">IF($P531="","",IF($P531&gt;=Instellingen!$B$7,"Sterke niche",IF($P531&gt;=Instellingen!$B$8,"Belofte - opvolgen",IF($P531&gt;=Instellingen!$B$9,"Zwak - twijfel","Vermijden"))))</f>
        <v/>
      </c>
      <c r="R531" s="5"/>
      <c r="T531" s="1" t="str">
        <f aca="false">IF($C531="","",IF($P531=_xlfn.MAXIFS($P$3:$P$1000,$B$3:$B$1000,$B531),"★ Cash cow – handmatig onderzoeken",""))</f>
        <v/>
      </c>
    </row>
    <row r="532" customFormat="false" ht="14.25" hidden="false" customHeight="true" outlineLevel="0" collapsed="false">
      <c r="A532" s="4"/>
      <c r="B532" s="5"/>
      <c r="C532" s="5"/>
      <c r="D532" s="5"/>
      <c r="E532" s="6"/>
      <c r="F532" s="7"/>
      <c r="G532" s="8"/>
      <c r="H532" s="7"/>
      <c r="I532" s="7"/>
      <c r="J532" s="6"/>
      <c r="K532" s="9" t="str">
        <f aca="false">IF(OR($J532="",$J532=0),"",$I532/$J532)</f>
        <v/>
      </c>
      <c r="L532" s="9" t="str">
        <f aca="false">IF(OR($E532="",$E532=0),"",$H532/$E532)</f>
        <v/>
      </c>
      <c r="M532" s="10" t="str">
        <f aca="false">IF(OR($L532="",$L532=0),"",($I532/30)/$L532)</f>
        <v/>
      </c>
      <c r="N532" s="8"/>
      <c r="O532" s="11" t="str">
        <f aca="false">IF(OR($I532="",$N532=""),"",($I532/1000)*$N532)</f>
        <v/>
      </c>
      <c r="P532" s="12" t="str">
        <f aca="false">IF($C532="","",IFERROR(ROUND(MIN(25,($N532/Instellingen!$B$3)*25)+MIN(25,($I532/Instellingen!$B$4)*25)+MIN(25,($J532/Instellingen!$B$5)*25)+MIN(25,(IF($M532="",0,$M532)/Instellingen!$B$6)*25),0),""))</f>
        <v/>
      </c>
      <c r="Q532" s="13" t="str">
        <f aca="false">IF($P532="","",IF($P532&gt;=Instellingen!$B$7,"Sterke niche",IF($P532&gt;=Instellingen!$B$8,"Belofte - opvolgen",IF($P532&gt;=Instellingen!$B$9,"Zwak - twijfel","Vermijden"))))</f>
        <v/>
      </c>
      <c r="R532" s="5"/>
      <c r="T532" s="1" t="str">
        <f aca="false">IF($C532="","",IF($P532=_xlfn.MAXIFS($P$3:$P$1000,$B$3:$B$1000,$B532),"★ Cash cow – handmatig onderzoeken",""))</f>
        <v/>
      </c>
    </row>
    <row r="533" customFormat="false" ht="14.25" hidden="false" customHeight="true" outlineLevel="0" collapsed="false">
      <c r="A533" s="4"/>
      <c r="B533" s="5"/>
      <c r="C533" s="5"/>
      <c r="D533" s="5"/>
      <c r="E533" s="6"/>
      <c r="F533" s="7"/>
      <c r="G533" s="8"/>
      <c r="H533" s="7"/>
      <c r="I533" s="7"/>
      <c r="J533" s="6"/>
      <c r="K533" s="9" t="str">
        <f aca="false">IF(OR($J533="",$J533=0),"",$I533/$J533)</f>
        <v/>
      </c>
      <c r="L533" s="9" t="str">
        <f aca="false">IF(OR($E533="",$E533=0),"",$H533/$E533)</f>
        <v/>
      </c>
      <c r="M533" s="10" t="str">
        <f aca="false">IF(OR($L533="",$L533=0),"",($I533/30)/$L533)</f>
        <v/>
      </c>
      <c r="N533" s="8"/>
      <c r="O533" s="11" t="str">
        <f aca="false">IF(OR($I533="",$N533=""),"",($I533/1000)*$N533)</f>
        <v/>
      </c>
      <c r="P533" s="12" t="str">
        <f aca="false">IF($C533="","",IFERROR(ROUND(MIN(25,($N533/Instellingen!$B$3)*25)+MIN(25,($I533/Instellingen!$B$4)*25)+MIN(25,($J533/Instellingen!$B$5)*25)+MIN(25,(IF($M533="",0,$M533)/Instellingen!$B$6)*25),0),""))</f>
        <v/>
      </c>
      <c r="Q533" s="13" t="str">
        <f aca="false">IF($P533="","",IF($P533&gt;=Instellingen!$B$7,"Sterke niche",IF($P533&gt;=Instellingen!$B$8,"Belofte - opvolgen",IF($P533&gt;=Instellingen!$B$9,"Zwak - twijfel","Vermijden"))))</f>
        <v/>
      </c>
      <c r="R533" s="5"/>
      <c r="T533" s="1" t="str">
        <f aca="false">IF($C533="","",IF($P533=_xlfn.MAXIFS($P$3:$P$1000,$B$3:$B$1000,$B533),"★ Cash cow – handmatig onderzoeken",""))</f>
        <v/>
      </c>
    </row>
    <row r="534" customFormat="false" ht="14.25" hidden="false" customHeight="true" outlineLevel="0" collapsed="false">
      <c r="A534" s="4"/>
      <c r="B534" s="5"/>
      <c r="C534" s="5"/>
      <c r="D534" s="5"/>
      <c r="E534" s="6"/>
      <c r="F534" s="7"/>
      <c r="G534" s="8"/>
      <c r="H534" s="7"/>
      <c r="I534" s="7"/>
      <c r="J534" s="6"/>
      <c r="K534" s="9" t="str">
        <f aca="false">IF(OR($J534="",$J534=0),"",$I534/$J534)</f>
        <v/>
      </c>
      <c r="L534" s="9" t="str">
        <f aca="false">IF(OR($E534="",$E534=0),"",$H534/$E534)</f>
        <v/>
      </c>
      <c r="M534" s="10" t="str">
        <f aca="false">IF(OR($L534="",$L534=0),"",($I534/30)/$L534)</f>
        <v/>
      </c>
      <c r="N534" s="8"/>
      <c r="O534" s="11" t="str">
        <f aca="false">IF(OR($I534="",$N534=""),"",($I534/1000)*$N534)</f>
        <v/>
      </c>
      <c r="P534" s="12" t="str">
        <f aca="false">IF($C534="","",IFERROR(ROUND(MIN(25,($N534/Instellingen!$B$3)*25)+MIN(25,($I534/Instellingen!$B$4)*25)+MIN(25,($J534/Instellingen!$B$5)*25)+MIN(25,(IF($M534="",0,$M534)/Instellingen!$B$6)*25),0),""))</f>
        <v/>
      </c>
      <c r="Q534" s="13" t="str">
        <f aca="false">IF($P534="","",IF($P534&gt;=Instellingen!$B$7,"Sterke niche",IF($P534&gt;=Instellingen!$B$8,"Belofte - opvolgen",IF($P534&gt;=Instellingen!$B$9,"Zwak - twijfel","Vermijden"))))</f>
        <v/>
      </c>
      <c r="R534" s="5"/>
      <c r="T534" s="1" t="str">
        <f aca="false">IF($C534="","",IF($P534=_xlfn.MAXIFS($P$3:$P$1000,$B$3:$B$1000,$B534),"★ Cash cow – handmatig onderzoeken",""))</f>
        <v/>
      </c>
    </row>
    <row r="535" customFormat="false" ht="14.25" hidden="false" customHeight="true" outlineLevel="0" collapsed="false">
      <c r="A535" s="4"/>
      <c r="B535" s="5"/>
      <c r="C535" s="5"/>
      <c r="D535" s="5"/>
      <c r="E535" s="6"/>
      <c r="F535" s="7"/>
      <c r="G535" s="8"/>
      <c r="H535" s="7"/>
      <c r="I535" s="7"/>
      <c r="J535" s="6"/>
      <c r="K535" s="9" t="str">
        <f aca="false">IF(OR($J535="",$J535=0),"",$I535/$J535)</f>
        <v/>
      </c>
      <c r="L535" s="9" t="str">
        <f aca="false">IF(OR($E535="",$E535=0),"",$H535/$E535)</f>
        <v/>
      </c>
      <c r="M535" s="10" t="str">
        <f aca="false">IF(OR($L535="",$L535=0),"",($I535/30)/$L535)</f>
        <v/>
      </c>
      <c r="N535" s="8"/>
      <c r="O535" s="11" t="str">
        <f aca="false">IF(OR($I535="",$N535=""),"",($I535/1000)*$N535)</f>
        <v/>
      </c>
      <c r="P535" s="12" t="str">
        <f aca="false">IF($C535="","",IFERROR(ROUND(MIN(25,($N535/Instellingen!$B$3)*25)+MIN(25,($I535/Instellingen!$B$4)*25)+MIN(25,($J535/Instellingen!$B$5)*25)+MIN(25,(IF($M535="",0,$M535)/Instellingen!$B$6)*25),0),""))</f>
        <v/>
      </c>
      <c r="Q535" s="13" t="str">
        <f aca="false">IF($P535="","",IF($P535&gt;=Instellingen!$B$7,"Sterke niche",IF($P535&gt;=Instellingen!$B$8,"Belofte - opvolgen",IF($P535&gt;=Instellingen!$B$9,"Zwak - twijfel","Vermijden"))))</f>
        <v/>
      </c>
      <c r="R535" s="5"/>
      <c r="T535" s="1" t="str">
        <f aca="false">IF($C535="","",IF($P535=_xlfn.MAXIFS($P$3:$P$1000,$B$3:$B$1000,$B535),"★ Cash cow – handmatig onderzoeken",""))</f>
        <v/>
      </c>
    </row>
    <row r="536" customFormat="false" ht="14.25" hidden="false" customHeight="true" outlineLevel="0" collapsed="false">
      <c r="A536" s="4"/>
      <c r="B536" s="5"/>
      <c r="C536" s="5"/>
      <c r="D536" s="5"/>
      <c r="E536" s="6"/>
      <c r="F536" s="7"/>
      <c r="G536" s="8"/>
      <c r="H536" s="7"/>
      <c r="I536" s="7"/>
      <c r="J536" s="6"/>
      <c r="K536" s="9" t="str">
        <f aca="false">IF(OR($J536="",$J536=0),"",$I536/$J536)</f>
        <v/>
      </c>
      <c r="L536" s="9" t="str">
        <f aca="false">IF(OR($E536="",$E536=0),"",$H536/$E536)</f>
        <v/>
      </c>
      <c r="M536" s="10" t="str">
        <f aca="false">IF(OR($L536="",$L536=0),"",($I536/30)/$L536)</f>
        <v/>
      </c>
      <c r="N536" s="8"/>
      <c r="O536" s="11" t="str">
        <f aca="false">IF(OR($I536="",$N536=""),"",($I536/1000)*$N536)</f>
        <v/>
      </c>
      <c r="P536" s="12" t="str">
        <f aca="false">IF($C536="","",IFERROR(ROUND(MIN(25,($N536/Instellingen!$B$3)*25)+MIN(25,($I536/Instellingen!$B$4)*25)+MIN(25,($J536/Instellingen!$B$5)*25)+MIN(25,(IF($M536="",0,$M536)/Instellingen!$B$6)*25),0),""))</f>
        <v/>
      </c>
      <c r="Q536" s="13" t="str">
        <f aca="false">IF($P536="","",IF($P536&gt;=Instellingen!$B$7,"Sterke niche",IF($P536&gt;=Instellingen!$B$8,"Belofte - opvolgen",IF($P536&gt;=Instellingen!$B$9,"Zwak - twijfel","Vermijden"))))</f>
        <v/>
      </c>
      <c r="R536" s="5"/>
      <c r="T536" s="1" t="str">
        <f aca="false">IF($C536="","",IF($P536=_xlfn.MAXIFS($P$3:$P$1000,$B$3:$B$1000,$B536),"★ Cash cow – handmatig onderzoeken",""))</f>
        <v/>
      </c>
    </row>
    <row r="537" customFormat="false" ht="14.25" hidden="false" customHeight="true" outlineLevel="0" collapsed="false">
      <c r="A537" s="4"/>
      <c r="B537" s="5"/>
      <c r="C537" s="5"/>
      <c r="D537" s="5"/>
      <c r="E537" s="6"/>
      <c r="F537" s="7"/>
      <c r="G537" s="8"/>
      <c r="H537" s="7"/>
      <c r="I537" s="7"/>
      <c r="J537" s="6"/>
      <c r="K537" s="9" t="str">
        <f aca="false">IF(OR($J537="",$J537=0),"",$I537/$J537)</f>
        <v/>
      </c>
      <c r="L537" s="9" t="str">
        <f aca="false">IF(OR($E537="",$E537=0),"",$H537/$E537)</f>
        <v/>
      </c>
      <c r="M537" s="10" t="str">
        <f aca="false">IF(OR($L537="",$L537=0),"",($I537/30)/$L537)</f>
        <v/>
      </c>
      <c r="N537" s="8"/>
      <c r="O537" s="11" t="str">
        <f aca="false">IF(OR($I537="",$N537=""),"",($I537/1000)*$N537)</f>
        <v/>
      </c>
      <c r="P537" s="12" t="str">
        <f aca="false">IF($C537="","",IFERROR(ROUND(MIN(25,($N537/Instellingen!$B$3)*25)+MIN(25,($I537/Instellingen!$B$4)*25)+MIN(25,($J537/Instellingen!$B$5)*25)+MIN(25,(IF($M537="",0,$M537)/Instellingen!$B$6)*25),0),""))</f>
        <v/>
      </c>
      <c r="Q537" s="13" t="str">
        <f aca="false">IF($P537="","",IF($P537&gt;=Instellingen!$B$7,"Sterke niche",IF($P537&gt;=Instellingen!$B$8,"Belofte - opvolgen",IF($P537&gt;=Instellingen!$B$9,"Zwak - twijfel","Vermijden"))))</f>
        <v/>
      </c>
      <c r="R537" s="5"/>
      <c r="T537" s="1" t="str">
        <f aca="false">IF($C537="","",IF($P537=_xlfn.MAXIFS($P$3:$P$1000,$B$3:$B$1000,$B537),"★ Cash cow – handmatig onderzoeken",""))</f>
        <v/>
      </c>
    </row>
    <row r="538" customFormat="false" ht="14.25" hidden="false" customHeight="true" outlineLevel="0" collapsed="false">
      <c r="A538" s="4"/>
      <c r="B538" s="5"/>
      <c r="C538" s="5"/>
      <c r="D538" s="5"/>
      <c r="E538" s="6"/>
      <c r="F538" s="7"/>
      <c r="G538" s="8"/>
      <c r="H538" s="7"/>
      <c r="I538" s="7"/>
      <c r="J538" s="6"/>
      <c r="K538" s="9" t="str">
        <f aca="false">IF(OR($J538="",$J538=0),"",$I538/$J538)</f>
        <v/>
      </c>
      <c r="L538" s="9" t="str">
        <f aca="false">IF(OR($E538="",$E538=0),"",$H538/$E538)</f>
        <v/>
      </c>
      <c r="M538" s="10" t="str">
        <f aca="false">IF(OR($L538="",$L538=0),"",($I538/30)/$L538)</f>
        <v/>
      </c>
      <c r="N538" s="8"/>
      <c r="O538" s="11" t="str">
        <f aca="false">IF(OR($I538="",$N538=""),"",($I538/1000)*$N538)</f>
        <v/>
      </c>
      <c r="P538" s="12" t="str">
        <f aca="false">IF($C538="","",IFERROR(ROUND(MIN(25,($N538/Instellingen!$B$3)*25)+MIN(25,($I538/Instellingen!$B$4)*25)+MIN(25,($J538/Instellingen!$B$5)*25)+MIN(25,(IF($M538="",0,$M538)/Instellingen!$B$6)*25),0),""))</f>
        <v/>
      </c>
      <c r="Q538" s="13" t="str">
        <f aca="false">IF($P538="","",IF($P538&gt;=Instellingen!$B$7,"Sterke niche",IF($P538&gt;=Instellingen!$B$8,"Belofte - opvolgen",IF($P538&gt;=Instellingen!$B$9,"Zwak - twijfel","Vermijden"))))</f>
        <v/>
      </c>
      <c r="R538" s="5"/>
      <c r="T538" s="1" t="str">
        <f aca="false">IF($C538="","",IF($P538=_xlfn.MAXIFS($P$3:$P$1000,$B$3:$B$1000,$B538),"★ Cash cow – handmatig onderzoeken",""))</f>
        <v/>
      </c>
    </row>
    <row r="539" customFormat="false" ht="14.25" hidden="false" customHeight="true" outlineLevel="0" collapsed="false">
      <c r="A539" s="4"/>
      <c r="B539" s="5"/>
      <c r="C539" s="5"/>
      <c r="D539" s="5"/>
      <c r="E539" s="6"/>
      <c r="F539" s="7"/>
      <c r="G539" s="8"/>
      <c r="H539" s="7"/>
      <c r="I539" s="7"/>
      <c r="J539" s="6"/>
      <c r="K539" s="9" t="str">
        <f aca="false">IF(OR($J539="",$J539=0),"",$I539/$J539)</f>
        <v/>
      </c>
      <c r="L539" s="9" t="str">
        <f aca="false">IF(OR($E539="",$E539=0),"",$H539/$E539)</f>
        <v/>
      </c>
      <c r="M539" s="10" t="str">
        <f aca="false">IF(OR($L539="",$L539=0),"",($I539/30)/$L539)</f>
        <v/>
      </c>
      <c r="N539" s="8"/>
      <c r="O539" s="11" t="str">
        <f aca="false">IF(OR($I539="",$N539=""),"",($I539/1000)*$N539)</f>
        <v/>
      </c>
      <c r="P539" s="12" t="str">
        <f aca="false">IF($C539="","",IFERROR(ROUND(MIN(25,($N539/Instellingen!$B$3)*25)+MIN(25,($I539/Instellingen!$B$4)*25)+MIN(25,($J539/Instellingen!$B$5)*25)+MIN(25,(IF($M539="",0,$M539)/Instellingen!$B$6)*25),0),""))</f>
        <v/>
      </c>
      <c r="Q539" s="13" t="str">
        <f aca="false">IF($P539="","",IF($P539&gt;=Instellingen!$B$7,"Sterke niche",IF($P539&gt;=Instellingen!$B$8,"Belofte - opvolgen",IF($P539&gt;=Instellingen!$B$9,"Zwak - twijfel","Vermijden"))))</f>
        <v/>
      </c>
      <c r="R539" s="5"/>
      <c r="T539" s="1" t="str">
        <f aca="false">IF($C539="","",IF($P539=_xlfn.MAXIFS($P$3:$P$1000,$B$3:$B$1000,$B539),"★ Cash cow – handmatig onderzoeken",""))</f>
        <v/>
      </c>
    </row>
    <row r="540" customFormat="false" ht="14.25" hidden="false" customHeight="true" outlineLevel="0" collapsed="false">
      <c r="A540" s="4"/>
      <c r="B540" s="5"/>
      <c r="C540" s="5"/>
      <c r="D540" s="5"/>
      <c r="E540" s="6"/>
      <c r="F540" s="7"/>
      <c r="G540" s="8"/>
      <c r="H540" s="7"/>
      <c r="I540" s="7"/>
      <c r="J540" s="6"/>
      <c r="K540" s="9" t="str">
        <f aca="false">IF(OR($J540="",$J540=0),"",$I540/$J540)</f>
        <v/>
      </c>
      <c r="L540" s="9" t="str">
        <f aca="false">IF(OR($E540="",$E540=0),"",$H540/$E540)</f>
        <v/>
      </c>
      <c r="M540" s="10" t="str">
        <f aca="false">IF(OR($L540="",$L540=0),"",($I540/30)/$L540)</f>
        <v/>
      </c>
      <c r="N540" s="8"/>
      <c r="O540" s="11" t="str">
        <f aca="false">IF(OR($I540="",$N540=""),"",($I540/1000)*$N540)</f>
        <v/>
      </c>
      <c r="P540" s="12" t="str">
        <f aca="false">IF($C540="","",IFERROR(ROUND(MIN(25,($N540/Instellingen!$B$3)*25)+MIN(25,($I540/Instellingen!$B$4)*25)+MIN(25,($J540/Instellingen!$B$5)*25)+MIN(25,(IF($M540="",0,$M540)/Instellingen!$B$6)*25),0),""))</f>
        <v/>
      </c>
      <c r="Q540" s="13" t="str">
        <f aca="false">IF($P540="","",IF($P540&gt;=Instellingen!$B$7,"Sterke niche",IF($P540&gt;=Instellingen!$B$8,"Belofte - opvolgen",IF($P540&gt;=Instellingen!$B$9,"Zwak - twijfel","Vermijden"))))</f>
        <v/>
      </c>
      <c r="R540" s="5"/>
      <c r="T540" s="1" t="str">
        <f aca="false">IF($C540="","",IF($P540=_xlfn.MAXIFS($P$3:$P$1000,$B$3:$B$1000,$B540),"★ Cash cow – handmatig onderzoeken",""))</f>
        <v/>
      </c>
    </row>
    <row r="541" customFormat="false" ht="14.25" hidden="false" customHeight="true" outlineLevel="0" collapsed="false">
      <c r="A541" s="4"/>
      <c r="B541" s="5"/>
      <c r="C541" s="5"/>
      <c r="D541" s="5"/>
      <c r="E541" s="6"/>
      <c r="F541" s="7"/>
      <c r="G541" s="8"/>
      <c r="H541" s="7"/>
      <c r="I541" s="7"/>
      <c r="J541" s="6"/>
      <c r="K541" s="9" t="str">
        <f aca="false">IF(OR($J541="",$J541=0),"",$I541/$J541)</f>
        <v/>
      </c>
      <c r="L541" s="9" t="str">
        <f aca="false">IF(OR($E541="",$E541=0),"",$H541/$E541)</f>
        <v/>
      </c>
      <c r="M541" s="10" t="str">
        <f aca="false">IF(OR($L541="",$L541=0),"",($I541/30)/$L541)</f>
        <v/>
      </c>
      <c r="N541" s="8"/>
      <c r="O541" s="11" t="str">
        <f aca="false">IF(OR($I541="",$N541=""),"",($I541/1000)*$N541)</f>
        <v/>
      </c>
      <c r="P541" s="12" t="str">
        <f aca="false">IF($C541="","",IFERROR(ROUND(MIN(25,($N541/Instellingen!$B$3)*25)+MIN(25,($I541/Instellingen!$B$4)*25)+MIN(25,($J541/Instellingen!$B$5)*25)+MIN(25,(IF($M541="",0,$M541)/Instellingen!$B$6)*25),0),""))</f>
        <v/>
      </c>
      <c r="Q541" s="13" t="str">
        <f aca="false">IF($P541="","",IF($P541&gt;=Instellingen!$B$7,"Sterke niche",IF($P541&gt;=Instellingen!$B$8,"Belofte - opvolgen",IF($P541&gt;=Instellingen!$B$9,"Zwak - twijfel","Vermijden"))))</f>
        <v/>
      </c>
      <c r="R541" s="5"/>
      <c r="T541" s="1" t="str">
        <f aca="false">IF($C541="","",IF($P541=_xlfn.MAXIFS($P$3:$P$1000,$B$3:$B$1000,$B541),"★ Cash cow – handmatig onderzoeken",""))</f>
        <v/>
      </c>
    </row>
    <row r="542" customFormat="false" ht="14.25" hidden="false" customHeight="true" outlineLevel="0" collapsed="false">
      <c r="A542" s="4"/>
      <c r="B542" s="5"/>
      <c r="C542" s="5"/>
      <c r="D542" s="5"/>
      <c r="E542" s="6"/>
      <c r="F542" s="7"/>
      <c r="G542" s="8"/>
      <c r="H542" s="7"/>
      <c r="I542" s="7"/>
      <c r="J542" s="6"/>
      <c r="K542" s="9" t="str">
        <f aca="false">IF(OR($J542="",$J542=0),"",$I542/$J542)</f>
        <v/>
      </c>
      <c r="L542" s="9" t="str">
        <f aca="false">IF(OR($E542="",$E542=0),"",$H542/$E542)</f>
        <v/>
      </c>
      <c r="M542" s="10" t="str">
        <f aca="false">IF(OR($L542="",$L542=0),"",($I542/30)/$L542)</f>
        <v/>
      </c>
      <c r="N542" s="8"/>
      <c r="O542" s="11" t="str">
        <f aca="false">IF(OR($I542="",$N542=""),"",($I542/1000)*$N542)</f>
        <v/>
      </c>
      <c r="P542" s="12" t="str">
        <f aca="false">IF($C542="","",IFERROR(ROUND(MIN(25,($N542/Instellingen!$B$3)*25)+MIN(25,($I542/Instellingen!$B$4)*25)+MIN(25,($J542/Instellingen!$B$5)*25)+MIN(25,(IF($M542="",0,$M542)/Instellingen!$B$6)*25),0),""))</f>
        <v/>
      </c>
      <c r="Q542" s="13" t="str">
        <f aca="false">IF($P542="","",IF($P542&gt;=Instellingen!$B$7,"Sterke niche",IF($P542&gt;=Instellingen!$B$8,"Belofte - opvolgen",IF($P542&gt;=Instellingen!$B$9,"Zwak - twijfel","Vermijden"))))</f>
        <v/>
      </c>
      <c r="R542" s="5"/>
      <c r="T542" s="1" t="str">
        <f aca="false">IF($C542="","",IF($P542=_xlfn.MAXIFS($P$3:$P$1000,$B$3:$B$1000,$B542),"★ Cash cow – handmatig onderzoeken",""))</f>
        <v/>
      </c>
    </row>
    <row r="543" customFormat="false" ht="14.25" hidden="false" customHeight="true" outlineLevel="0" collapsed="false">
      <c r="A543" s="4"/>
      <c r="B543" s="5"/>
      <c r="C543" s="5"/>
      <c r="D543" s="5"/>
      <c r="E543" s="6"/>
      <c r="F543" s="7"/>
      <c r="G543" s="8"/>
      <c r="H543" s="7"/>
      <c r="I543" s="7"/>
      <c r="J543" s="6"/>
      <c r="K543" s="9" t="str">
        <f aca="false">IF(OR($J543="",$J543=0),"",$I543/$J543)</f>
        <v/>
      </c>
      <c r="L543" s="9" t="str">
        <f aca="false">IF(OR($E543="",$E543=0),"",$H543/$E543)</f>
        <v/>
      </c>
      <c r="M543" s="10" t="str">
        <f aca="false">IF(OR($L543="",$L543=0),"",($I543/30)/$L543)</f>
        <v/>
      </c>
      <c r="N543" s="8"/>
      <c r="O543" s="11" t="str">
        <f aca="false">IF(OR($I543="",$N543=""),"",($I543/1000)*$N543)</f>
        <v/>
      </c>
      <c r="P543" s="12" t="str">
        <f aca="false">IF($C543="","",IFERROR(ROUND(MIN(25,($N543/Instellingen!$B$3)*25)+MIN(25,($I543/Instellingen!$B$4)*25)+MIN(25,($J543/Instellingen!$B$5)*25)+MIN(25,(IF($M543="",0,$M543)/Instellingen!$B$6)*25),0),""))</f>
        <v/>
      </c>
      <c r="Q543" s="13" t="str">
        <f aca="false">IF($P543="","",IF($P543&gt;=Instellingen!$B$7,"Sterke niche",IF($P543&gt;=Instellingen!$B$8,"Belofte - opvolgen",IF($P543&gt;=Instellingen!$B$9,"Zwak - twijfel","Vermijden"))))</f>
        <v/>
      </c>
      <c r="R543" s="5"/>
      <c r="T543" s="1" t="str">
        <f aca="false">IF($C543="","",IF($P543=_xlfn.MAXIFS($P$3:$P$1000,$B$3:$B$1000,$B543),"★ Cash cow – handmatig onderzoeken",""))</f>
        <v/>
      </c>
    </row>
    <row r="544" customFormat="false" ht="14.25" hidden="false" customHeight="true" outlineLevel="0" collapsed="false">
      <c r="A544" s="4"/>
      <c r="B544" s="5"/>
      <c r="C544" s="5"/>
      <c r="D544" s="5"/>
      <c r="E544" s="6"/>
      <c r="F544" s="7"/>
      <c r="G544" s="8"/>
      <c r="H544" s="7"/>
      <c r="I544" s="7"/>
      <c r="J544" s="6"/>
      <c r="K544" s="9" t="str">
        <f aca="false">IF(OR($J544="",$J544=0),"",$I544/$J544)</f>
        <v/>
      </c>
      <c r="L544" s="9" t="str">
        <f aca="false">IF(OR($E544="",$E544=0),"",$H544/$E544)</f>
        <v/>
      </c>
      <c r="M544" s="10" t="str">
        <f aca="false">IF(OR($L544="",$L544=0),"",($I544/30)/$L544)</f>
        <v/>
      </c>
      <c r="N544" s="8"/>
      <c r="O544" s="11" t="str">
        <f aca="false">IF(OR($I544="",$N544=""),"",($I544/1000)*$N544)</f>
        <v/>
      </c>
      <c r="P544" s="12" t="str">
        <f aca="false">IF($C544="","",IFERROR(ROUND(MIN(25,($N544/Instellingen!$B$3)*25)+MIN(25,($I544/Instellingen!$B$4)*25)+MIN(25,($J544/Instellingen!$B$5)*25)+MIN(25,(IF($M544="",0,$M544)/Instellingen!$B$6)*25),0),""))</f>
        <v/>
      </c>
      <c r="Q544" s="13" t="str">
        <f aca="false">IF($P544="","",IF($P544&gt;=Instellingen!$B$7,"Sterke niche",IF($P544&gt;=Instellingen!$B$8,"Belofte - opvolgen",IF($P544&gt;=Instellingen!$B$9,"Zwak - twijfel","Vermijden"))))</f>
        <v/>
      </c>
      <c r="R544" s="5"/>
      <c r="T544" s="1" t="str">
        <f aca="false">IF($C544="","",IF($P544=_xlfn.MAXIFS($P$3:$P$1000,$B$3:$B$1000,$B544),"★ Cash cow – handmatig onderzoeken",""))</f>
        <v/>
      </c>
    </row>
    <row r="545" customFormat="false" ht="14.25" hidden="false" customHeight="true" outlineLevel="0" collapsed="false">
      <c r="A545" s="4"/>
      <c r="B545" s="5"/>
      <c r="C545" s="5"/>
      <c r="D545" s="5"/>
      <c r="E545" s="6"/>
      <c r="F545" s="7"/>
      <c r="G545" s="8"/>
      <c r="H545" s="7"/>
      <c r="I545" s="7"/>
      <c r="J545" s="6"/>
      <c r="K545" s="9" t="str">
        <f aca="false">IF(OR($J545="",$J545=0),"",$I545/$J545)</f>
        <v/>
      </c>
      <c r="L545" s="9" t="str">
        <f aca="false">IF(OR($E545="",$E545=0),"",$H545/$E545)</f>
        <v/>
      </c>
      <c r="M545" s="10" t="str">
        <f aca="false">IF(OR($L545="",$L545=0),"",($I545/30)/$L545)</f>
        <v/>
      </c>
      <c r="N545" s="8"/>
      <c r="O545" s="11" t="str">
        <f aca="false">IF(OR($I545="",$N545=""),"",($I545/1000)*$N545)</f>
        <v/>
      </c>
      <c r="P545" s="12" t="str">
        <f aca="false">IF($C545="","",IFERROR(ROUND(MIN(25,($N545/Instellingen!$B$3)*25)+MIN(25,($I545/Instellingen!$B$4)*25)+MIN(25,($J545/Instellingen!$B$5)*25)+MIN(25,(IF($M545="",0,$M545)/Instellingen!$B$6)*25),0),""))</f>
        <v/>
      </c>
      <c r="Q545" s="13" t="str">
        <f aca="false">IF($P545="","",IF($P545&gt;=Instellingen!$B$7,"Sterke niche",IF($P545&gt;=Instellingen!$B$8,"Belofte - opvolgen",IF($P545&gt;=Instellingen!$B$9,"Zwak - twijfel","Vermijden"))))</f>
        <v/>
      </c>
      <c r="R545" s="5"/>
      <c r="T545" s="1" t="str">
        <f aca="false">IF($C545="","",IF($P545=_xlfn.MAXIFS($P$3:$P$1000,$B$3:$B$1000,$B545),"★ Cash cow – handmatig onderzoeken",""))</f>
        <v/>
      </c>
    </row>
    <row r="546" customFormat="false" ht="14.25" hidden="false" customHeight="true" outlineLevel="0" collapsed="false">
      <c r="A546" s="4"/>
      <c r="B546" s="5"/>
      <c r="C546" s="5"/>
      <c r="D546" s="5"/>
      <c r="E546" s="6"/>
      <c r="F546" s="7"/>
      <c r="G546" s="8"/>
      <c r="H546" s="7"/>
      <c r="I546" s="7"/>
      <c r="J546" s="6"/>
      <c r="K546" s="9" t="str">
        <f aca="false">IF(OR($J546="",$J546=0),"",$I546/$J546)</f>
        <v/>
      </c>
      <c r="L546" s="9" t="str">
        <f aca="false">IF(OR($E546="",$E546=0),"",$H546/$E546)</f>
        <v/>
      </c>
      <c r="M546" s="10" t="str">
        <f aca="false">IF(OR($L546="",$L546=0),"",($I546/30)/$L546)</f>
        <v/>
      </c>
      <c r="N546" s="8"/>
      <c r="O546" s="11" t="str">
        <f aca="false">IF(OR($I546="",$N546=""),"",($I546/1000)*$N546)</f>
        <v/>
      </c>
      <c r="P546" s="12" t="str">
        <f aca="false">IF($C546="","",IFERROR(ROUND(MIN(25,($N546/Instellingen!$B$3)*25)+MIN(25,($I546/Instellingen!$B$4)*25)+MIN(25,($J546/Instellingen!$B$5)*25)+MIN(25,(IF($M546="",0,$M546)/Instellingen!$B$6)*25),0),""))</f>
        <v/>
      </c>
      <c r="Q546" s="13" t="str">
        <f aca="false">IF($P546="","",IF($P546&gt;=Instellingen!$B$7,"Sterke niche",IF($P546&gt;=Instellingen!$B$8,"Belofte - opvolgen",IF($P546&gt;=Instellingen!$B$9,"Zwak - twijfel","Vermijden"))))</f>
        <v/>
      </c>
      <c r="R546" s="5"/>
      <c r="T546" s="1" t="str">
        <f aca="false">IF($C546="","",IF($P546=_xlfn.MAXIFS($P$3:$P$1000,$B$3:$B$1000,$B546),"★ Cash cow – handmatig onderzoeken",""))</f>
        <v/>
      </c>
    </row>
    <row r="547" customFormat="false" ht="14.25" hidden="false" customHeight="true" outlineLevel="0" collapsed="false">
      <c r="A547" s="4"/>
      <c r="B547" s="5"/>
      <c r="C547" s="5"/>
      <c r="D547" s="5"/>
      <c r="E547" s="6"/>
      <c r="F547" s="7"/>
      <c r="G547" s="8"/>
      <c r="H547" s="7"/>
      <c r="I547" s="7"/>
      <c r="J547" s="6"/>
      <c r="K547" s="9" t="str">
        <f aca="false">IF(OR($J547="",$J547=0),"",$I547/$J547)</f>
        <v/>
      </c>
      <c r="L547" s="9" t="str">
        <f aca="false">IF(OR($E547="",$E547=0),"",$H547/$E547)</f>
        <v/>
      </c>
      <c r="M547" s="10" t="str">
        <f aca="false">IF(OR($L547="",$L547=0),"",($I547/30)/$L547)</f>
        <v/>
      </c>
      <c r="N547" s="8"/>
      <c r="O547" s="11" t="str">
        <f aca="false">IF(OR($I547="",$N547=""),"",($I547/1000)*$N547)</f>
        <v/>
      </c>
      <c r="P547" s="12" t="str">
        <f aca="false">IF($C547="","",IFERROR(ROUND(MIN(25,($N547/Instellingen!$B$3)*25)+MIN(25,($I547/Instellingen!$B$4)*25)+MIN(25,($J547/Instellingen!$B$5)*25)+MIN(25,(IF($M547="",0,$M547)/Instellingen!$B$6)*25),0),""))</f>
        <v/>
      </c>
      <c r="Q547" s="13" t="str">
        <f aca="false">IF($P547="","",IF($P547&gt;=Instellingen!$B$7,"Sterke niche",IF($P547&gt;=Instellingen!$B$8,"Belofte - opvolgen",IF($P547&gt;=Instellingen!$B$9,"Zwak - twijfel","Vermijden"))))</f>
        <v/>
      </c>
      <c r="R547" s="5"/>
      <c r="T547" s="1" t="str">
        <f aca="false">IF($C547="","",IF($P547=_xlfn.MAXIFS($P$3:$P$1000,$B$3:$B$1000,$B547),"★ Cash cow – handmatig onderzoeken",""))</f>
        <v/>
      </c>
    </row>
    <row r="548" customFormat="false" ht="14.25" hidden="false" customHeight="true" outlineLevel="0" collapsed="false">
      <c r="A548" s="4"/>
      <c r="B548" s="5"/>
      <c r="C548" s="5"/>
      <c r="D548" s="5"/>
      <c r="E548" s="6"/>
      <c r="F548" s="7"/>
      <c r="G548" s="8"/>
      <c r="H548" s="7"/>
      <c r="I548" s="7"/>
      <c r="J548" s="6"/>
      <c r="K548" s="9" t="str">
        <f aca="false">IF(OR($J548="",$J548=0),"",$I548/$J548)</f>
        <v/>
      </c>
      <c r="L548" s="9" t="str">
        <f aca="false">IF(OR($E548="",$E548=0),"",$H548/$E548)</f>
        <v/>
      </c>
      <c r="M548" s="10" t="str">
        <f aca="false">IF(OR($L548="",$L548=0),"",($I548/30)/$L548)</f>
        <v/>
      </c>
      <c r="N548" s="8"/>
      <c r="O548" s="11" t="str">
        <f aca="false">IF(OR($I548="",$N548=""),"",($I548/1000)*$N548)</f>
        <v/>
      </c>
      <c r="P548" s="12" t="str">
        <f aca="false">IF($C548="","",IFERROR(ROUND(MIN(25,($N548/Instellingen!$B$3)*25)+MIN(25,($I548/Instellingen!$B$4)*25)+MIN(25,($J548/Instellingen!$B$5)*25)+MIN(25,(IF($M548="",0,$M548)/Instellingen!$B$6)*25),0),""))</f>
        <v/>
      </c>
      <c r="Q548" s="13" t="str">
        <f aca="false">IF($P548="","",IF($P548&gt;=Instellingen!$B$7,"Sterke niche",IF($P548&gt;=Instellingen!$B$8,"Belofte - opvolgen",IF($P548&gt;=Instellingen!$B$9,"Zwak - twijfel","Vermijden"))))</f>
        <v/>
      </c>
      <c r="R548" s="5"/>
      <c r="T548" s="1" t="str">
        <f aca="false">IF($C548="","",IF($P548=_xlfn.MAXIFS($P$3:$P$1000,$B$3:$B$1000,$B548),"★ Cash cow – handmatig onderzoeken",""))</f>
        <v/>
      </c>
    </row>
    <row r="549" customFormat="false" ht="14.25" hidden="false" customHeight="true" outlineLevel="0" collapsed="false">
      <c r="A549" s="4"/>
      <c r="B549" s="5"/>
      <c r="C549" s="5"/>
      <c r="D549" s="5"/>
      <c r="E549" s="6"/>
      <c r="F549" s="7"/>
      <c r="G549" s="8"/>
      <c r="H549" s="7"/>
      <c r="I549" s="7"/>
      <c r="J549" s="6"/>
      <c r="K549" s="9" t="str">
        <f aca="false">IF(OR($J549="",$J549=0),"",$I549/$J549)</f>
        <v/>
      </c>
      <c r="L549" s="9" t="str">
        <f aca="false">IF(OR($E549="",$E549=0),"",$H549/$E549)</f>
        <v/>
      </c>
      <c r="M549" s="10" t="str">
        <f aca="false">IF(OR($L549="",$L549=0),"",($I549/30)/$L549)</f>
        <v/>
      </c>
      <c r="N549" s="8"/>
      <c r="O549" s="11" t="str">
        <f aca="false">IF(OR($I549="",$N549=""),"",($I549/1000)*$N549)</f>
        <v/>
      </c>
      <c r="P549" s="12" t="str">
        <f aca="false">IF($C549="","",IFERROR(ROUND(MIN(25,($N549/Instellingen!$B$3)*25)+MIN(25,($I549/Instellingen!$B$4)*25)+MIN(25,($J549/Instellingen!$B$5)*25)+MIN(25,(IF($M549="",0,$M549)/Instellingen!$B$6)*25),0),""))</f>
        <v/>
      </c>
      <c r="Q549" s="13" t="str">
        <f aca="false">IF($P549="","",IF($P549&gt;=Instellingen!$B$7,"Sterke niche",IF($P549&gt;=Instellingen!$B$8,"Belofte - opvolgen",IF($P549&gt;=Instellingen!$B$9,"Zwak - twijfel","Vermijden"))))</f>
        <v/>
      </c>
      <c r="R549" s="5"/>
      <c r="T549" s="1" t="str">
        <f aca="false">IF($C549="","",IF($P549=_xlfn.MAXIFS($P$3:$P$1000,$B$3:$B$1000,$B549),"★ Cash cow – handmatig onderzoeken",""))</f>
        <v/>
      </c>
    </row>
    <row r="550" customFormat="false" ht="14.25" hidden="false" customHeight="true" outlineLevel="0" collapsed="false">
      <c r="A550" s="4"/>
      <c r="B550" s="5"/>
      <c r="C550" s="5"/>
      <c r="D550" s="5"/>
      <c r="E550" s="6"/>
      <c r="F550" s="7"/>
      <c r="G550" s="8"/>
      <c r="H550" s="7"/>
      <c r="I550" s="7"/>
      <c r="J550" s="6"/>
      <c r="K550" s="9" t="str">
        <f aca="false">IF(OR($J550="",$J550=0),"",$I550/$J550)</f>
        <v/>
      </c>
      <c r="L550" s="9" t="str">
        <f aca="false">IF(OR($E550="",$E550=0),"",$H550/$E550)</f>
        <v/>
      </c>
      <c r="M550" s="10" t="str">
        <f aca="false">IF(OR($L550="",$L550=0),"",($I550/30)/$L550)</f>
        <v/>
      </c>
      <c r="N550" s="8"/>
      <c r="O550" s="11" t="str">
        <f aca="false">IF(OR($I550="",$N550=""),"",($I550/1000)*$N550)</f>
        <v/>
      </c>
      <c r="P550" s="12" t="str">
        <f aca="false">IF($C550="","",IFERROR(ROUND(MIN(25,($N550/Instellingen!$B$3)*25)+MIN(25,($I550/Instellingen!$B$4)*25)+MIN(25,($J550/Instellingen!$B$5)*25)+MIN(25,(IF($M550="",0,$M550)/Instellingen!$B$6)*25),0),""))</f>
        <v/>
      </c>
      <c r="Q550" s="13" t="str">
        <f aca="false">IF($P550="","",IF($P550&gt;=Instellingen!$B$7,"Sterke niche",IF($P550&gt;=Instellingen!$B$8,"Belofte - opvolgen",IF($P550&gt;=Instellingen!$B$9,"Zwak - twijfel","Vermijden"))))</f>
        <v/>
      </c>
      <c r="R550" s="5"/>
      <c r="T550" s="1" t="str">
        <f aca="false">IF($C550="","",IF($P550=_xlfn.MAXIFS($P$3:$P$1000,$B$3:$B$1000,$B550),"★ Cash cow – handmatig onderzoeken",""))</f>
        <v/>
      </c>
    </row>
    <row r="551" customFormat="false" ht="14.25" hidden="false" customHeight="true" outlineLevel="0" collapsed="false">
      <c r="A551" s="4"/>
      <c r="B551" s="5"/>
      <c r="C551" s="5"/>
      <c r="D551" s="5"/>
      <c r="E551" s="6"/>
      <c r="F551" s="7"/>
      <c r="G551" s="8"/>
      <c r="H551" s="7"/>
      <c r="I551" s="7"/>
      <c r="J551" s="6"/>
      <c r="K551" s="9" t="str">
        <f aca="false">IF(OR($J551="",$J551=0),"",$I551/$J551)</f>
        <v/>
      </c>
      <c r="L551" s="9" t="str">
        <f aca="false">IF(OR($E551="",$E551=0),"",$H551/$E551)</f>
        <v/>
      </c>
      <c r="M551" s="10" t="str">
        <f aca="false">IF(OR($L551="",$L551=0),"",($I551/30)/$L551)</f>
        <v/>
      </c>
      <c r="N551" s="8"/>
      <c r="O551" s="11" t="str">
        <f aca="false">IF(OR($I551="",$N551=""),"",($I551/1000)*$N551)</f>
        <v/>
      </c>
      <c r="P551" s="12" t="str">
        <f aca="false">IF($C551="","",IFERROR(ROUND(MIN(25,($N551/Instellingen!$B$3)*25)+MIN(25,($I551/Instellingen!$B$4)*25)+MIN(25,($J551/Instellingen!$B$5)*25)+MIN(25,(IF($M551="",0,$M551)/Instellingen!$B$6)*25),0),""))</f>
        <v/>
      </c>
      <c r="Q551" s="13" t="str">
        <f aca="false">IF($P551="","",IF($P551&gt;=Instellingen!$B$7,"Sterke niche",IF($P551&gt;=Instellingen!$B$8,"Belofte - opvolgen",IF($P551&gt;=Instellingen!$B$9,"Zwak - twijfel","Vermijden"))))</f>
        <v/>
      </c>
      <c r="R551" s="5"/>
      <c r="T551" s="1" t="str">
        <f aca="false">IF($C551="","",IF($P551=_xlfn.MAXIFS($P$3:$P$1000,$B$3:$B$1000,$B551),"★ Cash cow – handmatig onderzoeken",""))</f>
        <v/>
      </c>
    </row>
    <row r="552" customFormat="false" ht="14.25" hidden="false" customHeight="true" outlineLevel="0" collapsed="false">
      <c r="A552" s="4"/>
      <c r="B552" s="5"/>
      <c r="C552" s="5"/>
      <c r="D552" s="5"/>
      <c r="E552" s="6"/>
      <c r="F552" s="7"/>
      <c r="G552" s="8"/>
      <c r="H552" s="7"/>
      <c r="I552" s="7"/>
      <c r="J552" s="6"/>
      <c r="K552" s="9" t="str">
        <f aca="false">IF(OR($J552="",$J552=0),"",$I552/$J552)</f>
        <v/>
      </c>
      <c r="L552" s="9" t="str">
        <f aca="false">IF(OR($E552="",$E552=0),"",$H552/$E552)</f>
        <v/>
      </c>
      <c r="M552" s="10" t="str">
        <f aca="false">IF(OR($L552="",$L552=0),"",($I552/30)/$L552)</f>
        <v/>
      </c>
      <c r="N552" s="8"/>
      <c r="O552" s="11" t="str">
        <f aca="false">IF(OR($I552="",$N552=""),"",($I552/1000)*$N552)</f>
        <v/>
      </c>
      <c r="P552" s="12" t="str">
        <f aca="false">IF($C552="","",IFERROR(ROUND(MIN(25,($N552/Instellingen!$B$3)*25)+MIN(25,($I552/Instellingen!$B$4)*25)+MIN(25,($J552/Instellingen!$B$5)*25)+MIN(25,(IF($M552="",0,$M552)/Instellingen!$B$6)*25),0),""))</f>
        <v/>
      </c>
      <c r="Q552" s="13" t="str">
        <f aca="false">IF($P552="","",IF($P552&gt;=Instellingen!$B$7,"Sterke niche",IF($P552&gt;=Instellingen!$B$8,"Belofte - opvolgen",IF($P552&gt;=Instellingen!$B$9,"Zwak - twijfel","Vermijden"))))</f>
        <v/>
      </c>
      <c r="R552" s="5"/>
      <c r="T552" s="1" t="str">
        <f aca="false">IF($C552="","",IF($P552=_xlfn.MAXIFS($P$3:$P$1000,$B$3:$B$1000,$B552),"★ Cash cow – handmatig onderzoeken",""))</f>
        <v/>
      </c>
    </row>
    <row r="553" customFormat="false" ht="14.25" hidden="false" customHeight="true" outlineLevel="0" collapsed="false">
      <c r="A553" s="4"/>
      <c r="B553" s="5"/>
      <c r="C553" s="5"/>
      <c r="D553" s="5"/>
      <c r="E553" s="6"/>
      <c r="F553" s="7"/>
      <c r="G553" s="8"/>
      <c r="H553" s="7"/>
      <c r="I553" s="7"/>
      <c r="J553" s="6"/>
      <c r="K553" s="9" t="str">
        <f aca="false">IF(OR($J553="",$J553=0),"",$I553/$J553)</f>
        <v/>
      </c>
      <c r="L553" s="9" t="str">
        <f aca="false">IF(OR($E553="",$E553=0),"",$H553/$E553)</f>
        <v/>
      </c>
      <c r="M553" s="10" t="str">
        <f aca="false">IF(OR($L553="",$L553=0),"",($I553/30)/$L553)</f>
        <v/>
      </c>
      <c r="N553" s="8"/>
      <c r="O553" s="11" t="str">
        <f aca="false">IF(OR($I553="",$N553=""),"",($I553/1000)*$N553)</f>
        <v/>
      </c>
      <c r="P553" s="12" t="str">
        <f aca="false">IF($C553="","",IFERROR(ROUND(MIN(25,($N553/Instellingen!$B$3)*25)+MIN(25,($I553/Instellingen!$B$4)*25)+MIN(25,($J553/Instellingen!$B$5)*25)+MIN(25,(IF($M553="",0,$M553)/Instellingen!$B$6)*25),0),""))</f>
        <v/>
      </c>
      <c r="Q553" s="13" t="str">
        <f aca="false">IF($P553="","",IF($P553&gt;=Instellingen!$B$7,"Sterke niche",IF($P553&gt;=Instellingen!$B$8,"Belofte - opvolgen",IF($P553&gt;=Instellingen!$B$9,"Zwak - twijfel","Vermijden"))))</f>
        <v/>
      </c>
      <c r="R553" s="5"/>
      <c r="T553" s="1" t="str">
        <f aca="false">IF($C553="","",IF($P553=_xlfn.MAXIFS($P$3:$P$1000,$B$3:$B$1000,$B553),"★ Cash cow – handmatig onderzoeken",""))</f>
        <v/>
      </c>
    </row>
    <row r="554" customFormat="false" ht="14.25" hidden="false" customHeight="true" outlineLevel="0" collapsed="false">
      <c r="A554" s="4"/>
      <c r="B554" s="5"/>
      <c r="C554" s="5"/>
      <c r="D554" s="5"/>
      <c r="E554" s="6"/>
      <c r="F554" s="7"/>
      <c r="G554" s="8"/>
      <c r="H554" s="7"/>
      <c r="I554" s="7"/>
      <c r="J554" s="6"/>
      <c r="K554" s="9" t="str">
        <f aca="false">IF(OR($J554="",$J554=0),"",$I554/$J554)</f>
        <v/>
      </c>
      <c r="L554" s="9" t="str">
        <f aca="false">IF(OR($E554="",$E554=0),"",$H554/$E554)</f>
        <v/>
      </c>
      <c r="M554" s="10" t="str">
        <f aca="false">IF(OR($L554="",$L554=0),"",($I554/30)/$L554)</f>
        <v/>
      </c>
      <c r="N554" s="8"/>
      <c r="O554" s="11" t="str">
        <f aca="false">IF(OR($I554="",$N554=""),"",($I554/1000)*$N554)</f>
        <v/>
      </c>
      <c r="P554" s="12" t="str">
        <f aca="false">IF($C554="","",IFERROR(ROUND(MIN(25,($N554/Instellingen!$B$3)*25)+MIN(25,($I554/Instellingen!$B$4)*25)+MIN(25,($J554/Instellingen!$B$5)*25)+MIN(25,(IF($M554="",0,$M554)/Instellingen!$B$6)*25),0),""))</f>
        <v/>
      </c>
      <c r="Q554" s="13" t="str">
        <f aca="false">IF($P554="","",IF($P554&gt;=Instellingen!$B$7,"Sterke niche",IF($P554&gt;=Instellingen!$B$8,"Belofte - opvolgen",IF($P554&gt;=Instellingen!$B$9,"Zwak - twijfel","Vermijden"))))</f>
        <v/>
      </c>
      <c r="R554" s="5"/>
      <c r="T554" s="1" t="str">
        <f aca="false">IF($C554="","",IF($P554=_xlfn.MAXIFS($P$3:$P$1000,$B$3:$B$1000,$B554),"★ Cash cow – handmatig onderzoeken",""))</f>
        <v/>
      </c>
    </row>
    <row r="555" customFormat="false" ht="14.25" hidden="false" customHeight="true" outlineLevel="0" collapsed="false">
      <c r="A555" s="4"/>
      <c r="B555" s="5"/>
      <c r="C555" s="5"/>
      <c r="D555" s="5"/>
      <c r="E555" s="6"/>
      <c r="F555" s="7"/>
      <c r="G555" s="8"/>
      <c r="H555" s="7"/>
      <c r="I555" s="7"/>
      <c r="J555" s="6"/>
      <c r="K555" s="9" t="str">
        <f aca="false">IF(OR($J555="",$J555=0),"",$I555/$J555)</f>
        <v/>
      </c>
      <c r="L555" s="9" t="str">
        <f aca="false">IF(OR($E555="",$E555=0),"",$H555/$E555)</f>
        <v/>
      </c>
      <c r="M555" s="10" t="str">
        <f aca="false">IF(OR($L555="",$L555=0),"",($I555/30)/$L555)</f>
        <v/>
      </c>
      <c r="N555" s="8"/>
      <c r="O555" s="11" t="str">
        <f aca="false">IF(OR($I555="",$N555=""),"",($I555/1000)*$N555)</f>
        <v/>
      </c>
      <c r="P555" s="12" t="str">
        <f aca="false">IF($C555="","",IFERROR(ROUND(MIN(25,($N555/Instellingen!$B$3)*25)+MIN(25,($I555/Instellingen!$B$4)*25)+MIN(25,($J555/Instellingen!$B$5)*25)+MIN(25,(IF($M555="",0,$M555)/Instellingen!$B$6)*25),0),""))</f>
        <v/>
      </c>
      <c r="Q555" s="13" t="str">
        <f aca="false">IF($P555="","",IF($P555&gt;=Instellingen!$B$7,"Sterke niche",IF($P555&gt;=Instellingen!$B$8,"Belofte - opvolgen",IF($P555&gt;=Instellingen!$B$9,"Zwak - twijfel","Vermijden"))))</f>
        <v/>
      </c>
      <c r="R555" s="5"/>
      <c r="T555" s="1" t="str">
        <f aca="false">IF($C555="","",IF($P555=_xlfn.MAXIFS($P$3:$P$1000,$B$3:$B$1000,$B555),"★ Cash cow – handmatig onderzoeken",""))</f>
        <v/>
      </c>
    </row>
    <row r="556" customFormat="false" ht="14.25" hidden="false" customHeight="true" outlineLevel="0" collapsed="false">
      <c r="A556" s="4"/>
      <c r="B556" s="5"/>
      <c r="C556" s="5"/>
      <c r="D556" s="5"/>
      <c r="E556" s="6"/>
      <c r="F556" s="7"/>
      <c r="G556" s="8"/>
      <c r="H556" s="7"/>
      <c r="I556" s="7"/>
      <c r="J556" s="6"/>
      <c r="K556" s="9" t="str">
        <f aca="false">IF(OR($J556="",$J556=0),"",$I556/$J556)</f>
        <v/>
      </c>
      <c r="L556" s="9" t="str">
        <f aca="false">IF(OR($E556="",$E556=0),"",$H556/$E556)</f>
        <v/>
      </c>
      <c r="M556" s="10" t="str">
        <f aca="false">IF(OR($L556="",$L556=0),"",($I556/30)/$L556)</f>
        <v/>
      </c>
      <c r="N556" s="8"/>
      <c r="O556" s="11" t="str">
        <f aca="false">IF(OR($I556="",$N556=""),"",($I556/1000)*$N556)</f>
        <v/>
      </c>
      <c r="P556" s="12" t="str">
        <f aca="false">IF($C556="","",IFERROR(ROUND(MIN(25,($N556/Instellingen!$B$3)*25)+MIN(25,($I556/Instellingen!$B$4)*25)+MIN(25,($J556/Instellingen!$B$5)*25)+MIN(25,(IF($M556="",0,$M556)/Instellingen!$B$6)*25),0),""))</f>
        <v/>
      </c>
      <c r="Q556" s="13" t="str">
        <f aca="false">IF($P556="","",IF($P556&gt;=Instellingen!$B$7,"Sterke niche",IF($P556&gt;=Instellingen!$B$8,"Belofte - opvolgen",IF($P556&gt;=Instellingen!$B$9,"Zwak - twijfel","Vermijden"))))</f>
        <v/>
      </c>
      <c r="R556" s="5"/>
      <c r="T556" s="1" t="str">
        <f aca="false">IF($C556="","",IF($P556=_xlfn.MAXIFS($P$3:$P$1000,$B$3:$B$1000,$B556),"★ Cash cow – handmatig onderzoeken",""))</f>
        <v/>
      </c>
    </row>
    <row r="557" customFormat="false" ht="14.25" hidden="false" customHeight="true" outlineLevel="0" collapsed="false">
      <c r="A557" s="4"/>
      <c r="B557" s="5"/>
      <c r="C557" s="5"/>
      <c r="D557" s="5"/>
      <c r="E557" s="6"/>
      <c r="F557" s="7"/>
      <c r="G557" s="8"/>
      <c r="H557" s="7"/>
      <c r="I557" s="7"/>
      <c r="J557" s="6"/>
      <c r="K557" s="9" t="str">
        <f aca="false">IF(OR($J557="",$J557=0),"",$I557/$J557)</f>
        <v/>
      </c>
      <c r="L557" s="9" t="str">
        <f aca="false">IF(OR($E557="",$E557=0),"",$H557/$E557)</f>
        <v/>
      </c>
      <c r="M557" s="10" t="str">
        <f aca="false">IF(OR($L557="",$L557=0),"",($I557/30)/$L557)</f>
        <v/>
      </c>
      <c r="N557" s="8"/>
      <c r="O557" s="11" t="str">
        <f aca="false">IF(OR($I557="",$N557=""),"",($I557/1000)*$N557)</f>
        <v/>
      </c>
      <c r="P557" s="12" t="str">
        <f aca="false">IF($C557="","",IFERROR(ROUND(MIN(25,($N557/Instellingen!$B$3)*25)+MIN(25,($I557/Instellingen!$B$4)*25)+MIN(25,($J557/Instellingen!$B$5)*25)+MIN(25,(IF($M557="",0,$M557)/Instellingen!$B$6)*25),0),""))</f>
        <v/>
      </c>
      <c r="Q557" s="13" t="str">
        <f aca="false">IF($P557="","",IF($P557&gt;=Instellingen!$B$7,"Sterke niche",IF($P557&gt;=Instellingen!$B$8,"Belofte - opvolgen",IF($P557&gt;=Instellingen!$B$9,"Zwak - twijfel","Vermijden"))))</f>
        <v/>
      </c>
      <c r="R557" s="5"/>
      <c r="T557" s="1" t="str">
        <f aca="false">IF($C557="","",IF($P557=_xlfn.MAXIFS($P$3:$P$1000,$B$3:$B$1000,$B557),"★ Cash cow – handmatig onderzoeken",""))</f>
        <v/>
      </c>
    </row>
    <row r="558" customFormat="false" ht="14.25" hidden="false" customHeight="true" outlineLevel="0" collapsed="false">
      <c r="A558" s="4"/>
      <c r="B558" s="5"/>
      <c r="C558" s="5"/>
      <c r="D558" s="5"/>
      <c r="E558" s="6"/>
      <c r="F558" s="7"/>
      <c r="G558" s="8"/>
      <c r="H558" s="7"/>
      <c r="I558" s="7"/>
      <c r="J558" s="6"/>
      <c r="K558" s="9" t="str">
        <f aca="false">IF(OR($J558="",$J558=0),"",$I558/$J558)</f>
        <v/>
      </c>
      <c r="L558" s="9" t="str">
        <f aca="false">IF(OR($E558="",$E558=0),"",$H558/$E558)</f>
        <v/>
      </c>
      <c r="M558" s="10" t="str">
        <f aca="false">IF(OR($L558="",$L558=0),"",($I558/30)/$L558)</f>
        <v/>
      </c>
      <c r="N558" s="8"/>
      <c r="O558" s="11" t="str">
        <f aca="false">IF(OR($I558="",$N558=""),"",($I558/1000)*$N558)</f>
        <v/>
      </c>
      <c r="P558" s="12" t="str">
        <f aca="false">IF($C558="","",IFERROR(ROUND(MIN(25,($N558/Instellingen!$B$3)*25)+MIN(25,($I558/Instellingen!$B$4)*25)+MIN(25,($J558/Instellingen!$B$5)*25)+MIN(25,(IF($M558="",0,$M558)/Instellingen!$B$6)*25),0),""))</f>
        <v/>
      </c>
      <c r="Q558" s="13" t="str">
        <f aca="false">IF($P558="","",IF($P558&gt;=Instellingen!$B$7,"Sterke niche",IF($P558&gt;=Instellingen!$B$8,"Belofte - opvolgen",IF($P558&gt;=Instellingen!$B$9,"Zwak - twijfel","Vermijden"))))</f>
        <v/>
      </c>
      <c r="R558" s="5"/>
      <c r="T558" s="1" t="str">
        <f aca="false">IF($C558="","",IF($P558=_xlfn.MAXIFS($P$3:$P$1000,$B$3:$B$1000,$B558),"★ Cash cow – handmatig onderzoeken",""))</f>
        <v/>
      </c>
    </row>
    <row r="559" customFormat="false" ht="14.25" hidden="false" customHeight="true" outlineLevel="0" collapsed="false">
      <c r="A559" s="4"/>
      <c r="B559" s="5"/>
      <c r="C559" s="5"/>
      <c r="D559" s="5"/>
      <c r="E559" s="6"/>
      <c r="F559" s="7"/>
      <c r="G559" s="8"/>
      <c r="H559" s="7"/>
      <c r="I559" s="7"/>
      <c r="J559" s="6"/>
      <c r="K559" s="9" t="str">
        <f aca="false">IF(OR($J559="",$J559=0),"",$I559/$J559)</f>
        <v/>
      </c>
      <c r="L559" s="9" t="str">
        <f aca="false">IF(OR($E559="",$E559=0),"",$H559/$E559)</f>
        <v/>
      </c>
      <c r="M559" s="10" t="str">
        <f aca="false">IF(OR($L559="",$L559=0),"",($I559/30)/$L559)</f>
        <v/>
      </c>
      <c r="N559" s="8"/>
      <c r="O559" s="11" t="str">
        <f aca="false">IF(OR($I559="",$N559=""),"",($I559/1000)*$N559)</f>
        <v/>
      </c>
      <c r="P559" s="12" t="str">
        <f aca="false">IF($C559="","",IFERROR(ROUND(MIN(25,($N559/Instellingen!$B$3)*25)+MIN(25,($I559/Instellingen!$B$4)*25)+MIN(25,($J559/Instellingen!$B$5)*25)+MIN(25,(IF($M559="",0,$M559)/Instellingen!$B$6)*25),0),""))</f>
        <v/>
      </c>
      <c r="Q559" s="13" t="str">
        <f aca="false">IF($P559="","",IF($P559&gt;=Instellingen!$B$7,"Sterke niche",IF($P559&gt;=Instellingen!$B$8,"Belofte - opvolgen",IF($P559&gt;=Instellingen!$B$9,"Zwak - twijfel","Vermijden"))))</f>
        <v/>
      </c>
      <c r="R559" s="5"/>
      <c r="T559" s="1" t="str">
        <f aca="false">IF($C559="","",IF($P559=_xlfn.MAXIFS($P$3:$P$1000,$B$3:$B$1000,$B559),"★ Cash cow – handmatig onderzoeken",""))</f>
        <v/>
      </c>
    </row>
    <row r="560" customFormat="false" ht="14.25" hidden="false" customHeight="true" outlineLevel="0" collapsed="false">
      <c r="A560" s="4"/>
      <c r="B560" s="5"/>
      <c r="C560" s="5"/>
      <c r="D560" s="5"/>
      <c r="E560" s="6"/>
      <c r="F560" s="7"/>
      <c r="G560" s="8"/>
      <c r="H560" s="7"/>
      <c r="I560" s="7"/>
      <c r="J560" s="6"/>
      <c r="K560" s="9" t="str">
        <f aca="false">IF(OR($J560="",$J560=0),"",$I560/$J560)</f>
        <v/>
      </c>
      <c r="L560" s="9" t="str">
        <f aca="false">IF(OR($E560="",$E560=0),"",$H560/$E560)</f>
        <v/>
      </c>
      <c r="M560" s="10" t="str">
        <f aca="false">IF(OR($L560="",$L560=0),"",($I560/30)/$L560)</f>
        <v/>
      </c>
      <c r="N560" s="8"/>
      <c r="O560" s="11" t="str">
        <f aca="false">IF(OR($I560="",$N560=""),"",($I560/1000)*$N560)</f>
        <v/>
      </c>
      <c r="P560" s="12" t="str">
        <f aca="false">IF($C560="","",IFERROR(ROUND(MIN(25,($N560/Instellingen!$B$3)*25)+MIN(25,($I560/Instellingen!$B$4)*25)+MIN(25,($J560/Instellingen!$B$5)*25)+MIN(25,(IF($M560="",0,$M560)/Instellingen!$B$6)*25),0),""))</f>
        <v/>
      </c>
      <c r="Q560" s="13" t="str">
        <f aca="false">IF($P560="","",IF($P560&gt;=Instellingen!$B$7,"Sterke niche",IF($P560&gt;=Instellingen!$B$8,"Belofte - opvolgen",IF($P560&gt;=Instellingen!$B$9,"Zwak - twijfel","Vermijden"))))</f>
        <v/>
      </c>
      <c r="R560" s="5"/>
      <c r="T560" s="1" t="str">
        <f aca="false">IF($C560="","",IF($P560=_xlfn.MAXIFS($P$3:$P$1000,$B$3:$B$1000,$B560),"★ Cash cow – handmatig onderzoeken",""))</f>
        <v/>
      </c>
    </row>
    <row r="561" customFormat="false" ht="14.25" hidden="false" customHeight="true" outlineLevel="0" collapsed="false">
      <c r="A561" s="4"/>
      <c r="B561" s="5"/>
      <c r="C561" s="5"/>
      <c r="D561" s="5"/>
      <c r="E561" s="6"/>
      <c r="F561" s="7"/>
      <c r="G561" s="8"/>
      <c r="H561" s="7"/>
      <c r="I561" s="7"/>
      <c r="J561" s="6"/>
      <c r="K561" s="9" t="str">
        <f aca="false">IF(OR($J561="",$J561=0),"",$I561/$J561)</f>
        <v/>
      </c>
      <c r="L561" s="9" t="str">
        <f aca="false">IF(OR($E561="",$E561=0),"",$H561/$E561)</f>
        <v/>
      </c>
      <c r="M561" s="10" t="str">
        <f aca="false">IF(OR($L561="",$L561=0),"",($I561/30)/$L561)</f>
        <v/>
      </c>
      <c r="N561" s="8"/>
      <c r="O561" s="11" t="str">
        <f aca="false">IF(OR($I561="",$N561=""),"",($I561/1000)*$N561)</f>
        <v/>
      </c>
      <c r="P561" s="12" t="str">
        <f aca="false">IF($C561="","",IFERROR(ROUND(MIN(25,($N561/Instellingen!$B$3)*25)+MIN(25,($I561/Instellingen!$B$4)*25)+MIN(25,($J561/Instellingen!$B$5)*25)+MIN(25,(IF($M561="",0,$M561)/Instellingen!$B$6)*25),0),""))</f>
        <v/>
      </c>
      <c r="Q561" s="13" t="str">
        <f aca="false">IF($P561="","",IF($P561&gt;=Instellingen!$B$7,"Sterke niche",IF($P561&gt;=Instellingen!$B$8,"Belofte - opvolgen",IF($P561&gt;=Instellingen!$B$9,"Zwak - twijfel","Vermijden"))))</f>
        <v/>
      </c>
      <c r="R561" s="5"/>
      <c r="T561" s="1" t="str">
        <f aca="false">IF($C561="","",IF($P561=_xlfn.MAXIFS($P$3:$P$1000,$B$3:$B$1000,$B561),"★ Cash cow – handmatig onderzoeken",""))</f>
        <v/>
      </c>
    </row>
    <row r="562" customFormat="false" ht="14.25" hidden="false" customHeight="true" outlineLevel="0" collapsed="false">
      <c r="A562" s="4"/>
      <c r="B562" s="5"/>
      <c r="C562" s="5"/>
      <c r="D562" s="5"/>
      <c r="E562" s="6"/>
      <c r="F562" s="7"/>
      <c r="G562" s="8"/>
      <c r="H562" s="7"/>
      <c r="I562" s="7"/>
      <c r="J562" s="6"/>
      <c r="K562" s="9" t="str">
        <f aca="false">IF(OR($J562="",$J562=0),"",$I562/$J562)</f>
        <v/>
      </c>
      <c r="L562" s="9" t="str">
        <f aca="false">IF(OR($E562="",$E562=0),"",$H562/$E562)</f>
        <v/>
      </c>
      <c r="M562" s="10" t="str">
        <f aca="false">IF(OR($L562="",$L562=0),"",($I562/30)/$L562)</f>
        <v/>
      </c>
      <c r="N562" s="8"/>
      <c r="O562" s="11" t="str">
        <f aca="false">IF(OR($I562="",$N562=""),"",($I562/1000)*$N562)</f>
        <v/>
      </c>
      <c r="P562" s="12" t="str">
        <f aca="false">IF($C562="","",IFERROR(ROUND(MIN(25,($N562/Instellingen!$B$3)*25)+MIN(25,($I562/Instellingen!$B$4)*25)+MIN(25,($J562/Instellingen!$B$5)*25)+MIN(25,(IF($M562="",0,$M562)/Instellingen!$B$6)*25),0),""))</f>
        <v/>
      </c>
      <c r="Q562" s="13" t="str">
        <f aca="false">IF($P562="","",IF($P562&gt;=Instellingen!$B$7,"Sterke niche",IF($P562&gt;=Instellingen!$B$8,"Belofte - opvolgen",IF($P562&gt;=Instellingen!$B$9,"Zwak - twijfel","Vermijden"))))</f>
        <v/>
      </c>
      <c r="R562" s="5"/>
      <c r="T562" s="1" t="str">
        <f aca="false">IF($C562="","",IF($P562=_xlfn.MAXIFS($P$3:$P$1000,$B$3:$B$1000,$B562),"★ Cash cow – handmatig onderzoeken",""))</f>
        <v/>
      </c>
    </row>
    <row r="563" customFormat="false" ht="14.25" hidden="false" customHeight="true" outlineLevel="0" collapsed="false">
      <c r="A563" s="4"/>
      <c r="B563" s="5"/>
      <c r="C563" s="5"/>
      <c r="D563" s="5"/>
      <c r="E563" s="6"/>
      <c r="F563" s="7"/>
      <c r="G563" s="8"/>
      <c r="H563" s="7"/>
      <c r="I563" s="7"/>
      <c r="J563" s="6"/>
      <c r="K563" s="9" t="str">
        <f aca="false">IF(OR($J563="",$J563=0),"",$I563/$J563)</f>
        <v/>
      </c>
      <c r="L563" s="9" t="str">
        <f aca="false">IF(OR($E563="",$E563=0),"",$H563/$E563)</f>
        <v/>
      </c>
      <c r="M563" s="10" t="str">
        <f aca="false">IF(OR($L563="",$L563=0),"",($I563/30)/$L563)</f>
        <v/>
      </c>
      <c r="N563" s="8"/>
      <c r="O563" s="11" t="str">
        <f aca="false">IF(OR($I563="",$N563=""),"",($I563/1000)*$N563)</f>
        <v/>
      </c>
      <c r="P563" s="12" t="str">
        <f aca="false">IF($C563="","",IFERROR(ROUND(MIN(25,($N563/Instellingen!$B$3)*25)+MIN(25,($I563/Instellingen!$B$4)*25)+MIN(25,($J563/Instellingen!$B$5)*25)+MIN(25,(IF($M563="",0,$M563)/Instellingen!$B$6)*25),0),""))</f>
        <v/>
      </c>
      <c r="Q563" s="13" t="str">
        <f aca="false">IF($P563="","",IF($P563&gt;=Instellingen!$B$7,"Sterke niche",IF($P563&gt;=Instellingen!$B$8,"Belofte - opvolgen",IF($P563&gt;=Instellingen!$B$9,"Zwak - twijfel","Vermijden"))))</f>
        <v/>
      </c>
      <c r="R563" s="5"/>
      <c r="T563" s="1" t="str">
        <f aca="false">IF($C563="","",IF($P563=_xlfn.MAXIFS($P$3:$P$1000,$B$3:$B$1000,$B563),"★ Cash cow – handmatig onderzoeken",""))</f>
        <v/>
      </c>
    </row>
    <row r="564" customFormat="false" ht="14.25" hidden="false" customHeight="true" outlineLevel="0" collapsed="false">
      <c r="A564" s="4"/>
      <c r="B564" s="5"/>
      <c r="C564" s="5"/>
      <c r="D564" s="5"/>
      <c r="E564" s="6"/>
      <c r="F564" s="7"/>
      <c r="G564" s="8"/>
      <c r="H564" s="7"/>
      <c r="I564" s="7"/>
      <c r="J564" s="6"/>
      <c r="K564" s="9" t="str">
        <f aca="false">IF(OR($J564="",$J564=0),"",$I564/$J564)</f>
        <v/>
      </c>
      <c r="L564" s="9" t="str">
        <f aca="false">IF(OR($E564="",$E564=0),"",$H564/$E564)</f>
        <v/>
      </c>
      <c r="M564" s="10" t="str">
        <f aca="false">IF(OR($L564="",$L564=0),"",($I564/30)/$L564)</f>
        <v/>
      </c>
      <c r="N564" s="8"/>
      <c r="O564" s="11" t="str">
        <f aca="false">IF(OR($I564="",$N564=""),"",($I564/1000)*$N564)</f>
        <v/>
      </c>
      <c r="P564" s="12" t="str">
        <f aca="false">IF($C564="","",IFERROR(ROUND(MIN(25,($N564/Instellingen!$B$3)*25)+MIN(25,($I564/Instellingen!$B$4)*25)+MIN(25,($J564/Instellingen!$B$5)*25)+MIN(25,(IF($M564="",0,$M564)/Instellingen!$B$6)*25),0),""))</f>
        <v/>
      </c>
      <c r="Q564" s="13" t="str">
        <f aca="false">IF($P564="","",IF($P564&gt;=Instellingen!$B$7,"Sterke niche",IF($P564&gt;=Instellingen!$B$8,"Belofte - opvolgen",IF($P564&gt;=Instellingen!$B$9,"Zwak - twijfel","Vermijden"))))</f>
        <v/>
      </c>
      <c r="R564" s="5"/>
      <c r="T564" s="1" t="str">
        <f aca="false">IF($C564="","",IF($P564=_xlfn.MAXIFS($P$3:$P$1000,$B$3:$B$1000,$B564),"★ Cash cow – handmatig onderzoeken",""))</f>
        <v/>
      </c>
    </row>
    <row r="565" customFormat="false" ht="14.25" hidden="false" customHeight="true" outlineLevel="0" collapsed="false">
      <c r="A565" s="4"/>
      <c r="B565" s="5"/>
      <c r="C565" s="5"/>
      <c r="D565" s="5"/>
      <c r="E565" s="6"/>
      <c r="F565" s="7"/>
      <c r="G565" s="8"/>
      <c r="H565" s="7"/>
      <c r="I565" s="7"/>
      <c r="J565" s="6"/>
      <c r="K565" s="9" t="str">
        <f aca="false">IF(OR($J565="",$J565=0),"",$I565/$J565)</f>
        <v/>
      </c>
      <c r="L565" s="9" t="str">
        <f aca="false">IF(OR($E565="",$E565=0),"",$H565/$E565)</f>
        <v/>
      </c>
      <c r="M565" s="10" t="str">
        <f aca="false">IF(OR($L565="",$L565=0),"",($I565/30)/$L565)</f>
        <v/>
      </c>
      <c r="N565" s="8"/>
      <c r="O565" s="11" t="str">
        <f aca="false">IF(OR($I565="",$N565=""),"",($I565/1000)*$N565)</f>
        <v/>
      </c>
      <c r="P565" s="12" t="str">
        <f aca="false">IF($C565="","",IFERROR(ROUND(MIN(25,($N565/Instellingen!$B$3)*25)+MIN(25,($I565/Instellingen!$B$4)*25)+MIN(25,($J565/Instellingen!$B$5)*25)+MIN(25,(IF($M565="",0,$M565)/Instellingen!$B$6)*25),0),""))</f>
        <v/>
      </c>
      <c r="Q565" s="13" t="str">
        <f aca="false">IF($P565="","",IF($P565&gt;=Instellingen!$B$7,"Sterke niche",IF($P565&gt;=Instellingen!$B$8,"Belofte - opvolgen",IF($P565&gt;=Instellingen!$B$9,"Zwak - twijfel","Vermijden"))))</f>
        <v/>
      </c>
      <c r="R565" s="5"/>
      <c r="T565" s="1" t="str">
        <f aca="false">IF($C565="","",IF($P565=_xlfn.MAXIFS($P$3:$P$1000,$B$3:$B$1000,$B565),"★ Cash cow – handmatig onderzoeken",""))</f>
        <v/>
      </c>
    </row>
    <row r="566" customFormat="false" ht="14.25" hidden="false" customHeight="true" outlineLevel="0" collapsed="false">
      <c r="A566" s="4"/>
      <c r="B566" s="5"/>
      <c r="C566" s="5"/>
      <c r="D566" s="5"/>
      <c r="E566" s="6"/>
      <c r="F566" s="7"/>
      <c r="G566" s="8"/>
      <c r="H566" s="7"/>
      <c r="I566" s="7"/>
      <c r="J566" s="6"/>
      <c r="K566" s="9" t="str">
        <f aca="false">IF(OR($J566="",$J566=0),"",$I566/$J566)</f>
        <v/>
      </c>
      <c r="L566" s="9" t="str">
        <f aca="false">IF(OR($E566="",$E566=0),"",$H566/$E566)</f>
        <v/>
      </c>
      <c r="M566" s="10" t="str">
        <f aca="false">IF(OR($L566="",$L566=0),"",($I566/30)/$L566)</f>
        <v/>
      </c>
      <c r="N566" s="8"/>
      <c r="O566" s="11" t="str">
        <f aca="false">IF(OR($I566="",$N566=""),"",($I566/1000)*$N566)</f>
        <v/>
      </c>
      <c r="P566" s="12" t="str">
        <f aca="false">IF($C566="","",IFERROR(ROUND(MIN(25,($N566/Instellingen!$B$3)*25)+MIN(25,($I566/Instellingen!$B$4)*25)+MIN(25,($J566/Instellingen!$B$5)*25)+MIN(25,(IF($M566="",0,$M566)/Instellingen!$B$6)*25),0),""))</f>
        <v/>
      </c>
      <c r="Q566" s="13" t="str">
        <f aca="false">IF($P566="","",IF($P566&gt;=Instellingen!$B$7,"Sterke niche",IF($P566&gt;=Instellingen!$B$8,"Belofte - opvolgen",IF($P566&gt;=Instellingen!$B$9,"Zwak - twijfel","Vermijden"))))</f>
        <v/>
      </c>
      <c r="R566" s="5"/>
      <c r="T566" s="1" t="str">
        <f aca="false">IF($C566="","",IF($P566=_xlfn.MAXIFS($P$3:$P$1000,$B$3:$B$1000,$B566),"★ Cash cow – handmatig onderzoeken",""))</f>
        <v/>
      </c>
    </row>
    <row r="567" customFormat="false" ht="14.25" hidden="false" customHeight="true" outlineLevel="0" collapsed="false">
      <c r="A567" s="4"/>
      <c r="B567" s="5"/>
      <c r="C567" s="5"/>
      <c r="D567" s="5"/>
      <c r="E567" s="6"/>
      <c r="F567" s="7"/>
      <c r="G567" s="8"/>
      <c r="H567" s="7"/>
      <c r="I567" s="7"/>
      <c r="J567" s="6"/>
      <c r="K567" s="9" t="str">
        <f aca="false">IF(OR($J567="",$J567=0),"",$I567/$J567)</f>
        <v/>
      </c>
      <c r="L567" s="9" t="str">
        <f aca="false">IF(OR($E567="",$E567=0),"",$H567/$E567)</f>
        <v/>
      </c>
      <c r="M567" s="10" t="str">
        <f aca="false">IF(OR($L567="",$L567=0),"",($I567/30)/$L567)</f>
        <v/>
      </c>
      <c r="N567" s="8"/>
      <c r="O567" s="11" t="str">
        <f aca="false">IF(OR($I567="",$N567=""),"",($I567/1000)*$N567)</f>
        <v/>
      </c>
      <c r="P567" s="12" t="str">
        <f aca="false">IF($C567="","",IFERROR(ROUND(MIN(25,($N567/Instellingen!$B$3)*25)+MIN(25,($I567/Instellingen!$B$4)*25)+MIN(25,($J567/Instellingen!$B$5)*25)+MIN(25,(IF($M567="",0,$M567)/Instellingen!$B$6)*25),0),""))</f>
        <v/>
      </c>
      <c r="Q567" s="13" t="str">
        <f aca="false">IF($P567="","",IF($P567&gt;=Instellingen!$B$7,"Sterke niche",IF($P567&gt;=Instellingen!$B$8,"Belofte - opvolgen",IF($P567&gt;=Instellingen!$B$9,"Zwak - twijfel","Vermijden"))))</f>
        <v/>
      </c>
      <c r="R567" s="5"/>
      <c r="T567" s="1" t="str">
        <f aca="false">IF($C567="","",IF($P567=_xlfn.MAXIFS($P$3:$P$1000,$B$3:$B$1000,$B567),"★ Cash cow – handmatig onderzoeken",""))</f>
        <v/>
      </c>
    </row>
    <row r="568" customFormat="false" ht="14.25" hidden="false" customHeight="true" outlineLevel="0" collapsed="false">
      <c r="A568" s="4"/>
      <c r="B568" s="5"/>
      <c r="C568" s="5"/>
      <c r="D568" s="5"/>
      <c r="E568" s="6"/>
      <c r="F568" s="7"/>
      <c r="G568" s="8"/>
      <c r="H568" s="7"/>
      <c r="I568" s="7"/>
      <c r="J568" s="6"/>
      <c r="K568" s="9" t="str">
        <f aca="false">IF(OR($J568="",$J568=0),"",$I568/$J568)</f>
        <v/>
      </c>
      <c r="L568" s="9" t="str">
        <f aca="false">IF(OR($E568="",$E568=0),"",$H568/$E568)</f>
        <v/>
      </c>
      <c r="M568" s="10" t="str">
        <f aca="false">IF(OR($L568="",$L568=0),"",($I568/30)/$L568)</f>
        <v/>
      </c>
      <c r="N568" s="8"/>
      <c r="O568" s="11" t="str">
        <f aca="false">IF(OR($I568="",$N568=""),"",($I568/1000)*$N568)</f>
        <v/>
      </c>
      <c r="P568" s="12" t="str">
        <f aca="false">IF($C568="","",IFERROR(ROUND(MIN(25,($N568/Instellingen!$B$3)*25)+MIN(25,($I568/Instellingen!$B$4)*25)+MIN(25,($J568/Instellingen!$B$5)*25)+MIN(25,(IF($M568="",0,$M568)/Instellingen!$B$6)*25),0),""))</f>
        <v/>
      </c>
      <c r="Q568" s="13" t="str">
        <f aca="false">IF($P568="","",IF($P568&gt;=Instellingen!$B$7,"Sterke niche",IF($P568&gt;=Instellingen!$B$8,"Belofte - opvolgen",IF($P568&gt;=Instellingen!$B$9,"Zwak - twijfel","Vermijden"))))</f>
        <v/>
      </c>
      <c r="R568" s="5"/>
      <c r="T568" s="1" t="str">
        <f aca="false">IF($C568="","",IF($P568=_xlfn.MAXIFS($P$3:$P$1000,$B$3:$B$1000,$B568),"★ Cash cow – handmatig onderzoeken",""))</f>
        <v/>
      </c>
    </row>
    <row r="569" customFormat="false" ht="14.25" hidden="false" customHeight="true" outlineLevel="0" collapsed="false">
      <c r="A569" s="4"/>
      <c r="B569" s="5"/>
      <c r="C569" s="5"/>
      <c r="D569" s="5"/>
      <c r="E569" s="6"/>
      <c r="F569" s="7"/>
      <c r="G569" s="8"/>
      <c r="H569" s="7"/>
      <c r="I569" s="7"/>
      <c r="J569" s="6"/>
      <c r="K569" s="9" t="str">
        <f aca="false">IF(OR($J569="",$J569=0),"",$I569/$J569)</f>
        <v/>
      </c>
      <c r="L569" s="9" t="str">
        <f aca="false">IF(OR($E569="",$E569=0),"",$H569/$E569)</f>
        <v/>
      </c>
      <c r="M569" s="10" t="str">
        <f aca="false">IF(OR($L569="",$L569=0),"",($I569/30)/$L569)</f>
        <v/>
      </c>
      <c r="N569" s="8"/>
      <c r="O569" s="11" t="str">
        <f aca="false">IF(OR($I569="",$N569=""),"",($I569/1000)*$N569)</f>
        <v/>
      </c>
      <c r="P569" s="12" t="str">
        <f aca="false">IF($C569="","",IFERROR(ROUND(MIN(25,($N569/Instellingen!$B$3)*25)+MIN(25,($I569/Instellingen!$B$4)*25)+MIN(25,($J569/Instellingen!$B$5)*25)+MIN(25,(IF($M569="",0,$M569)/Instellingen!$B$6)*25),0),""))</f>
        <v/>
      </c>
      <c r="Q569" s="13" t="str">
        <f aca="false">IF($P569="","",IF($P569&gt;=Instellingen!$B$7,"Sterke niche",IF($P569&gt;=Instellingen!$B$8,"Belofte - opvolgen",IF($P569&gt;=Instellingen!$B$9,"Zwak - twijfel","Vermijden"))))</f>
        <v/>
      </c>
      <c r="R569" s="5"/>
      <c r="T569" s="1" t="str">
        <f aca="false">IF($C569="","",IF($P569=_xlfn.MAXIFS($P$3:$P$1000,$B$3:$B$1000,$B569),"★ Cash cow – handmatig onderzoeken",""))</f>
        <v/>
      </c>
    </row>
    <row r="570" customFormat="false" ht="14.25" hidden="false" customHeight="true" outlineLevel="0" collapsed="false">
      <c r="A570" s="4"/>
      <c r="B570" s="5"/>
      <c r="C570" s="5"/>
      <c r="D570" s="5"/>
      <c r="E570" s="6"/>
      <c r="F570" s="7"/>
      <c r="G570" s="8"/>
      <c r="H570" s="7"/>
      <c r="I570" s="7"/>
      <c r="J570" s="6"/>
      <c r="K570" s="9" t="str">
        <f aca="false">IF(OR($J570="",$J570=0),"",$I570/$J570)</f>
        <v/>
      </c>
      <c r="L570" s="9" t="str">
        <f aca="false">IF(OR($E570="",$E570=0),"",$H570/$E570)</f>
        <v/>
      </c>
      <c r="M570" s="10" t="str">
        <f aca="false">IF(OR($L570="",$L570=0),"",($I570/30)/$L570)</f>
        <v/>
      </c>
      <c r="N570" s="8"/>
      <c r="O570" s="11" t="str">
        <f aca="false">IF(OR($I570="",$N570=""),"",($I570/1000)*$N570)</f>
        <v/>
      </c>
      <c r="P570" s="12" t="str">
        <f aca="false">IF($C570="","",IFERROR(ROUND(MIN(25,($N570/Instellingen!$B$3)*25)+MIN(25,($I570/Instellingen!$B$4)*25)+MIN(25,($J570/Instellingen!$B$5)*25)+MIN(25,(IF($M570="",0,$M570)/Instellingen!$B$6)*25),0),""))</f>
        <v/>
      </c>
      <c r="Q570" s="13" t="str">
        <f aca="false">IF($P570="","",IF($P570&gt;=Instellingen!$B$7,"Sterke niche",IF($P570&gt;=Instellingen!$B$8,"Belofte - opvolgen",IF($P570&gt;=Instellingen!$B$9,"Zwak - twijfel","Vermijden"))))</f>
        <v/>
      </c>
      <c r="R570" s="5"/>
      <c r="T570" s="1" t="str">
        <f aca="false">IF($C570="","",IF($P570=_xlfn.MAXIFS($P$3:$P$1000,$B$3:$B$1000,$B570),"★ Cash cow – handmatig onderzoeken",""))</f>
        <v/>
      </c>
    </row>
    <row r="571" customFormat="false" ht="14.25" hidden="false" customHeight="true" outlineLevel="0" collapsed="false">
      <c r="A571" s="4"/>
      <c r="B571" s="5"/>
      <c r="C571" s="5"/>
      <c r="D571" s="5"/>
      <c r="E571" s="6"/>
      <c r="F571" s="7"/>
      <c r="G571" s="8"/>
      <c r="H571" s="7"/>
      <c r="I571" s="7"/>
      <c r="J571" s="6"/>
      <c r="K571" s="9" t="str">
        <f aca="false">IF(OR($J571="",$J571=0),"",$I571/$J571)</f>
        <v/>
      </c>
      <c r="L571" s="9" t="str">
        <f aca="false">IF(OR($E571="",$E571=0),"",$H571/$E571)</f>
        <v/>
      </c>
      <c r="M571" s="10" t="str">
        <f aca="false">IF(OR($L571="",$L571=0),"",($I571/30)/$L571)</f>
        <v/>
      </c>
      <c r="N571" s="8"/>
      <c r="O571" s="11" t="str">
        <f aca="false">IF(OR($I571="",$N571=""),"",($I571/1000)*$N571)</f>
        <v/>
      </c>
      <c r="P571" s="12" t="str">
        <f aca="false">IF($C571="","",IFERROR(ROUND(MIN(25,($N571/Instellingen!$B$3)*25)+MIN(25,($I571/Instellingen!$B$4)*25)+MIN(25,($J571/Instellingen!$B$5)*25)+MIN(25,(IF($M571="",0,$M571)/Instellingen!$B$6)*25),0),""))</f>
        <v/>
      </c>
      <c r="Q571" s="13" t="str">
        <f aca="false">IF($P571="","",IF($P571&gt;=Instellingen!$B$7,"Sterke niche",IF($P571&gt;=Instellingen!$B$8,"Belofte - opvolgen",IF($P571&gt;=Instellingen!$B$9,"Zwak - twijfel","Vermijden"))))</f>
        <v/>
      </c>
      <c r="R571" s="5"/>
      <c r="T571" s="1" t="str">
        <f aca="false">IF($C571="","",IF($P571=_xlfn.MAXIFS($P$3:$P$1000,$B$3:$B$1000,$B571),"★ Cash cow – handmatig onderzoeken",""))</f>
        <v/>
      </c>
    </row>
    <row r="572" customFormat="false" ht="14.25" hidden="false" customHeight="true" outlineLevel="0" collapsed="false">
      <c r="A572" s="4"/>
      <c r="B572" s="5"/>
      <c r="C572" s="5"/>
      <c r="D572" s="5"/>
      <c r="E572" s="6"/>
      <c r="F572" s="7"/>
      <c r="G572" s="8"/>
      <c r="H572" s="7"/>
      <c r="I572" s="7"/>
      <c r="J572" s="6"/>
      <c r="K572" s="9" t="str">
        <f aca="false">IF(OR($J572="",$J572=0),"",$I572/$J572)</f>
        <v/>
      </c>
      <c r="L572" s="9" t="str">
        <f aca="false">IF(OR($E572="",$E572=0),"",$H572/$E572)</f>
        <v/>
      </c>
      <c r="M572" s="10" t="str">
        <f aca="false">IF(OR($L572="",$L572=0),"",($I572/30)/$L572)</f>
        <v/>
      </c>
      <c r="N572" s="8"/>
      <c r="O572" s="11" t="str">
        <f aca="false">IF(OR($I572="",$N572=""),"",($I572/1000)*$N572)</f>
        <v/>
      </c>
      <c r="P572" s="12" t="str">
        <f aca="false">IF($C572="","",IFERROR(ROUND(MIN(25,($N572/Instellingen!$B$3)*25)+MIN(25,($I572/Instellingen!$B$4)*25)+MIN(25,($J572/Instellingen!$B$5)*25)+MIN(25,(IF($M572="",0,$M572)/Instellingen!$B$6)*25),0),""))</f>
        <v/>
      </c>
      <c r="Q572" s="13" t="str">
        <f aca="false">IF($P572="","",IF($P572&gt;=Instellingen!$B$7,"Sterke niche",IF($P572&gt;=Instellingen!$B$8,"Belofte - opvolgen",IF($P572&gt;=Instellingen!$B$9,"Zwak - twijfel","Vermijden"))))</f>
        <v/>
      </c>
      <c r="R572" s="5"/>
      <c r="T572" s="1" t="str">
        <f aca="false">IF($C572="","",IF($P572=_xlfn.MAXIFS($P$3:$P$1000,$B$3:$B$1000,$B572),"★ Cash cow – handmatig onderzoeken",""))</f>
        <v/>
      </c>
    </row>
    <row r="573" customFormat="false" ht="14.25" hidden="false" customHeight="true" outlineLevel="0" collapsed="false">
      <c r="A573" s="4"/>
      <c r="B573" s="5"/>
      <c r="C573" s="5"/>
      <c r="D573" s="5"/>
      <c r="E573" s="6"/>
      <c r="F573" s="7"/>
      <c r="G573" s="8"/>
      <c r="H573" s="7"/>
      <c r="I573" s="7"/>
      <c r="J573" s="6"/>
      <c r="K573" s="9" t="str">
        <f aca="false">IF(OR($J573="",$J573=0),"",$I573/$J573)</f>
        <v/>
      </c>
      <c r="L573" s="9" t="str">
        <f aca="false">IF(OR($E573="",$E573=0),"",$H573/$E573)</f>
        <v/>
      </c>
      <c r="M573" s="10" t="str">
        <f aca="false">IF(OR($L573="",$L573=0),"",($I573/30)/$L573)</f>
        <v/>
      </c>
      <c r="N573" s="8"/>
      <c r="O573" s="11" t="str">
        <f aca="false">IF(OR($I573="",$N573=""),"",($I573/1000)*$N573)</f>
        <v/>
      </c>
      <c r="P573" s="12" t="str">
        <f aca="false">IF($C573="","",IFERROR(ROUND(MIN(25,($N573/Instellingen!$B$3)*25)+MIN(25,($I573/Instellingen!$B$4)*25)+MIN(25,($J573/Instellingen!$B$5)*25)+MIN(25,(IF($M573="",0,$M573)/Instellingen!$B$6)*25),0),""))</f>
        <v/>
      </c>
      <c r="Q573" s="13" t="str">
        <f aca="false">IF($P573="","",IF($P573&gt;=Instellingen!$B$7,"Sterke niche",IF($P573&gt;=Instellingen!$B$8,"Belofte - opvolgen",IF($P573&gt;=Instellingen!$B$9,"Zwak - twijfel","Vermijden"))))</f>
        <v/>
      </c>
      <c r="R573" s="5"/>
      <c r="T573" s="1" t="str">
        <f aca="false">IF($C573="","",IF($P573=_xlfn.MAXIFS($P$3:$P$1000,$B$3:$B$1000,$B573),"★ Cash cow – handmatig onderzoeken",""))</f>
        <v/>
      </c>
    </row>
    <row r="574" customFormat="false" ht="14.25" hidden="false" customHeight="true" outlineLevel="0" collapsed="false">
      <c r="A574" s="4"/>
      <c r="B574" s="5"/>
      <c r="C574" s="5"/>
      <c r="D574" s="5"/>
      <c r="E574" s="6"/>
      <c r="F574" s="7"/>
      <c r="G574" s="8"/>
      <c r="H574" s="7"/>
      <c r="I574" s="7"/>
      <c r="J574" s="6"/>
      <c r="K574" s="9" t="str">
        <f aca="false">IF(OR($J574="",$J574=0),"",$I574/$J574)</f>
        <v/>
      </c>
      <c r="L574" s="9" t="str">
        <f aca="false">IF(OR($E574="",$E574=0),"",$H574/$E574)</f>
        <v/>
      </c>
      <c r="M574" s="10" t="str">
        <f aca="false">IF(OR($L574="",$L574=0),"",($I574/30)/$L574)</f>
        <v/>
      </c>
      <c r="N574" s="8"/>
      <c r="O574" s="11" t="str">
        <f aca="false">IF(OR($I574="",$N574=""),"",($I574/1000)*$N574)</f>
        <v/>
      </c>
      <c r="P574" s="12" t="str">
        <f aca="false">IF($C574="","",IFERROR(ROUND(MIN(25,($N574/Instellingen!$B$3)*25)+MIN(25,($I574/Instellingen!$B$4)*25)+MIN(25,($J574/Instellingen!$B$5)*25)+MIN(25,(IF($M574="",0,$M574)/Instellingen!$B$6)*25),0),""))</f>
        <v/>
      </c>
      <c r="Q574" s="13" t="str">
        <f aca="false">IF($P574="","",IF($P574&gt;=Instellingen!$B$7,"Sterke niche",IF($P574&gt;=Instellingen!$B$8,"Belofte - opvolgen",IF($P574&gt;=Instellingen!$B$9,"Zwak - twijfel","Vermijden"))))</f>
        <v/>
      </c>
      <c r="R574" s="5"/>
      <c r="T574" s="1" t="str">
        <f aca="false">IF($C574="","",IF($P574=_xlfn.MAXIFS($P$3:$P$1000,$B$3:$B$1000,$B574),"★ Cash cow – handmatig onderzoeken",""))</f>
        <v/>
      </c>
    </row>
    <row r="575" customFormat="false" ht="14.25" hidden="false" customHeight="true" outlineLevel="0" collapsed="false">
      <c r="A575" s="4"/>
      <c r="B575" s="5"/>
      <c r="C575" s="5"/>
      <c r="D575" s="5"/>
      <c r="E575" s="6"/>
      <c r="F575" s="7"/>
      <c r="G575" s="8"/>
      <c r="H575" s="7"/>
      <c r="I575" s="7"/>
      <c r="J575" s="6"/>
      <c r="K575" s="9" t="str">
        <f aca="false">IF(OR($J575="",$J575=0),"",$I575/$J575)</f>
        <v/>
      </c>
      <c r="L575" s="9" t="str">
        <f aca="false">IF(OR($E575="",$E575=0),"",$H575/$E575)</f>
        <v/>
      </c>
      <c r="M575" s="10" t="str">
        <f aca="false">IF(OR($L575="",$L575=0),"",($I575/30)/$L575)</f>
        <v/>
      </c>
      <c r="N575" s="8"/>
      <c r="O575" s="11" t="str">
        <f aca="false">IF(OR($I575="",$N575=""),"",($I575/1000)*$N575)</f>
        <v/>
      </c>
      <c r="P575" s="12" t="str">
        <f aca="false">IF($C575="","",IFERROR(ROUND(MIN(25,($N575/Instellingen!$B$3)*25)+MIN(25,($I575/Instellingen!$B$4)*25)+MIN(25,($J575/Instellingen!$B$5)*25)+MIN(25,(IF($M575="",0,$M575)/Instellingen!$B$6)*25),0),""))</f>
        <v/>
      </c>
      <c r="Q575" s="13" t="str">
        <f aca="false">IF($P575="","",IF($P575&gt;=Instellingen!$B$7,"Sterke niche",IF($P575&gt;=Instellingen!$B$8,"Belofte - opvolgen",IF($P575&gt;=Instellingen!$B$9,"Zwak - twijfel","Vermijden"))))</f>
        <v/>
      </c>
      <c r="R575" s="5"/>
      <c r="T575" s="1" t="str">
        <f aca="false">IF($C575="","",IF($P575=_xlfn.MAXIFS($P$3:$P$1000,$B$3:$B$1000,$B575),"★ Cash cow – handmatig onderzoeken",""))</f>
        <v/>
      </c>
    </row>
    <row r="576" customFormat="false" ht="14.25" hidden="false" customHeight="true" outlineLevel="0" collapsed="false">
      <c r="A576" s="4"/>
      <c r="B576" s="5"/>
      <c r="C576" s="5"/>
      <c r="D576" s="5"/>
      <c r="E576" s="6"/>
      <c r="F576" s="7"/>
      <c r="G576" s="8"/>
      <c r="H576" s="7"/>
      <c r="I576" s="7"/>
      <c r="J576" s="6"/>
      <c r="K576" s="9" t="str">
        <f aca="false">IF(OR($J576="",$J576=0),"",$I576/$J576)</f>
        <v/>
      </c>
      <c r="L576" s="9" t="str">
        <f aca="false">IF(OR($E576="",$E576=0),"",$H576/$E576)</f>
        <v/>
      </c>
      <c r="M576" s="10" t="str">
        <f aca="false">IF(OR($L576="",$L576=0),"",($I576/30)/$L576)</f>
        <v/>
      </c>
      <c r="N576" s="8"/>
      <c r="O576" s="11" t="str">
        <f aca="false">IF(OR($I576="",$N576=""),"",($I576/1000)*$N576)</f>
        <v/>
      </c>
      <c r="P576" s="12" t="str">
        <f aca="false">IF($C576="","",IFERROR(ROUND(MIN(25,($N576/Instellingen!$B$3)*25)+MIN(25,($I576/Instellingen!$B$4)*25)+MIN(25,($J576/Instellingen!$B$5)*25)+MIN(25,(IF($M576="",0,$M576)/Instellingen!$B$6)*25),0),""))</f>
        <v/>
      </c>
      <c r="Q576" s="13" t="str">
        <f aca="false">IF($P576="","",IF($P576&gt;=Instellingen!$B$7,"Sterke niche",IF($P576&gt;=Instellingen!$B$8,"Belofte - opvolgen",IF($P576&gt;=Instellingen!$B$9,"Zwak - twijfel","Vermijden"))))</f>
        <v/>
      </c>
      <c r="R576" s="5"/>
      <c r="T576" s="1" t="str">
        <f aca="false">IF($C576="","",IF($P576=_xlfn.MAXIFS($P$3:$P$1000,$B$3:$B$1000,$B576),"★ Cash cow – handmatig onderzoeken",""))</f>
        <v/>
      </c>
    </row>
    <row r="577" customFormat="false" ht="14.25" hidden="false" customHeight="true" outlineLevel="0" collapsed="false">
      <c r="A577" s="4"/>
      <c r="B577" s="5"/>
      <c r="C577" s="5"/>
      <c r="D577" s="5"/>
      <c r="E577" s="6"/>
      <c r="F577" s="7"/>
      <c r="G577" s="8"/>
      <c r="H577" s="7"/>
      <c r="I577" s="7"/>
      <c r="J577" s="6"/>
      <c r="K577" s="9" t="str">
        <f aca="false">IF(OR($J577="",$J577=0),"",$I577/$J577)</f>
        <v/>
      </c>
      <c r="L577" s="9" t="str">
        <f aca="false">IF(OR($E577="",$E577=0),"",$H577/$E577)</f>
        <v/>
      </c>
      <c r="M577" s="10" t="str">
        <f aca="false">IF(OR($L577="",$L577=0),"",($I577/30)/$L577)</f>
        <v/>
      </c>
      <c r="N577" s="8"/>
      <c r="O577" s="11" t="str">
        <f aca="false">IF(OR($I577="",$N577=""),"",($I577/1000)*$N577)</f>
        <v/>
      </c>
      <c r="P577" s="12" t="str">
        <f aca="false">IF($C577="","",IFERROR(ROUND(MIN(25,($N577/Instellingen!$B$3)*25)+MIN(25,($I577/Instellingen!$B$4)*25)+MIN(25,($J577/Instellingen!$B$5)*25)+MIN(25,(IF($M577="",0,$M577)/Instellingen!$B$6)*25),0),""))</f>
        <v/>
      </c>
      <c r="Q577" s="13" t="str">
        <f aca="false">IF($P577="","",IF($P577&gt;=Instellingen!$B$7,"Sterke niche",IF($P577&gt;=Instellingen!$B$8,"Belofte - opvolgen",IF($P577&gt;=Instellingen!$B$9,"Zwak - twijfel","Vermijden"))))</f>
        <v/>
      </c>
      <c r="R577" s="5"/>
      <c r="T577" s="1" t="str">
        <f aca="false">IF($C577="","",IF($P577=_xlfn.MAXIFS($P$3:$P$1000,$B$3:$B$1000,$B577),"★ Cash cow – handmatig onderzoeken",""))</f>
        <v/>
      </c>
    </row>
    <row r="578" customFormat="false" ht="14.25" hidden="false" customHeight="true" outlineLevel="0" collapsed="false">
      <c r="A578" s="4"/>
      <c r="B578" s="5"/>
      <c r="C578" s="5"/>
      <c r="D578" s="5"/>
      <c r="E578" s="6"/>
      <c r="F578" s="7"/>
      <c r="G578" s="8"/>
      <c r="H578" s="7"/>
      <c r="I578" s="7"/>
      <c r="J578" s="6"/>
      <c r="K578" s="9" t="str">
        <f aca="false">IF(OR($J578="",$J578=0),"",$I578/$J578)</f>
        <v/>
      </c>
      <c r="L578" s="9" t="str">
        <f aca="false">IF(OR($E578="",$E578=0),"",$H578/$E578)</f>
        <v/>
      </c>
      <c r="M578" s="10" t="str">
        <f aca="false">IF(OR($L578="",$L578=0),"",($I578/30)/$L578)</f>
        <v/>
      </c>
      <c r="N578" s="8"/>
      <c r="O578" s="11" t="str">
        <f aca="false">IF(OR($I578="",$N578=""),"",($I578/1000)*$N578)</f>
        <v/>
      </c>
      <c r="P578" s="12" t="str">
        <f aca="false">IF($C578="","",IFERROR(ROUND(MIN(25,($N578/Instellingen!$B$3)*25)+MIN(25,($I578/Instellingen!$B$4)*25)+MIN(25,($J578/Instellingen!$B$5)*25)+MIN(25,(IF($M578="",0,$M578)/Instellingen!$B$6)*25),0),""))</f>
        <v/>
      </c>
      <c r="Q578" s="13" t="str">
        <f aca="false">IF($P578="","",IF($P578&gt;=Instellingen!$B$7,"Sterke niche",IF($P578&gt;=Instellingen!$B$8,"Belofte - opvolgen",IF($P578&gt;=Instellingen!$B$9,"Zwak - twijfel","Vermijden"))))</f>
        <v/>
      </c>
      <c r="R578" s="5"/>
      <c r="T578" s="1" t="str">
        <f aca="false">IF($C578="","",IF($P578=_xlfn.MAXIFS($P$3:$P$1000,$B$3:$B$1000,$B578),"★ Cash cow – handmatig onderzoeken",""))</f>
        <v/>
      </c>
    </row>
    <row r="579" customFormat="false" ht="14.25" hidden="false" customHeight="true" outlineLevel="0" collapsed="false">
      <c r="A579" s="4"/>
      <c r="B579" s="5"/>
      <c r="C579" s="5"/>
      <c r="D579" s="5"/>
      <c r="E579" s="6"/>
      <c r="F579" s="7"/>
      <c r="G579" s="8"/>
      <c r="H579" s="7"/>
      <c r="I579" s="7"/>
      <c r="J579" s="6"/>
      <c r="K579" s="9" t="str">
        <f aca="false">IF(OR($J579="",$J579=0),"",$I579/$J579)</f>
        <v/>
      </c>
      <c r="L579" s="9" t="str">
        <f aca="false">IF(OR($E579="",$E579=0),"",$H579/$E579)</f>
        <v/>
      </c>
      <c r="M579" s="10" t="str">
        <f aca="false">IF(OR($L579="",$L579=0),"",($I579/30)/$L579)</f>
        <v/>
      </c>
      <c r="N579" s="8"/>
      <c r="O579" s="11" t="str">
        <f aca="false">IF(OR($I579="",$N579=""),"",($I579/1000)*$N579)</f>
        <v/>
      </c>
      <c r="P579" s="12" t="str">
        <f aca="false">IF($C579="","",IFERROR(ROUND(MIN(25,($N579/Instellingen!$B$3)*25)+MIN(25,($I579/Instellingen!$B$4)*25)+MIN(25,($J579/Instellingen!$B$5)*25)+MIN(25,(IF($M579="",0,$M579)/Instellingen!$B$6)*25),0),""))</f>
        <v/>
      </c>
      <c r="Q579" s="13" t="str">
        <f aca="false">IF($P579="","",IF($P579&gt;=Instellingen!$B$7,"Sterke niche",IF($P579&gt;=Instellingen!$B$8,"Belofte - opvolgen",IF($P579&gt;=Instellingen!$B$9,"Zwak - twijfel","Vermijden"))))</f>
        <v/>
      </c>
      <c r="R579" s="5"/>
      <c r="T579" s="1" t="str">
        <f aca="false">IF($C579="","",IF($P579=_xlfn.MAXIFS($P$3:$P$1000,$B$3:$B$1000,$B579),"★ Cash cow – handmatig onderzoeken",""))</f>
        <v/>
      </c>
    </row>
    <row r="580" customFormat="false" ht="14.25" hidden="false" customHeight="true" outlineLevel="0" collapsed="false">
      <c r="A580" s="4"/>
      <c r="B580" s="5"/>
      <c r="C580" s="5"/>
      <c r="D580" s="5"/>
      <c r="E580" s="6"/>
      <c r="F580" s="7"/>
      <c r="G580" s="8"/>
      <c r="H580" s="7"/>
      <c r="I580" s="7"/>
      <c r="J580" s="6"/>
      <c r="K580" s="9" t="str">
        <f aca="false">IF(OR($J580="",$J580=0),"",$I580/$J580)</f>
        <v/>
      </c>
      <c r="L580" s="9" t="str">
        <f aca="false">IF(OR($E580="",$E580=0),"",$H580/$E580)</f>
        <v/>
      </c>
      <c r="M580" s="10" t="str">
        <f aca="false">IF(OR($L580="",$L580=0),"",($I580/30)/$L580)</f>
        <v/>
      </c>
      <c r="N580" s="8"/>
      <c r="O580" s="11" t="str">
        <f aca="false">IF(OR($I580="",$N580=""),"",($I580/1000)*$N580)</f>
        <v/>
      </c>
      <c r="P580" s="12" t="str">
        <f aca="false">IF($C580="","",IFERROR(ROUND(MIN(25,($N580/Instellingen!$B$3)*25)+MIN(25,($I580/Instellingen!$B$4)*25)+MIN(25,($J580/Instellingen!$B$5)*25)+MIN(25,(IF($M580="",0,$M580)/Instellingen!$B$6)*25),0),""))</f>
        <v/>
      </c>
      <c r="Q580" s="13" t="str">
        <f aca="false">IF($P580="","",IF($P580&gt;=Instellingen!$B$7,"Sterke niche",IF($P580&gt;=Instellingen!$B$8,"Belofte - opvolgen",IF($P580&gt;=Instellingen!$B$9,"Zwak - twijfel","Vermijden"))))</f>
        <v/>
      </c>
      <c r="R580" s="5"/>
      <c r="T580" s="1" t="str">
        <f aca="false">IF($C580="","",IF($P580=_xlfn.MAXIFS($P$3:$P$1000,$B$3:$B$1000,$B580),"★ Cash cow – handmatig onderzoeken",""))</f>
        <v/>
      </c>
    </row>
    <row r="581" customFormat="false" ht="14.25" hidden="false" customHeight="true" outlineLevel="0" collapsed="false">
      <c r="A581" s="4"/>
      <c r="B581" s="5"/>
      <c r="C581" s="5"/>
      <c r="D581" s="5"/>
      <c r="E581" s="6"/>
      <c r="F581" s="7"/>
      <c r="G581" s="8"/>
      <c r="H581" s="7"/>
      <c r="I581" s="7"/>
      <c r="J581" s="6"/>
      <c r="K581" s="9" t="str">
        <f aca="false">IF(OR($J581="",$J581=0),"",$I581/$J581)</f>
        <v/>
      </c>
      <c r="L581" s="9" t="str">
        <f aca="false">IF(OR($E581="",$E581=0),"",$H581/$E581)</f>
        <v/>
      </c>
      <c r="M581" s="10" t="str">
        <f aca="false">IF(OR($L581="",$L581=0),"",($I581/30)/$L581)</f>
        <v/>
      </c>
      <c r="N581" s="8"/>
      <c r="O581" s="11" t="str">
        <f aca="false">IF(OR($I581="",$N581=""),"",($I581/1000)*$N581)</f>
        <v/>
      </c>
      <c r="P581" s="12" t="str">
        <f aca="false">IF($C581="","",IFERROR(ROUND(MIN(25,($N581/Instellingen!$B$3)*25)+MIN(25,($I581/Instellingen!$B$4)*25)+MIN(25,($J581/Instellingen!$B$5)*25)+MIN(25,(IF($M581="",0,$M581)/Instellingen!$B$6)*25),0),""))</f>
        <v/>
      </c>
      <c r="Q581" s="13" t="str">
        <f aca="false">IF($P581="","",IF($P581&gt;=Instellingen!$B$7,"Sterke niche",IF($P581&gt;=Instellingen!$B$8,"Belofte - opvolgen",IF($P581&gt;=Instellingen!$B$9,"Zwak - twijfel","Vermijden"))))</f>
        <v/>
      </c>
      <c r="R581" s="5"/>
      <c r="T581" s="1" t="str">
        <f aca="false">IF($C581="","",IF($P581=_xlfn.MAXIFS($P$3:$P$1000,$B$3:$B$1000,$B581),"★ Cash cow – handmatig onderzoeken",""))</f>
        <v/>
      </c>
    </row>
    <row r="582" customFormat="false" ht="14.25" hidden="false" customHeight="true" outlineLevel="0" collapsed="false">
      <c r="A582" s="4"/>
      <c r="B582" s="5"/>
      <c r="C582" s="5"/>
      <c r="D582" s="5"/>
      <c r="E582" s="6"/>
      <c r="F582" s="7"/>
      <c r="G582" s="8"/>
      <c r="H582" s="7"/>
      <c r="I582" s="7"/>
      <c r="J582" s="6"/>
      <c r="K582" s="9" t="str">
        <f aca="false">IF(OR($J582="",$J582=0),"",$I582/$J582)</f>
        <v/>
      </c>
      <c r="L582" s="9" t="str">
        <f aca="false">IF(OR($E582="",$E582=0),"",$H582/$E582)</f>
        <v/>
      </c>
      <c r="M582" s="10" t="str">
        <f aca="false">IF(OR($L582="",$L582=0),"",($I582/30)/$L582)</f>
        <v/>
      </c>
      <c r="N582" s="8"/>
      <c r="O582" s="11" t="str">
        <f aca="false">IF(OR($I582="",$N582=""),"",($I582/1000)*$N582)</f>
        <v/>
      </c>
      <c r="P582" s="12" t="str">
        <f aca="false">IF($C582="","",IFERROR(ROUND(MIN(25,($N582/Instellingen!$B$3)*25)+MIN(25,($I582/Instellingen!$B$4)*25)+MIN(25,($J582/Instellingen!$B$5)*25)+MIN(25,(IF($M582="",0,$M582)/Instellingen!$B$6)*25),0),""))</f>
        <v/>
      </c>
      <c r="Q582" s="13" t="str">
        <f aca="false">IF($P582="","",IF($P582&gt;=Instellingen!$B$7,"Sterke niche",IF($P582&gt;=Instellingen!$B$8,"Belofte - opvolgen",IF($P582&gt;=Instellingen!$B$9,"Zwak - twijfel","Vermijden"))))</f>
        <v/>
      </c>
      <c r="R582" s="5"/>
      <c r="T582" s="1" t="str">
        <f aca="false">IF($C582="","",IF($P582=_xlfn.MAXIFS($P$3:$P$1000,$B$3:$B$1000,$B582),"★ Cash cow – handmatig onderzoeken",""))</f>
        <v/>
      </c>
    </row>
    <row r="583" customFormat="false" ht="14.25" hidden="false" customHeight="true" outlineLevel="0" collapsed="false">
      <c r="A583" s="4"/>
      <c r="B583" s="5"/>
      <c r="C583" s="5"/>
      <c r="D583" s="5"/>
      <c r="E583" s="6"/>
      <c r="F583" s="7"/>
      <c r="G583" s="8"/>
      <c r="H583" s="7"/>
      <c r="I583" s="7"/>
      <c r="J583" s="6"/>
      <c r="K583" s="9" t="str">
        <f aca="false">IF(OR($J583="",$J583=0),"",$I583/$J583)</f>
        <v/>
      </c>
      <c r="L583" s="9" t="str">
        <f aca="false">IF(OR($E583="",$E583=0),"",$H583/$E583)</f>
        <v/>
      </c>
      <c r="M583" s="10" t="str">
        <f aca="false">IF(OR($L583="",$L583=0),"",($I583/30)/$L583)</f>
        <v/>
      </c>
      <c r="N583" s="8"/>
      <c r="O583" s="11" t="str">
        <f aca="false">IF(OR($I583="",$N583=""),"",($I583/1000)*$N583)</f>
        <v/>
      </c>
      <c r="P583" s="12" t="str">
        <f aca="false">IF($C583="","",IFERROR(ROUND(MIN(25,($N583/Instellingen!$B$3)*25)+MIN(25,($I583/Instellingen!$B$4)*25)+MIN(25,($J583/Instellingen!$B$5)*25)+MIN(25,(IF($M583="",0,$M583)/Instellingen!$B$6)*25),0),""))</f>
        <v/>
      </c>
      <c r="Q583" s="13" t="str">
        <f aca="false">IF($P583="","",IF($P583&gt;=Instellingen!$B$7,"Sterke niche",IF($P583&gt;=Instellingen!$B$8,"Belofte - opvolgen",IF($P583&gt;=Instellingen!$B$9,"Zwak - twijfel","Vermijden"))))</f>
        <v/>
      </c>
      <c r="R583" s="5"/>
      <c r="T583" s="1" t="str">
        <f aca="false">IF($C583="","",IF($P583=_xlfn.MAXIFS($P$3:$P$1000,$B$3:$B$1000,$B583),"★ Cash cow – handmatig onderzoeken",""))</f>
        <v/>
      </c>
    </row>
    <row r="584" customFormat="false" ht="14.25" hidden="false" customHeight="true" outlineLevel="0" collapsed="false">
      <c r="A584" s="4"/>
      <c r="B584" s="5"/>
      <c r="C584" s="5"/>
      <c r="D584" s="5"/>
      <c r="E584" s="6"/>
      <c r="F584" s="7"/>
      <c r="G584" s="8"/>
      <c r="H584" s="7"/>
      <c r="I584" s="7"/>
      <c r="J584" s="6"/>
      <c r="K584" s="9" t="str">
        <f aca="false">IF(OR($J584="",$J584=0),"",$I584/$J584)</f>
        <v/>
      </c>
      <c r="L584" s="9" t="str">
        <f aca="false">IF(OR($E584="",$E584=0),"",$H584/$E584)</f>
        <v/>
      </c>
      <c r="M584" s="10" t="str">
        <f aca="false">IF(OR($L584="",$L584=0),"",($I584/30)/$L584)</f>
        <v/>
      </c>
      <c r="N584" s="8"/>
      <c r="O584" s="11" t="str">
        <f aca="false">IF(OR($I584="",$N584=""),"",($I584/1000)*$N584)</f>
        <v/>
      </c>
      <c r="P584" s="12" t="str">
        <f aca="false">IF($C584="","",IFERROR(ROUND(MIN(25,($N584/Instellingen!$B$3)*25)+MIN(25,($I584/Instellingen!$B$4)*25)+MIN(25,($J584/Instellingen!$B$5)*25)+MIN(25,(IF($M584="",0,$M584)/Instellingen!$B$6)*25),0),""))</f>
        <v/>
      </c>
      <c r="Q584" s="13" t="str">
        <f aca="false">IF($P584="","",IF($P584&gt;=Instellingen!$B$7,"Sterke niche",IF($P584&gt;=Instellingen!$B$8,"Belofte - opvolgen",IF($P584&gt;=Instellingen!$B$9,"Zwak - twijfel","Vermijden"))))</f>
        <v/>
      </c>
      <c r="R584" s="5"/>
      <c r="T584" s="1" t="str">
        <f aca="false">IF($C584="","",IF($P584=_xlfn.MAXIFS($P$3:$P$1000,$B$3:$B$1000,$B584),"★ Cash cow – handmatig onderzoeken",""))</f>
        <v/>
      </c>
    </row>
    <row r="585" customFormat="false" ht="14.25" hidden="false" customHeight="true" outlineLevel="0" collapsed="false">
      <c r="A585" s="4"/>
      <c r="B585" s="5"/>
      <c r="C585" s="5"/>
      <c r="D585" s="5"/>
      <c r="E585" s="6"/>
      <c r="F585" s="7"/>
      <c r="G585" s="8"/>
      <c r="H585" s="7"/>
      <c r="I585" s="7"/>
      <c r="J585" s="6"/>
      <c r="K585" s="9" t="str">
        <f aca="false">IF(OR($J585="",$J585=0),"",$I585/$J585)</f>
        <v/>
      </c>
      <c r="L585" s="9" t="str">
        <f aca="false">IF(OR($E585="",$E585=0),"",$H585/$E585)</f>
        <v/>
      </c>
      <c r="M585" s="10" t="str">
        <f aca="false">IF(OR($L585="",$L585=0),"",($I585/30)/$L585)</f>
        <v/>
      </c>
      <c r="N585" s="8"/>
      <c r="O585" s="11" t="str">
        <f aca="false">IF(OR($I585="",$N585=""),"",($I585/1000)*$N585)</f>
        <v/>
      </c>
      <c r="P585" s="12" t="str">
        <f aca="false">IF($C585="","",IFERROR(ROUND(MIN(25,($N585/Instellingen!$B$3)*25)+MIN(25,($I585/Instellingen!$B$4)*25)+MIN(25,($J585/Instellingen!$B$5)*25)+MIN(25,(IF($M585="",0,$M585)/Instellingen!$B$6)*25),0),""))</f>
        <v/>
      </c>
      <c r="Q585" s="13" t="str">
        <f aca="false">IF($P585="","",IF($P585&gt;=Instellingen!$B$7,"Sterke niche",IF($P585&gt;=Instellingen!$B$8,"Belofte - opvolgen",IF($P585&gt;=Instellingen!$B$9,"Zwak - twijfel","Vermijden"))))</f>
        <v/>
      </c>
      <c r="R585" s="5"/>
      <c r="T585" s="1" t="str">
        <f aca="false">IF($C585="","",IF($P585=_xlfn.MAXIFS($P$3:$P$1000,$B$3:$B$1000,$B585),"★ Cash cow – handmatig onderzoeken",""))</f>
        <v/>
      </c>
    </row>
    <row r="586" customFormat="false" ht="14.25" hidden="false" customHeight="true" outlineLevel="0" collapsed="false">
      <c r="A586" s="4"/>
      <c r="B586" s="5"/>
      <c r="C586" s="5"/>
      <c r="D586" s="5"/>
      <c r="E586" s="6"/>
      <c r="F586" s="7"/>
      <c r="G586" s="8"/>
      <c r="H586" s="7"/>
      <c r="I586" s="7"/>
      <c r="J586" s="6"/>
      <c r="K586" s="9" t="str">
        <f aca="false">IF(OR($J586="",$J586=0),"",$I586/$J586)</f>
        <v/>
      </c>
      <c r="L586" s="9" t="str">
        <f aca="false">IF(OR($E586="",$E586=0),"",$H586/$E586)</f>
        <v/>
      </c>
      <c r="M586" s="10" t="str">
        <f aca="false">IF(OR($L586="",$L586=0),"",($I586/30)/$L586)</f>
        <v/>
      </c>
      <c r="N586" s="8"/>
      <c r="O586" s="11" t="str">
        <f aca="false">IF(OR($I586="",$N586=""),"",($I586/1000)*$N586)</f>
        <v/>
      </c>
      <c r="P586" s="12" t="str">
        <f aca="false">IF($C586="","",IFERROR(ROUND(MIN(25,($N586/Instellingen!$B$3)*25)+MIN(25,($I586/Instellingen!$B$4)*25)+MIN(25,($J586/Instellingen!$B$5)*25)+MIN(25,(IF($M586="",0,$M586)/Instellingen!$B$6)*25),0),""))</f>
        <v/>
      </c>
      <c r="Q586" s="13" t="str">
        <f aca="false">IF($P586="","",IF($P586&gt;=Instellingen!$B$7,"Sterke niche",IF($P586&gt;=Instellingen!$B$8,"Belofte - opvolgen",IF($P586&gt;=Instellingen!$B$9,"Zwak - twijfel","Vermijden"))))</f>
        <v/>
      </c>
      <c r="R586" s="5"/>
      <c r="T586" s="1" t="str">
        <f aca="false">IF($C586="","",IF($P586=_xlfn.MAXIFS($P$3:$P$1000,$B$3:$B$1000,$B586),"★ Cash cow – handmatig onderzoeken",""))</f>
        <v/>
      </c>
    </row>
    <row r="587" customFormat="false" ht="14.25" hidden="false" customHeight="true" outlineLevel="0" collapsed="false">
      <c r="A587" s="4"/>
      <c r="B587" s="5"/>
      <c r="C587" s="5"/>
      <c r="D587" s="5"/>
      <c r="E587" s="6"/>
      <c r="F587" s="7"/>
      <c r="G587" s="8"/>
      <c r="H587" s="7"/>
      <c r="I587" s="7"/>
      <c r="J587" s="6"/>
      <c r="K587" s="9" t="str">
        <f aca="false">IF(OR($J587="",$J587=0),"",$I587/$J587)</f>
        <v/>
      </c>
      <c r="L587" s="9" t="str">
        <f aca="false">IF(OR($E587="",$E587=0),"",$H587/$E587)</f>
        <v/>
      </c>
      <c r="M587" s="10" t="str">
        <f aca="false">IF(OR($L587="",$L587=0),"",($I587/30)/$L587)</f>
        <v/>
      </c>
      <c r="N587" s="8"/>
      <c r="O587" s="11" t="str">
        <f aca="false">IF(OR($I587="",$N587=""),"",($I587/1000)*$N587)</f>
        <v/>
      </c>
      <c r="P587" s="12" t="str">
        <f aca="false">IF($C587="","",IFERROR(ROUND(MIN(25,($N587/Instellingen!$B$3)*25)+MIN(25,($I587/Instellingen!$B$4)*25)+MIN(25,($J587/Instellingen!$B$5)*25)+MIN(25,(IF($M587="",0,$M587)/Instellingen!$B$6)*25),0),""))</f>
        <v/>
      </c>
      <c r="Q587" s="13" t="str">
        <f aca="false">IF($P587="","",IF($P587&gt;=Instellingen!$B$7,"Sterke niche",IF($P587&gt;=Instellingen!$B$8,"Belofte - opvolgen",IF($P587&gt;=Instellingen!$B$9,"Zwak - twijfel","Vermijden"))))</f>
        <v/>
      </c>
      <c r="R587" s="5"/>
      <c r="T587" s="1" t="str">
        <f aca="false">IF($C587="","",IF($P587=_xlfn.MAXIFS($P$3:$P$1000,$B$3:$B$1000,$B587),"★ Cash cow – handmatig onderzoeken",""))</f>
        <v/>
      </c>
    </row>
    <row r="588" customFormat="false" ht="14.25" hidden="false" customHeight="true" outlineLevel="0" collapsed="false">
      <c r="A588" s="4"/>
      <c r="B588" s="5"/>
      <c r="C588" s="5"/>
      <c r="D588" s="5"/>
      <c r="E588" s="6"/>
      <c r="F588" s="7"/>
      <c r="G588" s="8"/>
      <c r="H588" s="7"/>
      <c r="I588" s="7"/>
      <c r="J588" s="6"/>
      <c r="K588" s="9" t="str">
        <f aca="false">IF(OR($J588="",$J588=0),"",$I588/$J588)</f>
        <v/>
      </c>
      <c r="L588" s="9" t="str">
        <f aca="false">IF(OR($E588="",$E588=0),"",$H588/$E588)</f>
        <v/>
      </c>
      <c r="M588" s="10" t="str">
        <f aca="false">IF(OR($L588="",$L588=0),"",($I588/30)/$L588)</f>
        <v/>
      </c>
      <c r="N588" s="8"/>
      <c r="O588" s="11" t="str">
        <f aca="false">IF(OR($I588="",$N588=""),"",($I588/1000)*$N588)</f>
        <v/>
      </c>
      <c r="P588" s="12" t="str">
        <f aca="false">IF($C588="","",IFERROR(ROUND(MIN(25,($N588/Instellingen!$B$3)*25)+MIN(25,($I588/Instellingen!$B$4)*25)+MIN(25,($J588/Instellingen!$B$5)*25)+MIN(25,(IF($M588="",0,$M588)/Instellingen!$B$6)*25),0),""))</f>
        <v/>
      </c>
      <c r="Q588" s="13" t="str">
        <f aca="false">IF($P588="","",IF($P588&gt;=Instellingen!$B$7,"Sterke niche",IF($P588&gt;=Instellingen!$B$8,"Belofte - opvolgen",IF($P588&gt;=Instellingen!$B$9,"Zwak - twijfel","Vermijden"))))</f>
        <v/>
      </c>
      <c r="R588" s="5"/>
      <c r="T588" s="1" t="str">
        <f aca="false">IF($C588="","",IF($P588=_xlfn.MAXIFS($P$3:$P$1000,$B$3:$B$1000,$B588),"★ Cash cow – handmatig onderzoeken",""))</f>
        <v/>
      </c>
    </row>
    <row r="589" customFormat="false" ht="14.25" hidden="false" customHeight="true" outlineLevel="0" collapsed="false">
      <c r="A589" s="4"/>
      <c r="B589" s="5"/>
      <c r="C589" s="5"/>
      <c r="D589" s="5"/>
      <c r="E589" s="6"/>
      <c r="F589" s="7"/>
      <c r="G589" s="8"/>
      <c r="H589" s="7"/>
      <c r="I589" s="7"/>
      <c r="J589" s="6"/>
      <c r="K589" s="9" t="str">
        <f aca="false">IF(OR($J589="",$J589=0),"",$I589/$J589)</f>
        <v/>
      </c>
      <c r="L589" s="9" t="str">
        <f aca="false">IF(OR($E589="",$E589=0),"",$H589/$E589)</f>
        <v/>
      </c>
      <c r="M589" s="10" t="str">
        <f aca="false">IF(OR($L589="",$L589=0),"",($I589/30)/$L589)</f>
        <v/>
      </c>
      <c r="N589" s="8"/>
      <c r="O589" s="11" t="str">
        <f aca="false">IF(OR($I589="",$N589=""),"",($I589/1000)*$N589)</f>
        <v/>
      </c>
      <c r="P589" s="12" t="str">
        <f aca="false">IF($C589="","",IFERROR(ROUND(MIN(25,($N589/Instellingen!$B$3)*25)+MIN(25,($I589/Instellingen!$B$4)*25)+MIN(25,($J589/Instellingen!$B$5)*25)+MIN(25,(IF($M589="",0,$M589)/Instellingen!$B$6)*25),0),""))</f>
        <v/>
      </c>
      <c r="Q589" s="13" t="str">
        <f aca="false">IF($P589="","",IF($P589&gt;=Instellingen!$B$7,"Sterke niche",IF($P589&gt;=Instellingen!$B$8,"Belofte - opvolgen",IF($P589&gt;=Instellingen!$B$9,"Zwak - twijfel","Vermijden"))))</f>
        <v/>
      </c>
      <c r="R589" s="5"/>
      <c r="T589" s="1" t="str">
        <f aca="false">IF($C589="","",IF($P589=_xlfn.MAXIFS($P$3:$P$1000,$B$3:$B$1000,$B589),"★ Cash cow – handmatig onderzoeken",""))</f>
        <v/>
      </c>
    </row>
    <row r="590" customFormat="false" ht="14.25" hidden="false" customHeight="true" outlineLevel="0" collapsed="false">
      <c r="A590" s="4"/>
      <c r="B590" s="5"/>
      <c r="C590" s="5"/>
      <c r="D590" s="5"/>
      <c r="E590" s="6"/>
      <c r="F590" s="7"/>
      <c r="G590" s="8"/>
      <c r="H590" s="7"/>
      <c r="I590" s="7"/>
      <c r="J590" s="6"/>
      <c r="K590" s="9" t="str">
        <f aca="false">IF(OR($J590="",$J590=0),"",$I590/$J590)</f>
        <v/>
      </c>
      <c r="L590" s="9" t="str">
        <f aca="false">IF(OR($E590="",$E590=0),"",$H590/$E590)</f>
        <v/>
      </c>
      <c r="M590" s="10" t="str">
        <f aca="false">IF(OR($L590="",$L590=0),"",($I590/30)/$L590)</f>
        <v/>
      </c>
      <c r="N590" s="8"/>
      <c r="O590" s="11" t="str">
        <f aca="false">IF(OR($I590="",$N590=""),"",($I590/1000)*$N590)</f>
        <v/>
      </c>
      <c r="P590" s="12" t="str">
        <f aca="false">IF($C590="","",IFERROR(ROUND(MIN(25,($N590/Instellingen!$B$3)*25)+MIN(25,($I590/Instellingen!$B$4)*25)+MIN(25,($J590/Instellingen!$B$5)*25)+MIN(25,(IF($M590="",0,$M590)/Instellingen!$B$6)*25),0),""))</f>
        <v/>
      </c>
      <c r="Q590" s="13" t="str">
        <f aca="false">IF($P590="","",IF($P590&gt;=Instellingen!$B$7,"Sterke niche",IF($P590&gt;=Instellingen!$B$8,"Belofte - opvolgen",IF($P590&gt;=Instellingen!$B$9,"Zwak - twijfel","Vermijden"))))</f>
        <v/>
      </c>
      <c r="R590" s="5"/>
      <c r="T590" s="1" t="str">
        <f aca="false">IF($C590="","",IF($P590=_xlfn.MAXIFS($P$3:$P$1000,$B$3:$B$1000,$B590),"★ Cash cow – handmatig onderzoeken",""))</f>
        <v/>
      </c>
    </row>
    <row r="591" customFormat="false" ht="14.25" hidden="false" customHeight="true" outlineLevel="0" collapsed="false">
      <c r="A591" s="4"/>
      <c r="B591" s="5"/>
      <c r="C591" s="5"/>
      <c r="D591" s="5"/>
      <c r="E591" s="6"/>
      <c r="F591" s="7"/>
      <c r="G591" s="8"/>
      <c r="H591" s="7"/>
      <c r="I591" s="7"/>
      <c r="J591" s="6"/>
      <c r="K591" s="9" t="str">
        <f aca="false">IF(OR($J591="",$J591=0),"",$I591/$J591)</f>
        <v/>
      </c>
      <c r="L591" s="9" t="str">
        <f aca="false">IF(OR($E591="",$E591=0),"",$H591/$E591)</f>
        <v/>
      </c>
      <c r="M591" s="10" t="str">
        <f aca="false">IF(OR($L591="",$L591=0),"",($I591/30)/$L591)</f>
        <v/>
      </c>
      <c r="N591" s="8"/>
      <c r="O591" s="11" t="str">
        <f aca="false">IF(OR($I591="",$N591=""),"",($I591/1000)*$N591)</f>
        <v/>
      </c>
      <c r="P591" s="12" t="str">
        <f aca="false">IF($C591="","",IFERROR(ROUND(MIN(25,($N591/Instellingen!$B$3)*25)+MIN(25,($I591/Instellingen!$B$4)*25)+MIN(25,($J591/Instellingen!$B$5)*25)+MIN(25,(IF($M591="",0,$M591)/Instellingen!$B$6)*25),0),""))</f>
        <v/>
      </c>
      <c r="Q591" s="13" t="str">
        <f aca="false">IF($P591="","",IF($P591&gt;=Instellingen!$B$7,"Sterke niche",IF($P591&gt;=Instellingen!$B$8,"Belofte - opvolgen",IF($P591&gt;=Instellingen!$B$9,"Zwak - twijfel","Vermijden"))))</f>
        <v/>
      </c>
      <c r="R591" s="5"/>
      <c r="T591" s="1" t="str">
        <f aca="false">IF($C591="","",IF($P591=_xlfn.MAXIFS($P$3:$P$1000,$B$3:$B$1000,$B591),"★ Cash cow – handmatig onderzoeken",""))</f>
        <v/>
      </c>
    </row>
    <row r="592" customFormat="false" ht="14.25" hidden="false" customHeight="true" outlineLevel="0" collapsed="false">
      <c r="A592" s="4"/>
      <c r="B592" s="5"/>
      <c r="C592" s="5"/>
      <c r="D592" s="5"/>
      <c r="E592" s="6"/>
      <c r="F592" s="7"/>
      <c r="G592" s="8"/>
      <c r="H592" s="7"/>
      <c r="I592" s="7"/>
      <c r="J592" s="6"/>
      <c r="K592" s="9" t="str">
        <f aca="false">IF(OR($J592="",$J592=0),"",$I592/$J592)</f>
        <v/>
      </c>
      <c r="L592" s="9" t="str">
        <f aca="false">IF(OR($E592="",$E592=0),"",$H592/$E592)</f>
        <v/>
      </c>
      <c r="M592" s="10" t="str">
        <f aca="false">IF(OR($L592="",$L592=0),"",($I592/30)/$L592)</f>
        <v/>
      </c>
      <c r="N592" s="8"/>
      <c r="O592" s="11" t="str">
        <f aca="false">IF(OR($I592="",$N592=""),"",($I592/1000)*$N592)</f>
        <v/>
      </c>
      <c r="P592" s="12" t="str">
        <f aca="false">IF($C592="","",IFERROR(ROUND(MIN(25,($N592/Instellingen!$B$3)*25)+MIN(25,($I592/Instellingen!$B$4)*25)+MIN(25,($J592/Instellingen!$B$5)*25)+MIN(25,(IF($M592="",0,$M592)/Instellingen!$B$6)*25),0),""))</f>
        <v/>
      </c>
      <c r="Q592" s="13" t="str">
        <f aca="false">IF($P592="","",IF($P592&gt;=Instellingen!$B$7,"Sterke niche",IF($P592&gt;=Instellingen!$B$8,"Belofte - opvolgen",IF($P592&gt;=Instellingen!$B$9,"Zwak - twijfel","Vermijden"))))</f>
        <v/>
      </c>
      <c r="R592" s="5"/>
      <c r="T592" s="1" t="str">
        <f aca="false">IF($C592="","",IF($P592=_xlfn.MAXIFS($P$3:$P$1000,$B$3:$B$1000,$B592),"★ Cash cow – handmatig onderzoeken",""))</f>
        <v/>
      </c>
    </row>
    <row r="593" customFormat="false" ht="14.25" hidden="false" customHeight="true" outlineLevel="0" collapsed="false">
      <c r="A593" s="4"/>
      <c r="B593" s="5"/>
      <c r="C593" s="5"/>
      <c r="D593" s="5"/>
      <c r="E593" s="6"/>
      <c r="F593" s="7"/>
      <c r="G593" s="8"/>
      <c r="H593" s="7"/>
      <c r="I593" s="7"/>
      <c r="J593" s="6"/>
      <c r="K593" s="9" t="str">
        <f aca="false">IF(OR($J593="",$J593=0),"",$I593/$J593)</f>
        <v/>
      </c>
      <c r="L593" s="9" t="str">
        <f aca="false">IF(OR($E593="",$E593=0),"",$H593/$E593)</f>
        <v/>
      </c>
      <c r="M593" s="10" t="str">
        <f aca="false">IF(OR($L593="",$L593=0),"",($I593/30)/$L593)</f>
        <v/>
      </c>
      <c r="N593" s="8"/>
      <c r="O593" s="11" t="str">
        <f aca="false">IF(OR($I593="",$N593=""),"",($I593/1000)*$N593)</f>
        <v/>
      </c>
      <c r="P593" s="12" t="str">
        <f aca="false">IF($C593="","",IFERROR(ROUND(MIN(25,($N593/Instellingen!$B$3)*25)+MIN(25,($I593/Instellingen!$B$4)*25)+MIN(25,($J593/Instellingen!$B$5)*25)+MIN(25,(IF($M593="",0,$M593)/Instellingen!$B$6)*25),0),""))</f>
        <v/>
      </c>
      <c r="Q593" s="13" t="str">
        <f aca="false">IF($P593="","",IF($P593&gt;=Instellingen!$B$7,"Sterke niche",IF($P593&gt;=Instellingen!$B$8,"Belofte - opvolgen",IF($P593&gt;=Instellingen!$B$9,"Zwak - twijfel","Vermijden"))))</f>
        <v/>
      </c>
      <c r="R593" s="5"/>
      <c r="T593" s="1" t="str">
        <f aca="false">IF($C593="","",IF($P593=_xlfn.MAXIFS($P$3:$P$1000,$B$3:$B$1000,$B593),"★ Cash cow – handmatig onderzoeken",""))</f>
        <v/>
      </c>
    </row>
    <row r="594" customFormat="false" ht="14.25" hidden="false" customHeight="true" outlineLevel="0" collapsed="false">
      <c r="A594" s="4"/>
      <c r="B594" s="5"/>
      <c r="C594" s="5"/>
      <c r="D594" s="5"/>
      <c r="E594" s="6"/>
      <c r="F594" s="7"/>
      <c r="G594" s="8"/>
      <c r="H594" s="7"/>
      <c r="I594" s="7"/>
      <c r="J594" s="6"/>
      <c r="K594" s="9" t="str">
        <f aca="false">IF(OR($J594="",$J594=0),"",$I594/$J594)</f>
        <v/>
      </c>
      <c r="L594" s="9" t="str">
        <f aca="false">IF(OR($E594="",$E594=0),"",$H594/$E594)</f>
        <v/>
      </c>
      <c r="M594" s="10" t="str">
        <f aca="false">IF(OR($L594="",$L594=0),"",($I594/30)/$L594)</f>
        <v/>
      </c>
      <c r="N594" s="8"/>
      <c r="O594" s="11" t="str">
        <f aca="false">IF(OR($I594="",$N594=""),"",($I594/1000)*$N594)</f>
        <v/>
      </c>
      <c r="P594" s="12" t="str">
        <f aca="false">IF($C594="","",IFERROR(ROUND(MIN(25,($N594/Instellingen!$B$3)*25)+MIN(25,($I594/Instellingen!$B$4)*25)+MIN(25,($J594/Instellingen!$B$5)*25)+MIN(25,(IF($M594="",0,$M594)/Instellingen!$B$6)*25),0),""))</f>
        <v/>
      </c>
      <c r="Q594" s="13" t="str">
        <f aca="false">IF($P594="","",IF($P594&gt;=Instellingen!$B$7,"Sterke niche",IF($P594&gt;=Instellingen!$B$8,"Belofte - opvolgen",IF($P594&gt;=Instellingen!$B$9,"Zwak - twijfel","Vermijden"))))</f>
        <v/>
      </c>
      <c r="R594" s="5"/>
      <c r="T594" s="1" t="str">
        <f aca="false">IF($C594="","",IF($P594=_xlfn.MAXIFS($P$3:$P$1000,$B$3:$B$1000,$B594),"★ Cash cow – handmatig onderzoeken",""))</f>
        <v/>
      </c>
    </row>
    <row r="595" customFormat="false" ht="14.25" hidden="false" customHeight="true" outlineLevel="0" collapsed="false">
      <c r="A595" s="4"/>
      <c r="B595" s="5"/>
      <c r="C595" s="5"/>
      <c r="D595" s="5"/>
      <c r="E595" s="6"/>
      <c r="F595" s="7"/>
      <c r="G595" s="8"/>
      <c r="H595" s="7"/>
      <c r="I595" s="7"/>
      <c r="J595" s="6"/>
      <c r="K595" s="9" t="str">
        <f aca="false">IF(OR($J595="",$J595=0),"",$I595/$J595)</f>
        <v/>
      </c>
      <c r="L595" s="9" t="str">
        <f aca="false">IF(OR($E595="",$E595=0),"",$H595/$E595)</f>
        <v/>
      </c>
      <c r="M595" s="10" t="str">
        <f aca="false">IF(OR($L595="",$L595=0),"",($I595/30)/$L595)</f>
        <v/>
      </c>
      <c r="N595" s="8"/>
      <c r="O595" s="11" t="str">
        <f aca="false">IF(OR($I595="",$N595=""),"",($I595/1000)*$N595)</f>
        <v/>
      </c>
      <c r="P595" s="12" t="str">
        <f aca="false">IF($C595="","",IFERROR(ROUND(MIN(25,($N595/Instellingen!$B$3)*25)+MIN(25,($I595/Instellingen!$B$4)*25)+MIN(25,($J595/Instellingen!$B$5)*25)+MIN(25,(IF($M595="",0,$M595)/Instellingen!$B$6)*25),0),""))</f>
        <v/>
      </c>
      <c r="Q595" s="13" t="str">
        <f aca="false">IF($P595="","",IF($P595&gt;=Instellingen!$B$7,"Sterke niche",IF($P595&gt;=Instellingen!$B$8,"Belofte - opvolgen",IF($P595&gt;=Instellingen!$B$9,"Zwak - twijfel","Vermijden"))))</f>
        <v/>
      </c>
      <c r="R595" s="5"/>
      <c r="T595" s="1" t="str">
        <f aca="false">IF($C595="","",IF($P595=_xlfn.MAXIFS($P$3:$P$1000,$B$3:$B$1000,$B595),"★ Cash cow – handmatig onderzoeken",""))</f>
        <v/>
      </c>
    </row>
    <row r="596" customFormat="false" ht="14.25" hidden="false" customHeight="true" outlineLevel="0" collapsed="false">
      <c r="A596" s="4"/>
      <c r="B596" s="5"/>
      <c r="C596" s="5"/>
      <c r="D596" s="5"/>
      <c r="E596" s="6"/>
      <c r="F596" s="7"/>
      <c r="G596" s="8"/>
      <c r="H596" s="7"/>
      <c r="I596" s="7"/>
      <c r="J596" s="6"/>
      <c r="K596" s="9" t="str">
        <f aca="false">IF(OR($J596="",$J596=0),"",$I596/$J596)</f>
        <v/>
      </c>
      <c r="L596" s="9" t="str">
        <f aca="false">IF(OR($E596="",$E596=0),"",$H596/$E596)</f>
        <v/>
      </c>
      <c r="M596" s="10" t="str">
        <f aca="false">IF(OR($L596="",$L596=0),"",($I596/30)/$L596)</f>
        <v/>
      </c>
      <c r="N596" s="8"/>
      <c r="O596" s="11" t="str">
        <f aca="false">IF(OR($I596="",$N596=""),"",($I596/1000)*$N596)</f>
        <v/>
      </c>
      <c r="P596" s="12" t="str">
        <f aca="false">IF($C596="","",IFERROR(ROUND(MIN(25,($N596/Instellingen!$B$3)*25)+MIN(25,($I596/Instellingen!$B$4)*25)+MIN(25,($J596/Instellingen!$B$5)*25)+MIN(25,(IF($M596="",0,$M596)/Instellingen!$B$6)*25),0),""))</f>
        <v/>
      </c>
      <c r="Q596" s="13" t="str">
        <f aca="false">IF($P596="","",IF($P596&gt;=Instellingen!$B$7,"Sterke niche",IF($P596&gt;=Instellingen!$B$8,"Belofte - opvolgen",IF($P596&gt;=Instellingen!$B$9,"Zwak - twijfel","Vermijden"))))</f>
        <v/>
      </c>
      <c r="R596" s="5"/>
      <c r="T596" s="1" t="str">
        <f aca="false">IF($C596="","",IF($P596=_xlfn.MAXIFS($P$3:$P$1000,$B$3:$B$1000,$B596),"★ Cash cow – handmatig onderzoeken",""))</f>
        <v/>
      </c>
    </row>
    <row r="597" customFormat="false" ht="14.25" hidden="false" customHeight="true" outlineLevel="0" collapsed="false">
      <c r="A597" s="4"/>
      <c r="B597" s="5"/>
      <c r="C597" s="5"/>
      <c r="D597" s="5"/>
      <c r="E597" s="6"/>
      <c r="F597" s="7"/>
      <c r="G597" s="8"/>
      <c r="H597" s="7"/>
      <c r="I597" s="7"/>
      <c r="J597" s="6"/>
      <c r="K597" s="9" t="str">
        <f aca="false">IF(OR($J597="",$J597=0),"",$I597/$J597)</f>
        <v/>
      </c>
      <c r="L597" s="9" t="str">
        <f aca="false">IF(OR($E597="",$E597=0),"",$H597/$E597)</f>
        <v/>
      </c>
      <c r="M597" s="10" t="str">
        <f aca="false">IF(OR($L597="",$L597=0),"",($I597/30)/$L597)</f>
        <v/>
      </c>
      <c r="N597" s="8"/>
      <c r="O597" s="11" t="str">
        <f aca="false">IF(OR($I597="",$N597=""),"",($I597/1000)*$N597)</f>
        <v/>
      </c>
      <c r="P597" s="12" t="str">
        <f aca="false">IF($C597="","",IFERROR(ROUND(MIN(25,($N597/Instellingen!$B$3)*25)+MIN(25,($I597/Instellingen!$B$4)*25)+MIN(25,($J597/Instellingen!$B$5)*25)+MIN(25,(IF($M597="",0,$M597)/Instellingen!$B$6)*25),0),""))</f>
        <v/>
      </c>
      <c r="Q597" s="13" t="str">
        <f aca="false">IF($P597="","",IF($P597&gt;=Instellingen!$B$7,"Sterke niche",IF($P597&gt;=Instellingen!$B$8,"Belofte - opvolgen",IF($P597&gt;=Instellingen!$B$9,"Zwak - twijfel","Vermijden"))))</f>
        <v/>
      </c>
      <c r="R597" s="5"/>
      <c r="T597" s="1" t="str">
        <f aca="false">IF($C597="","",IF($P597=_xlfn.MAXIFS($P$3:$P$1000,$B$3:$B$1000,$B597),"★ Cash cow – handmatig onderzoeken",""))</f>
        <v/>
      </c>
    </row>
    <row r="598" customFormat="false" ht="14.25" hidden="false" customHeight="true" outlineLevel="0" collapsed="false">
      <c r="A598" s="4"/>
      <c r="B598" s="5"/>
      <c r="C598" s="5"/>
      <c r="D598" s="5"/>
      <c r="E598" s="6"/>
      <c r="F598" s="7"/>
      <c r="G598" s="8"/>
      <c r="H598" s="7"/>
      <c r="I598" s="7"/>
      <c r="J598" s="6"/>
      <c r="K598" s="9" t="str">
        <f aca="false">IF(OR($J598="",$J598=0),"",$I598/$J598)</f>
        <v/>
      </c>
      <c r="L598" s="9" t="str">
        <f aca="false">IF(OR($E598="",$E598=0),"",$H598/$E598)</f>
        <v/>
      </c>
      <c r="M598" s="10" t="str">
        <f aca="false">IF(OR($L598="",$L598=0),"",($I598/30)/$L598)</f>
        <v/>
      </c>
      <c r="N598" s="8"/>
      <c r="O598" s="11" t="str">
        <f aca="false">IF(OR($I598="",$N598=""),"",($I598/1000)*$N598)</f>
        <v/>
      </c>
      <c r="P598" s="12" t="str">
        <f aca="false">IF($C598="","",IFERROR(ROUND(MIN(25,($N598/Instellingen!$B$3)*25)+MIN(25,($I598/Instellingen!$B$4)*25)+MIN(25,($J598/Instellingen!$B$5)*25)+MIN(25,(IF($M598="",0,$M598)/Instellingen!$B$6)*25),0),""))</f>
        <v/>
      </c>
      <c r="Q598" s="13" t="str">
        <f aca="false">IF($P598="","",IF($P598&gt;=Instellingen!$B$7,"Sterke niche",IF($P598&gt;=Instellingen!$B$8,"Belofte - opvolgen",IF($P598&gt;=Instellingen!$B$9,"Zwak - twijfel","Vermijden"))))</f>
        <v/>
      </c>
      <c r="R598" s="5"/>
      <c r="T598" s="1" t="str">
        <f aca="false">IF($C598="","",IF($P598=_xlfn.MAXIFS($P$3:$P$1000,$B$3:$B$1000,$B598),"★ Cash cow – handmatig onderzoeken",""))</f>
        <v/>
      </c>
    </row>
    <row r="599" customFormat="false" ht="14.25" hidden="false" customHeight="true" outlineLevel="0" collapsed="false">
      <c r="A599" s="4"/>
      <c r="B599" s="5"/>
      <c r="C599" s="5"/>
      <c r="D599" s="5"/>
      <c r="E599" s="6"/>
      <c r="F599" s="7"/>
      <c r="G599" s="8"/>
      <c r="H599" s="7"/>
      <c r="I599" s="7"/>
      <c r="J599" s="6"/>
      <c r="K599" s="9" t="str">
        <f aca="false">IF(OR($J599="",$J599=0),"",$I599/$J599)</f>
        <v/>
      </c>
      <c r="L599" s="9" t="str">
        <f aca="false">IF(OR($E599="",$E599=0),"",$H599/$E599)</f>
        <v/>
      </c>
      <c r="M599" s="10" t="str">
        <f aca="false">IF(OR($L599="",$L599=0),"",($I599/30)/$L599)</f>
        <v/>
      </c>
      <c r="N599" s="8"/>
      <c r="O599" s="11" t="str">
        <f aca="false">IF(OR($I599="",$N599=""),"",($I599/1000)*$N599)</f>
        <v/>
      </c>
      <c r="P599" s="12" t="str">
        <f aca="false">IF($C599="","",IFERROR(ROUND(MIN(25,($N599/Instellingen!$B$3)*25)+MIN(25,($I599/Instellingen!$B$4)*25)+MIN(25,($J599/Instellingen!$B$5)*25)+MIN(25,(IF($M599="",0,$M599)/Instellingen!$B$6)*25),0),""))</f>
        <v/>
      </c>
      <c r="Q599" s="13" t="str">
        <f aca="false">IF($P599="","",IF($P599&gt;=Instellingen!$B$7,"Sterke niche",IF($P599&gt;=Instellingen!$B$8,"Belofte - opvolgen",IF($P599&gt;=Instellingen!$B$9,"Zwak - twijfel","Vermijden"))))</f>
        <v/>
      </c>
      <c r="R599" s="5"/>
      <c r="T599" s="1" t="str">
        <f aca="false">IF($C599="","",IF($P599=_xlfn.MAXIFS($P$3:$P$1000,$B$3:$B$1000,$B599),"★ Cash cow – handmatig onderzoeken",""))</f>
        <v/>
      </c>
    </row>
    <row r="600" customFormat="false" ht="14.25" hidden="false" customHeight="true" outlineLevel="0" collapsed="false">
      <c r="A600" s="4"/>
      <c r="B600" s="5"/>
      <c r="C600" s="5"/>
      <c r="D600" s="5"/>
      <c r="E600" s="6"/>
      <c r="F600" s="7"/>
      <c r="G600" s="8"/>
      <c r="H600" s="7"/>
      <c r="I600" s="7"/>
      <c r="J600" s="6"/>
      <c r="K600" s="9" t="str">
        <f aca="false">IF(OR($J600="",$J600=0),"",$I600/$J600)</f>
        <v/>
      </c>
      <c r="L600" s="9" t="str">
        <f aca="false">IF(OR($E600="",$E600=0),"",$H600/$E600)</f>
        <v/>
      </c>
      <c r="M600" s="10" t="str">
        <f aca="false">IF(OR($L600="",$L600=0),"",($I600/30)/$L600)</f>
        <v/>
      </c>
      <c r="N600" s="8"/>
      <c r="O600" s="11" t="str">
        <f aca="false">IF(OR($I600="",$N600=""),"",($I600/1000)*$N600)</f>
        <v/>
      </c>
      <c r="P600" s="12" t="str">
        <f aca="false">IF($C600="","",IFERROR(ROUND(MIN(25,($N600/Instellingen!$B$3)*25)+MIN(25,($I600/Instellingen!$B$4)*25)+MIN(25,($J600/Instellingen!$B$5)*25)+MIN(25,(IF($M600="",0,$M600)/Instellingen!$B$6)*25),0),""))</f>
        <v/>
      </c>
      <c r="Q600" s="13" t="str">
        <f aca="false">IF($P600="","",IF($P600&gt;=Instellingen!$B$7,"Sterke niche",IF($P600&gt;=Instellingen!$B$8,"Belofte - opvolgen",IF($P600&gt;=Instellingen!$B$9,"Zwak - twijfel","Vermijden"))))</f>
        <v/>
      </c>
      <c r="R600" s="5"/>
      <c r="T600" s="1" t="str">
        <f aca="false">IF($C600="","",IF($P600=_xlfn.MAXIFS($P$3:$P$1000,$B$3:$B$1000,$B600),"★ Cash cow – handmatig onderzoeken",""))</f>
        <v/>
      </c>
    </row>
    <row r="601" customFormat="false" ht="14.25" hidden="false" customHeight="true" outlineLevel="0" collapsed="false">
      <c r="A601" s="4"/>
      <c r="B601" s="5"/>
      <c r="C601" s="5"/>
      <c r="D601" s="5"/>
      <c r="E601" s="6"/>
      <c r="F601" s="7"/>
      <c r="G601" s="8"/>
      <c r="H601" s="7"/>
      <c r="I601" s="7"/>
      <c r="J601" s="6"/>
      <c r="K601" s="9" t="str">
        <f aca="false">IF(OR($J601="",$J601=0),"",$I601/$J601)</f>
        <v/>
      </c>
      <c r="L601" s="9" t="str">
        <f aca="false">IF(OR($E601="",$E601=0),"",$H601/$E601)</f>
        <v/>
      </c>
      <c r="M601" s="10" t="str">
        <f aca="false">IF(OR($L601="",$L601=0),"",($I601/30)/$L601)</f>
        <v/>
      </c>
      <c r="N601" s="8"/>
      <c r="O601" s="11" t="str">
        <f aca="false">IF(OR($I601="",$N601=""),"",($I601/1000)*$N601)</f>
        <v/>
      </c>
      <c r="P601" s="12" t="str">
        <f aca="false">IF($C601="","",IFERROR(ROUND(MIN(25,($N601/Instellingen!$B$3)*25)+MIN(25,($I601/Instellingen!$B$4)*25)+MIN(25,($J601/Instellingen!$B$5)*25)+MIN(25,(IF($M601="",0,$M601)/Instellingen!$B$6)*25),0),""))</f>
        <v/>
      </c>
      <c r="Q601" s="13" t="str">
        <f aca="false">IF($P601="","",IF($P601&gt;=Instellingen!$B$7,"Sterke niche",IF($P601&gt;=Instellingen!$B$8,"Belofte - opvolgen",IF($P601&gt;=Instellingen!$B$9,"Zwak - twijfel","Vermijden"))))</f>
        <v/>
      </c>
      <c r="R601" s="5"/>
      <c r="T601" s="1" t="str">
        <f aca="false">IF($C601="","",IF($P601=_xlfn.MAXIFS($P$3:$P$1000,$B$3:$B$1000,$B601),"★ Cash cow – handmatig onderzoeken",""))</f>
        <v/>
      </c>
    </row>
    <row r="602" customFormat="false" ht="14.25" hidden="false" customHeight="true" outlineLevel="0" collapsed="false">
      <c r="A602" s="4"/>
      <c r="B602" s="5"/>
      <c r="C602" s="5"/>
      <c r="D602" s="5"/>
      <c r="E602" s="6"/>
      <c r="F602" s="7"/>
      <c r="G602" s="8"/>
      <c r="H602" s="7"/>
      <c r="I602" s="7"/>
      <c r="J602" s="6"/>
      <c r="K602" s="9" t="str">
        <f aca="false">IF(OR($J602="",$J602=0),"",$I602/$J602)</f>
        <v/>
      </c>
      <c r="L602" s="9" t="str">
        <f aca="false">IF(OR($E602="",$E602=0),"",$H602/$E602)</f>
        <v/>
      </c>
      <c r="M602" s="10" t="str">
        <f aca="false">IF(OR($L602="",$L602=0),"",($I602/30)/$L602)</f>
        <v/>
      </c>
      <c r="N602" s="8"/>
      <c r="O602" s="11" t="str">
        <f aca="false">IF(OR($I602="",$N602=""),"",($I602/1000)*$N602)</f>
        <v/>
      </c>
      <c r="P602" s="12" t="str">
        <f aca="false">IF($C602="","",IFERROR(ROUND(MIN(25,($N602/Instellingen!$B$3)*25)+MIN(25,($I602/Instellingen!$B$4)*25)+MIN(25,($J602/Instellingen!$B$5)*25)+MIN(25,(IF($M602="",0,$M602)/Instellingen!$B$6)*25),0),""))</f>
        <v/>
      </c>
      <c r="Q602" s="13" t="str">
        <f aca="false">IF($P602="","",IF($P602&gt;=Instellingen!$B$7,"Sterke niche",IF($P602&gt;=Instellingen!$B$8,"Belofte - opvolgen",IF($P602&gt;=Instellingen!$B$9,"Zwak - twijfel","Vermijden"))))</f>
        <v/>
      </c>
      <c r="R602" s="5"/>
      <c r="T602" s="1" t="str">
        <f aca="false">IF($C602="","",IF($P602=_xlfn.MAXIFS($P$3:$P$1000,$B$3:$B$1000,$B602),"★ Cash cow – handmatig onderzoeken",""))</f>
        <v/>
      </c>
    </row>
    <row r="603" customFormat="false" ht="14.25" hidden="false" customHeight="true" outlineLevel="0" collapsed="false">
      <c r="A603" s="4"/>
      <c r="B603" s="5"/>
      <c r="C603" s="5"/>
      <c r="D603" s="5"/>
      <c r="E603" s="6"/>
      <c r="F603" s="7"/>
      <c r="G603" s="8"/>
      <c r="H603" s="7"/>
      <c r="I603" s="7"/>
      <c r="J603" s="6"/>
      <c r="K603" s="9" t="str">
        <f aca="false">IF(OR($J603="",$J603=0),"",$I603/$J603)</f>
        <v/>
      </c>
      <c r="L603" s="9" t="str">
        <f aca="false">IF(OR($E603="",$E603=0),"",$H603/$E603)</f>
        <v/>
      </c>
      <c r="M603" s="10" t="str">
        <f aca="false">IF(OR($L603="",$L603=0),"",($I603/30)/$L603)</f>
        <v/>
      </c>
      <c r="N603" s="8"/>
      <c r="O603" s="11" t="str">
        <f aca="false">IF(OR($I603="",$N603=""),"",($I603/1000)*$N603)</f>
        <v/>
      </c>
      <c r="P603" s="12" t="str">
        <f aca="false">IF($C603="","",IFERROR(ROUND(MIN(25,($N603/Instellingen!$B$3)*25)+MIN(25,($I603/Instellingen!$B$4)*25)+MIN(25,($J603/Instellingen!$B$5)*25)+MIN(25,(IF($M603="",0,$M603)/Instellingen!$B$6)*25),0),""))</f>
        <v/>
      </c>
      <c r="Q603" s="13" t="str">
        <f aca="false">IF($P603="","",IF($P603&gt;=Instellingen!$B$7,"Sterke niche",IF($P603&gt;=Instellingen!$B$8,"Belofte - opvolgen",IF($P603&gt;=Instellingen!$B$9,"Zwak - twijfel","Vermijden"))))</f>
        <v/>
      </c>
      <c r="R603" s="5"/>
      <c r="T603" s="1" t="str">
        <f aca="false">IF($C603="","",IF($P603=_xlfn.MAXIFS($P$3:$P$1000,$B$3:$B$1000,$B603),"★ Cash cow – handmatig onderzoeken",""))</f>
        <v/>
      </c>
    </row>
    <row r="604" customFormat="false" ht="14.25" hidden="false" customHeight="true" outlineLevel="0" collapsed="false">
      <c r="A604" s="4"/>
      <c r="B604" s="5"/>
      <c r="C604" s="5"/>
      <c r="D604" s="5"/>
      <c r="E604" s="6"/>
      <c r="F604" s="7"/>
      <c r="G604" s="8"/>
      <c r="H604" s="7"/>
      <c r="I604" s="7"/>
      <c r="J604" s="6"/>
      <c r="K604" s="9" t="str">
        <f aca="false">IF(OR($J604="",$J604=0),"",$I604/$J604)</f>
        <v/>
      </c>
      <c r="L604" s="9" t="str">
        <f aca="false">IF(OR($E604="",$E604=0),"",$H604/$E604)</f>
        <v/>
      </c>
      <c r="M604" s="10" t="str">
        <f aca="false">IF(OR($L604="",$L604=0),"",($I604/30)/$L604)</f>
        <v/>
      </c>
      <c r="N604" s="8"/>
      <c r="O604" s="11" t="str">
        <f aca="false">IF(OR($I604="",$N604=""),"",($I604/1000)*$N604)</f>
        <v/>
      </c>
      <c r="P604" s="12" t="str">
        <f aca="false">IF($C604="","",IFERROR(ROUND(MIN(25,($N604/Instellingen!$B$3)*25)+MIN(25,($I604/Instellingen!$B$4)*25)+MIN(25,($J604/Instellingen!$B$5)*25)+MIN(25,(IF($M604="",0,$M604)/Instellingen!$B$6)*25),0),""))</f>
        <v/>
      </c>
      <c r="Q604" s="13" t="str">
        <f aca="false">IF($P604="","",IF($P604&gt;=Instellingen!$B$7,"Sterke niche",IF($P604&gt;=Instellingen!$B$8,"Belofte - opvolgen",IF($P604&gt;=Instellingen!$B$9,"Zwak - twijfel","Vermijden"))))</f>
        <v/>
      </c>
      <c r="R604" s="5"/>
      <c r="T604" s="1" t="str">
        <f aca="false">IF($C604="","",IF($P604=_xlfn.MAXIFS($P$3:$P$1000,$B$3:$B$1000,$B604),"★ Cash cow – handmatig onderzoeken",""))</f>
        <v/>
      </c>
    </row>
    <row r="605" customFormat="false" ht="14.25" hidden="false" customHeight="true" outlineLevel="0" collapsed="false">
      <c r="A605" s="4"/>
      <c r="B605" s="5"/>
      <c r="C605" s="5"/>
      <c r="D605" s="5"/>
      <c r="E605" s="6"/>
      <c r="F605" s="7"/>
      <c r="G605" s="8"/>
      <c r="H605" s="7"/>
      <c r="I605" s="7"/>
      <c r="J605" s="6"/>
      <c r="K605" s="9" t="str">
        <f aca="false">IF(OR($J605="",$J605=0),"",$I605/$J605)</f>
        <v/>
      </c>
      <c r="L605" s="9" t="str">
        <f aca="false">IF(OR($E605="",$E605=0),"",$H605/$E605)</f>
        <v/>
      </c>
      <c r="M605" s="10" t="str">
        <f aca="false">IF(OR($L605="",$L605=0),"",($I605/30)/$L605)</f>
        <v/>
      </c>
      <c r="N605" s="8"/>
      <c r="O605" s="11" t="str">
        <f aca="false">IF(OR($I605="",$N605=""),"",($I605/1000)*$N605)</f>
        <v/>
      </c>
      <c r="P605" s="12" t="str">
        <f aca="false">IF($C605="","",IFERROR(ROUND(MIN(25,($N605/Instellingen!$B$3)*25)+MIN(25,($I605/Instellingen!$B$4)*25)+MIN(25,($J605/Instellingen!$B$5)*25)+MIN(25,(IF($M605="",0,$M605)/Instellingen!$B$6)*25),0),""))</f>
        <v/>
      </c>
      <c r="Q605" s="13" t="str">
        <f aca="false">IF($P605="","",IF($P605&gt;=Instellingen!$B$7,"Sterke niche",IF($P605&gt;=Instellingen!$B$8,"Belofte - opvolgen",IF($P605&gt;=Instellingen!$B$9,"Zwak - twijfel","Vermijden"))))</f>
        <v/>
      </c>
      <c r="R605" s="5"/>
      <c r="T605" s="1" t="str">
        <f aca="false">IF($C605="","",IF($P605=_xlfn.MAXIFS($P$3:$P$1000,$B$3:$B$1000,$B605),"★ Cash cow – handmatig onderzoeken",""))</f>
        <v/>
      </c>
    </row>
    <row r="606" customFormat="false" ht="14.25" hidden="false" customHeight="true" outlineLevel="0" collapsed="false">
      <c r="A606" s="4"/>
      <c r="B606" s="5"/>
      <c r="C606" s="5"/>
      <c r="D606" s="5"/>
      <c r="E606" s="6"/>
      <c r="F606" s="7"/>
      <c r="G606" s="8"/>
      <c r="H606" s="7"/>
      <c r="I606" s="7"/>
      <c r="J606" s="6"/>
      <c r="K606" s="9" t="str">
        <f aca="false">IF(OR($J606="",$J606=0),"",$I606/$J606)</f>
        <v/>
      </c>
      <c r="L606" s="9" t="str">
        <f aca="false">IF(OR($E606="",$E606=0),"",$H606/$E606)</f>
        <v/>
      </c>
      <c r="M606" s="10" t="str">
        <f aca="false">IF(OR($L606="",$L606=0),"",($I606/30)/$L606)</f>
        <v/>
      </c>
      <c r="N606" s="8"/>
      <c r="O606" s="11" t="str">
        <f aca="false">IF(OR($I606="",$N606=""),"",($I606/1000)*$N606)</f>
        <v/>
      </c>
      <c r="P606" s="12" t="str">
        <f aca="false">IF($C606="","",IFERROR(ROUND(MIN(25,($N606/Instellingen!$B$3)*25)+MIN(25,($I606/Instellingen!$B$4)*25)+MIN(25,($J606/Instellingen!$B$5)*25)+MIN(25,(IF($M606="",0,$M606)/Instellingen!$B$6)*25),0),""))</f>
        <v/>
      </c>
      <c r="Q606" s="13" t="str">
        <f aca="false">IF($P606="","",IF($P606&gt;=Instellingen!$B$7,"Sterke niche",IF($P606&gt;=Instellingen!$B$8,"Belofte - opvolgen",IF($P606&gt;=Instellingen!$B$9,"Zwak - twijfel","Vermijden"))))</f>
        <v/>
      </c>
      <c r="R606" s="5"/>
      <c r="T606" s="1" t="str">
        <f aca="false">IF($C606="","",IF($P606=_xlfn.MAXIFS($P$3:$P$1000,$B$3:$B$1000,$B606),"★ Cash cow – handmatig onderzoeken",""))</f>
        <v/>
      </c>
    </row>
    <row r="607" customFormat="false" ht="14.25" hidden="false" customHeight="true" outlineLevel="0" collapsed="false">
      <c r="A607" s="4"/>
      <c r="B607" s="5"/>
      <c r="C607" s="5"/>
      <c r="D607" s="5"/>
      <c r="E607" s="6"/>
      <c r="F607" s="7"/>
      <c r="G607" s="8"/>
      <c r="H607" s="7"/>
      <c r="I607" s="7"/>
      <c r="J607" s="6"/>
      <c r="K607" s="9" t="str">
        <f aca="false">IF(OR($J607="",$J607=0),"",$I607/$J607)</f>
        <v/>
      </c>
      <c r="L607" s="9" t="str">
        <f aca="false">IF(OR($E607="",$E607=0),"",$H607/$E607)</f>
        <v/>
      </c>
      <c r="M607" s="10" t="str">
        <f aca="false">IF(OR($L607="",$L607=0),"",($I607/30)/$L607)</f>
        <v/>
      </c>
      <c r="N607" s="8"/>
      <c r="O607" s="11" t="str">
        <f aca="false">IF(OR($I607="",$N607=""),"",($I607/1000)*$N607)</f>
        <v/>
      </c>
      <c r="P607" s="12" t="str">
        <f aca="false">IF($C607="","",IFERROR(ROUND(MIN(25,($N607/Instellingen!$B$3)*25)+MIN(25,($I607/Instellingen!$B$4)*25)+MIN(25,($J607/Instellingen!$B$5)*25)+MIN(25,(IF($M607="",0,$M607)/Instellingen!$B$6)*25),0),""))</f>
        <v/>
      </c>
      <c r="Q607" s="13" t="str">
        <f aca="false">IF($P607="","",IF($P607&gt;=Instellingen!$B$7,"Sterke niche",IF($P607&gt;=Instellingen!$B$8,"Belofte - opvolgen",IF($P607&gt;=Instellingen!$B$9,"Zwak - twijfel","Vermijden"))))</f>
        <v/>
      </c>
      <c r="R607" s="5"/>
      <c r="T607" s="1" t="str">
        <f aca="false">IF($C607="","",IF($P607=_xlfn.MAXIFS($P$3:$P$1000,$B$3:$B$1000,$B607),"★ Cash cow – handmatig onderzoeken",""))</f>
        <v/>
      </c>
    </row>
    <row r="608" customFormat="false" ht="14.25" hidden="false" customHeight="true" outlineLevel="0" collapsed="false">
      <c r="A608" s="4"/>
      <c r="B608" s="5"/>
      <c r="C608" s="5"/>
      <c r="D608" s="5"/>
      <c r="E608" s="6"/>
      <c r="F608" s="7"/>
      <c r="G608" s="8"/>
      <c r="H608" s="7"/>
      <c r="I608" s="7"/>
      <c r="J608" s="6"/>
      <c r="K608" s="9" t="str">
        <f aca="false">IF(OR($J608="",$J608=0),"",$I608/$J608)</f>
        <v/>
      </c>
      <c r="L608" s="9" t="str">
        <f aca="false">IF(OR($E608="",$E608=0),"",$H608/$E608)</f>
        <v/>
      </c>
      <c r="M608" s="10" t="str">
        <f aca="false">IF(OR($L608="",$L608=0),"",($I608/30)/$L608)</f>
        <v/>
      </c>
      <c r="N608" s="8"/>
      <c r="O608" s="11" t="str">
        <f aca="false">IF(OR($I608="",$N608=""),"",($I608/1000)*$N608)</f>
        <v/>
      </c>
      <c r="P608" s="12" t="str">
        <f aca="false">IF($C608="","",IFERROR(ROUND(MIN(25,($N608/Instellingen!$B$3)*25)+MIN(25,($I608/Instellingen!$B$4)*25)+MIN(25,($J608/Instellingen!$B$5)*25)+MIN(25,(IF($M608="",0,$M608)/Instellingen!$B$6)*25),0),""))</f>
        <v/>
      </c>
      <c r="Q608" s="13" t="str">
        <f aca="false">IF($P608="","",IF($P608&gt;=Instellingen!$B$7,"Sterke niche",IF($P608&gt;=Instellingen!$B$8,"Belofte - opvolgen",IF($P608&gt;=Instellingen!$B$9,"Zwak - twijfel","Vermijden"))))</f>
        <v/>
      </c>
      <c r="R608" s="5"/>
      <c r="T608" s="1" t="str">
        <f aca="false">IF($C608="","",IF($P608=_xlfn.MAXIFS($P$3:$P$1000,$B$3:$B$1000,$B608),"★ Cash cow – handmatig onderzoeken",""))</f>
        <v/>
      </c>
    </row>
    <row r="609" customFormat="false" ht="14.25" hidden="false" customHeight="true" outlineLevel="0" collapsed="false">
      <c r="A609" s="4"/>
      <c r="B609" s="5"/>
      <c r="C609" s="5"/>
      <c r="D609" s="5"/>
      <c r="E609" s="6"/>
      <c r="F609" s="7"/>
      <c r="G609" s="8"/>
      <c r="H609" s="7"/>
      <c r="I609" s="7"/>
      <c r="J609" s="6"/>
      <c r="K609" s="9" t="str">
        <f aca="false">IF(OR($J609="",$J609=0),"",$I609/$J609)</f>
        <v/>
      </c>
      <c r="L609" s="9" t="str">
        <f aca="false">IF(OR($E609="",$E609=0),"",$H609/$E609)</f>
        <v/>
      </c>
      <c r="M609" s="10" t="str">
        <f aca="false">IF(OR($L609="",$L609=0),"",($I609/30)/$L609)</f>
        <v/>
      </c>
      <c r="N609" s="8"/>
      <c r="O609" s="11" t="str">
        <f aca="false">IF(OR($I609="",$N609=""),"",($I609/1000)*$N609)</f>
        <v/>
      </c>
      <c r="P609" s="12" t="str">
        <f aca="false">IF($C609="","",IFERROR(ROUND(MIN(25,($N609/Instellingen!$B$3)*25)+MIN(25,($I609/Instellingen!$B$4)*25)+MIN(25,($J609/Instellingen!$B$5)*25)+MIN(25,(IF($M609="",0,$M609)/Instellingen!$B$6)*25),0),""))</f>
        <v/>
      </c>
      <c r="Q609" s="13" t="str">
        <f aca="false">IF($P609="","",IF($P609&gt;=Instellingen!$B$7,"Sterke niche",IF($P609&gt;=Instellingen!$B$8,"Belofte - opvolgen",IF($P609&gt;=Instellingen!$B$9,"Zwak - twijfel","Vermijden"))))</f>
        <v/>
      </c>
      <c r="R609" s="5"/>
      <c r="T609" s="1" t="str">
        <f aca="false">IF($C609="","",IF($P609=_xlfn.MAXIFS($P$3:$P$1000,$B$3:$B$1000,$B609),"★ Cash cow – handmatig onderzoeken",""))</f>
        <v/>
      </c>
    </row>
    <row r="610" customFormat="false" ht="14.25" hidden="false" customHeight="true" outlineLevel="0" collapsed="false">
      <c r="A610" s="4"/>
      <c r="B610" s="5"/>
      <c r="C610" s="5"/>
      <c r="D610" s="5"/>
      <c r="E610" s="6"/>
      <c r="F610" s="7"/>
      <c r="G610" s="8"/>
      <c r="H610" s="7"/>
      <c r="I610" s="7"/>
      <c r="J610" s="6"/>
      <c r="K610" s="9" t="str">
        <f aca="false">IF(OR($J610="",$J610=0),"",$I610/$J610)</f>
        <v/>
      </c>
      <c r="L610" s="9" t="str">
        <f aca="false">IF(OR($E610="",$E610=0),"",$H610/$E610)</f>
        <v/>
      </c>
      <c r="M610" s="10" t="str">
        <f aca="false">IF(OR($L610="",$L610=0),"",($I610/30)/$L610)</f>
        <v/>
      </c>
      <c r="N610" s="8"/>
      <c r="O610" s="11" t="str">
        <f aca="false">IF(OR($I610="",$N610=""),"",($I610/1000)*$N610)</f>
        <v/>
      </c>
      <c r="P610" s="12" t="str">
        <f aca="false">IF($C610="","",IFERROR(ROUND(MIN(25,($N610/Instellingen!$B$3)*25)+MIN(25,($I610/Instellingen!$B$4)*25)+MIN(25,($J610/Instellingen!$B$5)*25)+MIN(25,(IF($M610="",0,$M610)/Instellingen!$B$6)*25),0),""))</f>
        <v/>
      </c>
      <c r="Q610" s="13" t="str">
        <f aca="false">IF($P610="","",IF($P610&gt;=Instellingen!$B$7,"Sterke niche",IF($P610&gt;=Instellingen!$B$8,"Belofte - opvolgen",IF($P610&gt;=Instellingen!$B$9,"Zwak - twijfel","Vermijden"))))</f>
        <v/>
      </c>
      <c r="R610" s="5"/>
      <c r="T610" s="1" t="str">
        <f aca="false">IF($C610="","",IF($P610=_xlfn.MAXIFS($P$3:$P$1000,$B$3:$B$1000,$B610),"★ Cash cow – handmatig onderzoeken",""))</f>
        <v/>
      </c>
    </row>
    <row r="611" customFormat="false" ht="14.25" hidden="false" customHeight="true" outlineLevel="0" collapsed="false">
      <c r="A611" s="4"/>
      <c r="B611" s="5"/>
      <c r="C611" s="5"/>
      <c r="D611" s="5"/>
      <c r="E611" s="6"/>
      <c r="F611" s="7"/>
      <c r="G611" s="8"/>
      <c r="H611" s="7"/>
      <c r="I611" s="7"/>
      <c r="J611" s="6"/>
      <c r="K611" s="9" t="str">
        <f aca="false">IF(OR($J611="",$J611=0),"",$I611/$J611)</f>
        <v/>
      </c>
      <c r="L611" s="9" t="str">
        <f aca="false">IF(OR($E611="",$E611=0),"",$H611/$E611)</f>
        <v/>
      </c>
      <c r="M611" s="10" t="str">
        <f aca="false">IF(OR($L611="",$L611=0),"",($I611/30)/$L611)</f>
        <v/>
      </c>
      <c r="N611" s="8"/>
      <c r="O611" s="11" t="str">
        <f aca="false">IF(OR($I611="",$N611=""),"",($I611/1000)*$N611)</f>
        <v/>
      </c>
      <c r="P611" s="12" t="str">
        <f aca="false">IF($C611="","",IFERROR(ROUND(MIN(25,($N611/Instellingen!$B$3)*25)+MIN(25,($I611/Instellingen!$B$4)*25)+MIN(25,($J611/Instellingen!$B$5)*25)+MIN(25,(IF($M611="",0,$M611)/Instellingen!$B$6)*25),0),""))</f>
        <v/>
      </c>
      <c r="Q611" s="13" t="str">
        <f aca="false">IF($P611="","",IF($P611&gt;=Instellingen!$B$7,"Sterke niche",IF($P611&gt;=Instellingen!$B$8,"Belofte - opvolgen",IF($P611&gt;=Instellingen!$B$9,"Zwak - twijfel","Vermijden"))))</f>
        <v/>
      </c>
      <c r="R611" s="5"/>
      <c r="T611" s="1" t="str">
        <f aca="false">IF($C611="","",IF($P611=_xlfn.MAXIFS($P$3:$P$1000,$B$3:$B$1000,$B611),"★ Cash cow – handmatig onderzoeken",""))</f>
        <v/>
      </c>
    </row>
    <row r="612" customFormat="false" ht="14.25" hidden="false" customHeight="true" outlineLevel="0" collapsed="false">
      <c r="A612" s="4"/>
      <c r="B612" s="5"/>
      <c r="C612" s="5"/>
      <c r="D612" s="5"/>
      <c r="E612" s="6"/>
      <c r="F612" s="7"/>
      <c r="G612" s="8"/>
      <c r="H612" s="7"/>
      <c r="I612" s="7"/>
      <c r="J612" s="6"/>
      <c r="K612" s="9" t="str">
        <f aca="false">IF(OR($J612="",$J612=0),"",$I612/$J612)</f>
        <v/>
      </c>
      <c r="L612" s="9" t="str">
        <f aca="false">IF(OR($E612="",$E612=0),"",$H612/$E612)</f>
        <v/>
      </c>
      <c r="M612" s="10" t="str">
        <f aca="false">IF(OR($L612="",$L612=0),"",($I612/30)/$L612)</f>
        <v/>
      </c>
      <c r="N612" s="8"/>
      <c r="O612" s="11" t="str">
        <f aca="false">IF(OR($I612="",$N612=""),"",($I612/1000)*$N612)</f>
        <v/>
      </c>
      <c r="P612" s="12" t="str">
        <f aca="false">IF($C612="","",IFERROR(ROUND(MIN(25,($N612/Instellingen!$B$3)*25)+MIN(25,($I612/Instellingen!$B$4)*25)+MIN(25,($J612/Instellingen!$B$5)*25)+MIN(25,(IF($M612="",0,$M612)/Instellingen!$B$6)*25),0),""))</f>
        <v/>
      </c>
      <c r="Q612" s="13" t="str">
        <f aca="false">IF($P612="","",IF($P612&gt;=Instellingen!$B$7,"Sterke niche",IF($P612&gt;=Instellingen!$B$8,"Belofte - opvolgen",IF($P612&gt;=Instellingen!$B$9,"Zwak - twijfel","Vermijden"))))</f>
        <v/>
      </c>
      <c r="R612" s="5"/>
      <c r="T612" s="1" t="str">
        <f aca="false">IF($C612="","",IF($P612=_xlfn.MAXIFS($P$3:$P$1000,$B$3:$B$1000,$B612),"★ Cash cow – handmatig onderzoeken",""))</f>
        <v/>
      </c>
    </row>
    <row r="613" customFormat="false" ht="14.25" hidden="false" customHeight="true" outlineLevel="0" collapsed="false">
      <c r="A613" s="4"/>
      <c r="B613" s="5"/>
      <c r="C613" s="5"/>
      <c r="D613" s="5"/>
      <c r="E613" s="6"/>
      <c r="F613" s="7"/>
      <c r="G613" s="8"/>
      <c r="H613" s="7"/>
      <c r="I613" s="7"/>
      <c r="J613" s="6"/>
      <c r="K613" s="9" t="str">
        <f aca="false">IF(OR($J613="",$J613=0),"",$I613/$J613)</f>
        <v/>
      </c>
      <c r="L613" s="9" t="str">
        <f aca="false">IF(OR($E613="",$E613=0),"",$H613/$E613)</f>
        <v/>
      </c>
      <c r="M613" s="10" t="str">
        <f aca="false">IF(OR($L613="",$L613=0),"",($I613/30)/$L613)</f>
        <v/>
      </c>
      <c r="N613" s="8"/>
      <c r="O613" s="11" t="str">
        <f aca="false">IF(OR($I613="",$N613=""),"",($I613/1000)*$N613)</f>
        <v/>
      </c>
      <c r="P613" s="12" t="str">
        <f aca="false">IF($C613="","",IFERROR(ROUND(MIN(25,($N613/Instellingen!$B$3)*25)+MIN(25,($I613/Instellingen!$B$4)*25)+MIN(25,($J613/Instellingen!$B$5)*25)+MIN(25,(IF($M613="",0,$M613)/Instellingen!$B$6)*25),0),""))</f>
        <v/>
      </c>
      <c r="Q613" s="13" t="str">
        <f aca="false">IF($P613="","",IF($P613&gt;=Instellingen!$B$7,"Sterke niche",IF($P613&gt;=Instellingen!$B$8,"Belofte - opvolgen",IF($P613&gt;=Instellingen!$B$9,"Zwak - twijfel","Vermijden"))))</f>
        <v/>
      </c>
      <c r="R613" s="5"/>
      <c r="T613" s="1" t="str">
        <f aca="false">IF($C613="","",IF($P613=_xlfn.MAXIFS($P$3:$P$1000,$B$3:$B$1000,$B613),"★ Cash cow – handmatig onderzoeken",""))</f>
        <v/>
      </c>
    </row>
    <row r="614" customFormat="false" ht="14.25" hidden="false" customHeight="true" outlineLevel="0" collapsed="false">
      <c r="A614" s="4"/>
      <c r="B614" s="5"/>
      <c r="C614" s="5"/>
      <c r="D614" s="5"/>
      <c r="E614" s="6"/>
      <c r="F614" s="7"/>
      <c r="G614" s="8"/>
      <c r="H614" s="7"/>
      <c r="I614" s="7"/>
      <c r="J614" s="6"/>
      <c r="K614" s="9" t="str">
        <f aca="false">IF(OR($J614="",$J614=0),"",$I614/$J614)</f>
        <v/>
      </c>
      <c r="L614" s="9" t="str">
        <f aca="false">IF(OR($E614="",$E614=0),"",$H614/$E614)</f>
        <v/>
      </c>
      <c r="M614" s="10" t="str">
        <f aca="false">IF(OR($L614="",$L614=0),"",($I614/30)/$L614)</f>
        <v/>
      </c>
      <c r="N614" s="8"/>
      <c r="O614" s="11" t="str">
        <f aca="false">IF(OR($I614="",$N614=""),"",($I614/1000)*$N614)</f>
        <v/>
      </c>
      <c r="P614" s="12" t="str">
        <f aca="false">IF($C614="","",IFERROR(ROUND(MIN(25,($N614/Instellingen!$B$3)*25)+MIN(25,($I614/Instellingen!$B$4)*25)+MIN(25,($J614/Instellingen!$B$5)*25)+MIN(25,(IF($M614="",0,$M614)/Instellingen!$B$6)*25),0),""))</f>
        <v/>
      </c>
      <c r="Q614" s="13" t="str">
        <f aca="false">IF($P614="","",IF($P614&gt;=Instellingen!$B$7,"Sterke niche",IF($P614&gt;=Instellingen!$B$8,"Belofte - opvolgen",IF($P614&gt;=Instellingen!$B$9,"Zwak - twijfel","Vermijden"))))</f>
        <v/>
      </c>
      <c r="R614" s="5"/>
      <c r="T614" s="1" t="str">
        <f aca="false">IF($C614="","",IF($P614=_xlfn.MAXIFS($P$3:$P$1000,$B$3:$B$1000,$B614),"★ Cash cow – handmatig onderzoeken",""))</f>
        <v/>
      </c>
    </row>
    <row r="615" customFormat="false" ht="14.25" hidden="false" customHeight="true" outlineLevel="0" collapsed="false">
      <c r="A615" s="4"/>
      <c r="B615" s="5"/>
      <c r="C615" s="5"/>
      <c r="D615" s="5"/>
      <c r="E615" s="6"/>
      <c r="F615" s="7"/>
      <c r="G615" s="8"/>
      <c r="H615" s="7"/>
      <c r="I615" s="7"/>
      <c r="J615" s="6"/>
      <c r="K615" s="9" t="str">
        <f aca="false">IF(OR($J615="",$J615=0),"",$I615/$J615)</f>
        <v/>
      </c>
      <c r="L615" s="9" t="str">
        <f aca="false">IF(OR($E615="",$E615=0),"",$H615/$E615)</f>
        <v/>
      </c>
      <c r="M615" s="10" t="str">
        <f aca="false">IF(OR($L615="",$L615=0),"",($I615/30)/$L615)</f>
        <v/>
      </c>
      <c r="N615" s="8"/>
      <c r="O615" s="11" t="str">
        <f aca="false">IF(OR($I615="",$N615=""),"",($I615/1000)*$N615)</f>
        <v/>
      </c>
      <c r="P615" s="12" t="str">
        <f aca="false">IF($C615="","",IFERROR(ROUND(MIN(25,($N615/Instellingen!$B$3)*25)+MIN(25,($I615/Instellingen!$B$4)*25)+MIN(25,($J615/Instellingen!$B$5)*25)+MIN(25,(IF($M615="",0,$M615)/Instellingen!$B$6)*25),0),""))</f>
        <v/>
      </c>
      <c r="Q615" s="13" t="str">
        <f aca="false">IF($P615="","",IF($P615&gt;=Instellingen!$B$7,"Sterke niche",IF($P615&gt;=Instellingen!$B$8,"Belofte - opvolgen",IF($P615&gt;=Instellingen!$B$9,"Zwak - twijfel","Vermijden"))))</f>
        <v/>
      </c>
      <c r="R615" s="5"/>
      <c r="T615" s="1" t="str">
        <f aca="false">IF($C615="","",IF($P615=_xlfn.MAXIFS($P$3:$P$1000,$B$3:$B$1000,$B615),"★ Cash cow – handmatig onderzoeken",""))</f>
        <v/>
      </c>
    </row>
    <row r="616" customFormat="false" ht="14.25" hidden="false" customHeight="true" outlineLevel="0" collapsed="false">
      <c r="A616" s="4"/>
      <c r="B616" s="5"/>
      <c r="C616" s="5"/>
      <c r="D616" s="5"/>
      <c r="E616" s="6"/>
      <c r="F616" s="7"/>
      <c r="G616" s="8"/>
      <c r="H616" s="7"/>
      <c r="I616" s="7"/>
      <c r="J616" s="6"/>
      <c r="K616" s="9" t="str">
        <f aca="false">IF(OR($J616="",$J616=0),"",$I616/$J616)</f>
        <v/>
      </c>
      <c r="L616" s="9" t="str">
        <f aca="false">IF(OR($E616="",$E616=0),"",$H616/$E616)</f>
        <v/>
      </c>
      <c r="M616" s="10" t="str">
        <f aca="false">IF(OR($L616="",$L616=0),"",($I616/30)/$L616)</f>
        <v/>
      </c>
      <c r="N616" s="8"/>
      <c r="O616" s="11" t="str">
        <f aca="false">IF(OR($I616="",$N616=""),"",($I616/1000)*$N616)</f>
        <v/>
      </c>
      <c r="P616" s="12" t="str">
        <f aca="false">IF($C616="","",IFERROR(ROUND(MIN(25,($N616/Instellingen!$B$3)*25)+MIN(25,($I616/Instellingen!$B$4)*25)+MIN(25,($J616/Instellingen!$B$5)*25)+MIN(25,(IF($M616="",0,$M616)/Instellingen!$B$6)*25),0),""))</f>
        <v/>
      </c>
      <c r="Q616" s="13" t="str">
        <f aca="false">IF($P616="","",IF($P616&gt;=Instellingen!$B$7,"Sterke niche",IF($P616&gt;=Instellingen!$B$8,"Belofte - opvolgen",IF($P616&gt;=Instellingen!$B$9,"Zwak - twijfel","Vermijden"))))</f>
        <v/>
      </c>
      <c r="R616" s="5"/>
      <c r="T616" s="1" t="str">
        <f aca="false">IF($C616="","",IF($P616=_xlfn.MAXIFS($P$3:$P$1000,$B$3:$B$1000,$B616),"★ Cash cow – handmatig onderzoeken",""))</f>
        <v/>
      </c>
    </row>
    <row r="617" customFormat="false" ht="14.25" hidden="false" customHeight="true" outlineLevel="0" collapsed="false">
      <c r="A617" s="4"/>
      <c r="B617" s="5"/>
      <c r="C617" s="5"/>
      <c r="D617" s="5"/>
      <c r="E617" s="6"/>
      <c r="F617" s="7"/>
      <c r="G617" s="8"/>
      <c r="H617" s="7"/>
      <c r="I617" s="7"/>
      <c r="J617" s="6"/>
      <c r="K617" s="9" t="str">
        <f aca="false">IF(OR($J617="",$J617=0),"",$I617/$J617)</f>
        <v/>
      </c>
      <c r="L617" s="9" t="str">
        <f aca="false">IF(OR($E617="",$E617=0),"",$H617/$E617)</f>
        <v/>
      </c>
      <c r="M617" s="10" t="str">
        <f aca="false">IF(OR($L617="",$L617=0),"",($I617/30)/$L617)</f>
        <v/>
      </c>
      <c r="N617" s="8"/>
      <c r="O617" s="11" t="str">
        <f aca="false">IF(OR($I617="",$N617=""),"",($I617/1000)*$N617)</f>
        <v/>
      </c>
      <c r="P617" s="12" t="str">
        <f aca="false">IF($C617="","",IFERROR(ROUND(MIN(25,($N617/Instellingen!$B$3)*25)+MIN(25,($I617/Instellingen!$B$4)*25)+MIN(25,($J617/Instellingen!$B$5)*25)+MIN(25,(IF($M617="",0,$M617)/Instellingen!$B$6)*25),0),""))</f>
        <v/>
      </c>
      <c r="Q617" s="13" t="str">
        <f aca="false">IF($P617="","",IF($P617&gt;=Instellingen!$B$7,"Sterke niche",IF($P617&gt;=Instellingen!$B$8,"Belofte - opvolgen",IF($P617&gt;=Instellingen!$B$9,"Zwak - twijfel","Vermijden"))))</f>
        <v/>
      </c>
      <c r="R617" s="5"/>
      <c r="T617" s="1" t="str">
        <f aca="false">IF($C617="","",IF($P617=_xlfn.MAXIFS($P$3:$P$1000,$B$3:$B$1000,$B617),"★ Cash cow – handmatig onderzoeken",""))</f>
        <v/>
      </c>
    </row>
    <row r="618" customFormat="false" ht="14.25" hidden="false" customHeight="true" outlineLevel="0" collapsed="false">
      <c r="A618" s="4"/>
      <c r="B618" s="5"/>
      <c r="C618" s="5"/>
      <c r="D618" s="5"/>
      <c r="E618" s="6"/>
      <c r="F618" s="7"/>
      <c r="G618" s="8"/>
      <c r="H618" s="7"/>
      <c r="I618" s="7"/>
      <c r="J618" s="6"/>
      <c r="K618" s="9" t="str">
        <f aca="false">IF(OR($J618="",$J618=0),"",$I618/$J618)</f>
        <v/>
      </c>
      <c r="L618" s="9" t="str">
        <f aca="false">IF(OR($E618="",$E618=0),"",$H618/$E618)</f>
        <v/>
      </c>
      <c r="M618" s="10" t="str">
        <f aca="false">IF(OR($L618="",$L618=0),"",($I618/30)/$L618)</f>
        <v/>
      </c>
      <c r="N618" s="8"/>
      <c r="O618" s="11" t="str">
        <f aca="false">IF(OR($I618="",$N618=""),"",($I618/1000)*$N618)</f>
        <v/>
      </c>
      <c r="P618" s="12" t="str">
        <f aca="false">IF($C618="","",IFERROR(ROUND(MIN(25,($N618/Instellingen!$B$3)*25)+MIN(25,($I618/Instellingen!$B$4)*25)+MIN(25,($J618/Instellingen!$B$5)*25)+MIN(25,(IF($M618="",0,$M618)/Instellingen!$B$6)*25),0),""))</f>
        <v/>
      </c>
      <c r="Q618" s="13" t="str">
        <f aca="false">IF($P618="","",IF($P618&gt;=Instellingen!$B$7,"Sterke niche",IF($P618&gt;=Instellingen!$B$8,"Belofte - opvolgen",IF($P618&gt;=Instellingen!$B$9,"Zwak - twijfel","Vermijden"))))</f>
        <v/>
      </c>
      <c r="R618" s="5"/>
      <c r="T618" s="1" t="str">
        <f aca="false">IF($C618="","",IF($P618=_xlfn.MAXIFS($P$3:$P$1000,$B$3:$B$1000,$B618),"★ Cash cow – handmatig onderzoeken",""))</f>
        <v/>
      </c>
    </row>
    <row r="619" customFormat="false" ht="14.25" hidden="false" customHeight="true" outlineLevel="0" collapsed="false">
      <c r="A619" s="4"/>
      <c r="B619" s="5"/>
      <c r="C619" s="5"/>
      <c r="D619" s="5"/>
      <c r="E619" s="6"/>
      <c r="F619" s="7"/>
      <c r="G619" s="8"/>
      <c r="H619" s="7"/>
      <c r="I619" s="7"/>
      <c r="J619" s="6"/>
      <c r="K619" s="9" t="str">
        <f aca="false">IF(OR($J619="",$J619=0),"",$I619/$J619)</f>
        <v/>
      </c>
      <c r="L619" s="9" t="str">
        <f aca="false">IF(OR($E619="",$E619=0),"",$H619/$E619)</f>
        <v/>
      </c>
      <c r="M619" s="10" t="str">
        <f aca="false">IF(OR($L619="",$L619=0),"",($I619/30)/$L619)</f>
        <v/>
      </c>
      <c r="N619" s="8"/>
      <c r="O619" s="11" t="str">
        <f aca="false">IF(OR($I619="",$N619=""),"",($I619/1000)*$N619)</f>
        <v/>
      </c>
      <c r="P619" s="12" t="str">
        <f aca="false">IF($C619="","",IFERROR(ROUND(MIN(25,($N619/Instellingen!$B$3)*25)+MIN(25,($I619/Instellingen!$B$4)*25)+MIN(25,($J619/Instellingen!$B$5)*25)+MIN(25,(IF($M619="",0,$M619)/Instellingen!$B$6)*25),0),""))</f>
        <v/>
      </c>
      <c r="Q619" s="13" t="str">
        <f aca="false">IF($P619="","",IF($P619&gt;=Instellingen!$B$7,"Sterke niche",IF($P619&gt;=Instellingen!$B$8,"Belofte - opvolgen",IF($P619&gt;=Instellingen!$B$9,"Zwak - twijfel","Vermijden"))))</f>
        <v/>
      </c>
      <c r="R619" s="5"/>
      <c r="T619" s="1" t="str">
        <f aca="false">IF($C619="","",IF($P619=_xlfn.MAXIFS($P$3:$P$1000,$B$3:$B$1000,$B619),"★ Cash cow – handmatig onderzoeken",""))</f>
        <v/>
      </c>
    </row>
    <row r="620" customFormat="false" ht="14.25" hidden="false" customHeight="true" outlineLevel="0" collapsed="false">
      <c r="A620" s="4"/>
      <c r="B620" s="5"/>
      <c r="C620" s="5"/>
      <c r="D620" s="5"/>
      <c r="E620" s="6"/>
      <c r="F620" s="7"/>
      <c r="G620" s="8"/>
      <c r="H620" s="7"/>
      <c r="I620" s="7"/>
      <c r="J620" s="6"/>
      <c r="K620" s="9" t="str">
        <f aca="false">IF(OR($J620="",$J620=0),"",$I620/$J620)</f>
        <v/>
      </c>
      <c r="L620" s="9" t="str">
        <f aca="false">IF(OR($E620="",$E620=0),"",$H620/$E620)</f>
        <v/>
      </c>
      <c r="M620" s="10" t="str">
        <f aca="false">IF(OR($L620="",$L620=0),"",($I620/30)/$L620)</f>
        <v/>
      </c>
      <c r="N620" s="8"/>
      <c r="O620" s="11" t="str">
        <f aca="false">IF(OR($I620="",$N620=""),"",($I620/1000)*$N620)</f>
        <v/>
      </c>
      <c r="P620" s="12" t="str">
        <f aca="false">IF($C620="","",IFERROR(ROUND(MIN(25,($N620/Instellingen!$B$3)*25)+MIN(25,($I620/Instellingen!$B$4)*25)+MIN(25,($J620/Instellingen!$B$5)*25)+MIN(25,(IF($M620="",0,$M620)/Instellingen!$B$6)*25),0),""))</f>
        <v/>
      </c>
      <c r="Q620" s="13" t="str">
        <f aca="false">IF($P620="","",IF($P620&gt;=Instellingen!$B$7,"Sterke niche",IF($P620&gt;=Instellingen!$B$8,"Belofte - opvolgen",IF($P620&gt;=Instellingen!$B$9,"Zwak - twijfel","Vermijden"))))</f>
        <v/>
      </c>
      <c r="R620" s="5"/>
      <c r="T620" s="1" t="str">
        <f aca="false">IF($C620="","",IF($P620=_xlfn.MAXIFS($P$3:$P$1000,$B$3:$B$1000,$B620),"★ Cash cow – handmatig onderzoeken",""))</f>
        <v/>
      </c>
    </row>
    <row r="621" customFormat="false" ht="14.25" hidden="false" customHeight="true" outlineLevel="0" collapsed="false">
      <c r="A621" s="4"/>
      <c r="B621" s="5"/>
      <c r="C621" s="5"/>
      <c r="D621" s="5"/>
      <c r="E621" s="6"/>
      <c r="F621" s="7"/>
      <c r="G621" s="8"/>
      <c r="H621" s="7"/>
      <c r="I621" s="7"/>
      <c r="J621" s="6"/>
      <c r="K621" s="9" t="str">
        <f aca="false">IF(OR($J621="",$J621=0),"",$I621/$J621)</f>
        <v/>
      </c>
      <c r="L621" s="9" t="str">
        <f aca="false">IF(OR($E621="",$E621=0),"",$H621/$E621)</f>
        <v/>
      </c>
      <c r="M621" s="10" t="str">
        <f aca="false">IF(OR($L621="",$L621=0),"",($I621/30)/$L621)</f>
        <v/>
      </c>
      <c r="N621" s="8"/>
      <c r="O621" s="11" t="str">
        <f aca="false">IF(OR($I621="",$N621=""),"",($I621/1000)*$N621)</f>
        <v/>
      </c>
      <c r="P621" s="12" t="str">
        <f aca="false">IF($C621="","",IFERROR(ROUND(MIN(25,($N621/Instellingen!$B$3)*25)+MIN(25,($I621/Instellingen!$B$4)*25)+MIN(25,($J621/Instellingen!$B$5)*25)+MIN(25,(IF($M621="",0,$M621)/Instellingen!$B$6)*25),0),""))</f>
        <v/>
      </c>
      <c r="Q621" s="13" t="str">
        <f aca="false">IF($P621="","",IF($P621&gt;=Instellingen!$B$7,"Sterke niche",IF($P621&gt;=Instellingen!$B$8,"Belofte - opvolgen",IF($P621&gt;=Instellingen!$B$9,"Zwak - twijfel","Vermijden"))))</f>
        <v/>
      </c>
      <c r="R621" s="5"/>
      <c r="T621" s="1" t="str">
        <f aca="false">IF($C621="","",IF($P621=_xlfn.MAXIFS($P$3:$P$1000,$B$3:$B$1000,$B621),"★ Cash cow – handmatig onderzoeken",""))</f>
        <v/>
      </c>
    </row>
    <row r="622" customFormat="false" ht="14.25" hidden="false" customHeight="true" outlineLevel="0" collapsed="false">
      <c r="A622" s="4"/>
      <c r="B622" s="5"/>
      <c r="C622" s="5"/>
      <c r="D622" s="5"/>
      <c r="E622" s="6"/>
      <c r="F622" s="7"/>
      <c r="G622" s="8"/>
      <c r="H622" s="7"/>
      <c r="I622" s="7"/>
      <c r="J622" s="6"/>
      <c r="K622" s="9" t="str">
        <f aca="false">IF(OR($J622="",$J622=0),"",$I622/$J622)</f>
        <v/>
      </c>
      <c r="L622" s="9" t="str">
        <f aca="false">IF(OR($E622="",$E622=0),"",$H622/$E622)</f>
        <v/>
      </c>
      <c r="M622" s="10" t="str">
        <f aca="false">IF(OR($L622="",$L622=0),"",($I622/30)/$L622)</f>
        <v/>
      </c>
      <c r="N622" s="8"/>
      <c r="O622" s="11" t="str">
        <f aca="false">IF(OR($I622="",$N622=""),"",($I622/1000)*$N622)</f>
        <v/>
      </c>
      <c r="P622" s="12" t="str">
        <f aca="false">IF($C622="","",IFERROR(ROUND(MIN(25,($N622/Instellingen!$B$3)*25)+MIN(25,($I622/Instellingen!$B$4)*25)+MIN(25,($J622/Instellingen!$B$5)*25)+MIN(25,(IF($M622="",0,$M622)/Instellingen!$B$6)*25),0),""))</f>
        <v/>
      </c>
      <c r="Q622" s="13" t="str">
        <f aca="false">IF($P622="","",IF($P622&gt;=Instellingen!$B$7,"Sterke niche",IF($P622&gt;=Instellingen!$B$8,"Belofte - opvolgen",IF($P622&gt;=Instellingen!$B$9,"Zwak - twijfel","Vermijden"))))</f>
        <v/>
      </c>
      <c r="R622" s="5"/>
      <c r="T622" s="1" t="str">
        <f aca="false">IF($C622="","",IF($P622=_xlfn.MAXIFS($P$3:$P$1000,$B$3:$B$1000,$B622),"★ Cash cow – handmatig onderzoeken",""))</f>
        <v/>
      </c>
    </row>
    <row r="623" customFormat="false" ht="14.25" hidden="false" customHeight="true" outlineLevel="0" collapsed="false">
      <c r="A623" s="4"/>
      <c r="B623" s="5"/>
      <c r="C623" s="5"/>
      <c r="D623" s="5"/>
      <c r="E623" s="6"/>
      <c r="F623" s="7"/>
      <c r="G623" s="8"/>
      <c r="H623" s="7"/>
      <c r="I623" s="7"/>
      <c r="J623" s="6"/>
      <c r="K623" s="9" t="str">
        <f aca="false">IF(OR($J623="",$J623=0),"",$I623/$J623)</f>
        <v/>
      </c>
      <c r="L623" s="9" t="str">
        <f aca="false">IF(OR($E623="",$E623=0),"",$H623/$E623)</f>
        <v/>
      </c>
      <c r="M623" s="10" t="str">
        <f aca="false">IF(OR($L623="",$L623=0),"",($I623/30)/$L623)</f>
        <v/>
      </c>
      <c r="N623" s="8"/>
      <c r="O623" s="11" t="str">
        <f aca="false">IF(OR($I623="",$N623=""),"",($I623/1000)*$N623)</f>
        <v/>
      </c>
      <c r="P623" s="12" t="str">
        <f aca="false">IF($C623="","",IFERROR(ROUND(MIN(25,($N623/Instellingen!$B$3)*25)+MIN(25,($I623/Instellingen!$B$4)*25)+MIN(25,($J623/Instellingen!$B$5)*25)+MIN(25,(IF($M623="",0,$M623)/Instellingen!$B$6)*25),0),""))</f>
        <v/>
      </c>
      <c r="Q623" s="13" t="str">
        <f aca="false">IF($P623="","",IF($P623&gt;=Instellingen!$B$7,"Sterke niche",IF($P623&gt;=Instellingen!$B$8,"Belofte - opvolgen",IF($P623&gt;=Instellingen!$B$9,"Zwak - twijfel","Vermijden"))))</f>
        <v/>
      </c>
      <c r="R623" s="5"/>
      <c r="T623" s="1" t="str">
        <f aca="false">IF($C623="","",IF($P623=_xlfn.MAXIFS($P$3:$P$1000,$B$3:$B$1000,$B623),"★ Cash cow – handmatig onderzoeken",""))</f>
        <v/>
      </c>
    </row>
    <row r="624" customFormat="false" ht="14.25" hidden="false" customHeight="true" outlineLevel="0" collapsed="false">
      <c r="A624" s="4"/>
      <c r="B624" s="5"/>
      <c r="C624" s="5"/>
      <c r="D624" s="5"/>
      <c r="E624" s="6"/>
      <c r="F624" s="7"/>
      <c r="G624" s="8"/>
      <c r="H624" s="7"/>
      <c r="I624" s="7"/>
      <c r="J624" s="6"/>
      <c r="K624" s="9" t="str">
        <f aca="false">IF(OR($J624="",$J624=0),"",$I624/$J624)</f>
        <v/>
      </c>
      <c r="L624" s="9" t="str">
        <f aca="false">IF(OR($E624="",$E624=0),"",$H624/$E624)</f>
        <v/>
      </c>
      <c r="M624" s="10" t="str">
        <f aca="false">IF(OR($L624="",$L624=0),"",($I624/30)/$L624)</f>
        <v/>
      </c>
      <c r="N624" s="8"/>
      <c r="O624" s="11" t="str">
        <f aca="false">IF(OR($I624="",$N624=""),"",($I624/1000)*$N624)</f>
        <v/>
      </c>
      <c r="P624" s="12" t="str">
        <f aca="false">IF($C624="","",IFERROR(ROUND(MIN(25,($N624/Instellingen!$B$3)*25)+MIN(25,($I624/Instellingen!$B$4)*25)+MIN(25,($J624/Instellingen!$B$5)*25)+MIN(25,(IF($M624="",0,$M624)/Instellingen!$B$6)*25),0),""))</f>
        <v/>
      </c>
      <c r="Q624" s="13" t="str">
        <f aca="false">IF($P624="","",IF($P624&gt;=Instellingen!$B$7,"Sterke niche",IF($P624&gt;=Instellingen!$B$8,"Belofte - opvolgen",IF($P624&gt;=Instellingen!$B$9,"Zwak - twijfel","Vermijden"))))</f>
        <v/>
      </c>
      <c r="R624" s="5"/>
      <c r="T624" s="1" t="str">
        <f aca="false">IF($C624="","",IF($P624=_xlfn.MAXIFS($P$3:$P$1000,$B$3:$B$1000,$B624),"★ Cash cow – handmatig onderzoeken",""))</f>
        <v/>
      </c>
    </row>
    <row r="625" customFormat="false" ht="14.25" hidden="false" customHeight="true" outlineLevel="0" collapsed="false">
      <c r="A625" s="4"/>
      <c r="B625" s="5"/>
      <c r="C625" s="5"/>
      <c r="D625" s="5"/>
      <c r="E625" s="6"/>
      <c r="F625" s="7"/>
      <c r="G625" s="8"/>
      <c r="H625" s="7"/>
      <c r="I625" s="7"/>
      <c r="J625" s="6"/>
      <c r="K625" s="9" t="str">
        <f aca="false">IF(OR($J625="",$J625=0),"",$I625/$J625)</f>
        <v/>
      </c>
      <c r="L625" s="9" t="str">
        <f aca="false">IF(OR($E625="",$E625=0),"",$H625/$E625)</f>
        <v/>
      </c>
      <c r="M625" s="10" t="str">
        <f aca="false">IF(OR($L625="",$L625=0),"",($I625/30)/$L625)</f>
        <v/>
      </c>
      <c r="N625" s="8"/>
      <c r="O625" s="11" t="str">
        <f aca="false">IF(OR($I625="",$N625=""),"",($I625/1000)*$N625)</f>
        <v/>
      </c>
      <c r="P625" s="12" t="str">
        <f aca="false">IF($C625="","",IFERROR(ROUND(MIN(25,($N625/Instellingen!$B$3)*25)+MIN(25,($I625/Instellingen!$B$4)*25)+MIN(25,($J625/Instellingen!$B$5)*25)+MIN(25,(IF($M625="",0,$M625)/Instellingen!$B$6)*25),0),""))</f>
        <v/>
      </c>
      <c r="Q625" s="13" t="str">
        <f aca="false">IF($P625="","",IF($P625&gt;=Instellingen!$B$7,"Sterke niche",IF($P625&gt;=Instellingen!$B$8,"Belofte - opvolgen",IF($P625&gt;=Instellingen!$B$9,"Zwak - twijfel","Vermijden"))))</f>
        <v/>
      </c>
      <c r="R625" s="5"/>
      <c r="T625" s="1" t="str">
        <f aca="false">IF($C625="","",IF($P625=_xlfn.MAXIFS($P$3:$P$1000,$B$3:$B$1000,$B625),"★ Cash cow – handmatig onderzoeken",""))</f>
        <v/>
      </c>
    </row>
    <row r="626" customFormat="false" ht="14.25" hidden="false" customHeight="true" outlineLevel="0" collapsed="false">
      <c r="A626" s="4"/>
      <c r="B626" s="5"/>
      <c r="C626" s="5"/>
      <c r="D626" s="5"/>
      <c r="E626" s="6"/>
      <c r="F626" s="7"/>
      <c r="G626" s="8"/>
      <c r="H626" s="7"/>
      <c r="I626" s="7"/>
      <c r="J626" s="6"/>
      <c r="K626" s="9" t="str">
        <f aca="false">IF(OR($J626="",$J626=0),"",$I626/$J626)</f>
        <v/>
      </c>
      <c r="L626" s="9" t="str">
        <f aca="false">IF(OR($E626="",$E626=0),"",$H626/$E626)</f>
        <v/>
      </c>
      <c r="M626" s="10" t="str">
        <f aca="false">IF(OR($L626="",$L626=0),"",($I626/30)/$L626)</f>
        <v/>
      </c>
      <c r="N626" s="8"/>
      <c r="O626" s="11" t="str">
        <f aca="false">IF(OR($I626="",$N626=""),"",($I626/1000)*$N626)</f>
        <v/>
      </c>
      <c r="P626" s="12" t="str">
        <f aca="false">IF($C626="","",IFERROR(ROUND(MIN(25,($N626/Instellingen!$B$3)*25)+MIN(25,($I626/Instellingen!$B$4)*25)+MIN(25,($J626/Instellingen!$B$5)*25)+MIN(25,(IF($M626="",0,$M626)/Instellingen!$B$6)*25),0),""))</f>
        <v/>
      </c>
      <c r="Q626" s="13" t="str">
        <f aca="false">IF($P626="","",IF($P626&gt;=Instellingen!$B$7,"Sterke niche",IF($P626&gt;=Instellingen!$B$8,"Belofte - opvolgen",IF($P626&gt;=Instellingen!$B$9,"Zwak - twijfel","Vermijden"))))</f>
        <v/>
      </c>
      <c r="R626" s="5"/>
      <c r="T626" s="1" t="str">
        <f aca="false">IF($C626="","",IF($P626=_xlfn.MAXIFS($P$3:$P$1000,$B$3:$B$1000,$B626),"★ Cash cow – handmatig onderzoeken",""))</f>
        <v/>
      </c>
    </row>
    <row r="627" customFormat="false" ht="14.25" hidden="false" customHeight="true" outlineLevel="0" collapsed="false">
      <c r="A627" s="4"/>
      <c r="B627" s="5"/>
      <c r="C627" s="5"/>
      <c r="D627" s="5"/>
      <c r="E627" s="6"/>
      <c r="F627" s="7"/>
      <c r="G627" s="8"/>
      <c r="H627" s="7"/>
      <c r="I627" s="7"/>
      <c r="J627" s="6"/>
      <c r="K627" s="9" t="str">
        <f aca="false">IF(OR($J627="",$J627=0),"",$I627/$J627)</f>
        <v/>
      </c>
      <c r="L627" s="9" t="str">
        <f aca="false">IF(OR($E627="",$E627=0),"",$H627/$E627)</f>
        <v/>
      </c>
      <c r="M627" s="10" t="str">
        <f aca="false">IF(OR($L627="",$L627=0),"",($I627/30)/$L627)</f>
        <v/>
      </c>
      <c r="N627" s="8"/>
      <c r="O627" s="11" t="str">
        <f aca="false">IF(OR($I627="",$N627=""),"",($I627/1000)*$N627)</f>
        <v/>
      </c>
      <c r="P627" s="12" t="str">
        <f aca="false">IF($C627="","",IFERROR(ROUND(MIN(25,($N627/Instellingen!$B$3)*25)+MIN(25,($I627/Instellingen!$B$4)*25)+MIN(25,($J627/Instellingen!$B$5)*25)+MIN(25,(IF($M627="",0,$M627)/Instellingen!$B$6)*25),0),""))</f>
        <v/>
      </c>
      <c r="Q627" s="13" t="str">
        <f aca="false">IF($P627="","",IF($P627&gt;=Instellingen!$B$7,"Sterke niche",IF($P627&gt;=Instellingen!$B$8,"Belofte - opvolgen",IF($P627&gt;=Instellingen!$B$9,"Zwak - twijfel","Vermijden"))))</f>
        <v/>
      </c>
      <c r="R627" s="5"/>
      <c r="T627" s="1" t="str">
        <f aca="false">IF($C627="","",IF($P627=_xlfn.MAXIFS($P$3:$P$1000,$B$3:$B$1000,$B627),"★ Cash cow – handmatig onderzoeken",""))</f>
        <v/>
      </c>
    </row>
    <row r="628" customFormat="false" ht="14.25" hidden="false" customHeight="true" outlineLevel="0" collapsed="false">
      <c r="A628" s="4"/>
      <c r="B628" s="5"/>
      <c r="C628" s="5"/>
      <c r="D628" s="5"/>
      <c r="E628" s="6"/>
      <c r="F628" s="7"/>
      <c r="G628" s="8"/>
      <c r="H628" s="7"/>
      <c r="I628" s="7"/>
      <c r="J628" s="6"/>
      <c r="K628" s="9" t="str">
        <f aca="false">IF(OR($J628="",$J628=0),"",$I628/$J628)</f>
        <v/>
      </c>
      <c r="L628" s="9" t="str">
        <f aca="false">IF(OR($E628="",$E628=0),"",$H628/$E628)</f>
        <v/>
      </c>
      <c r="M628" s="10" t="str">
        <f aca="false">IF(OR($L628="",$L628=0),"",($I628/30)/$L628)</f>
        <v/>
      </c>
      <c r="N628" s="8"/>
      <c r="O628" s="11" t="str">
        <f aca="false">IF(OR($I628="",$N628=""),"",($I628/1000)*$N628)</f>
        <v/>
      </c>
      <c r="P628" s="12" t="str">
        <f aca="false">IF($C628="","",IFERROR(ROUND(MIN(25,($N628/Instellingen!$B$3)*25)+MIN(25,($I628/Instellingen!$B$4)*25)+MIN(25,($J628/Instellingen!$B$5)*25)+MIN(25,(IF($M628="",0,$M628)/Instellingen!$B$6)*25),0),""))</f>
        <v/>
      </c>
      <c r="Q628" s="13" t="str">
        <f aca="false">IF($P628="","",IF($P628&gt;=Instellingen!$B$7,"Sterke niche",IF($P628&gt;=Instellingen!$B$8,"Belofte - opvolgen",IF($P628&gt;=Instellingen!$B$9,"Zwak - twijfel","Vermijden"))))</f>
        <v/>
      </c>
      <c r="R628" s="5"/>
      <c r="T628" s="1" t="str">
        <f aca="false">IF($C628="","",IF($P628=_xlfn.MAXIFS($P$3:$P$1000,$B$3:$B$1000,$B628),"★ Cash cow – handmatig onderzoeken",""))</f>
        <v/>
      </c>
    </row>
    <row r="629" customFormat="false" ht="14.25" hidden="false" customHeight="true" outlineLevel="0" collapsed="false">
      <c r="A629" s="4"/>
      <c r="B629" s="5"/>
      <c r="C629" s="5"/>
      <c r="D629" s="5"/>
      <c r="E629" s="6"/>
      <c r="F629" s="7"/>
      <c r="G629" s="8"/>
      <c r="H629" s="7"/>
      <c r="I629" s="7"/>
      <c r="J629" s="6"/>
      <c r="K629" s="9" t="str">
        <f aca="false">IF(OR($J629="",$J629=0),"",$I629/$J629)</f>
        <v/>
      </c>
      <c r="L629" s="9" t="str">
        <f aca="false">IF(OR($E629="",$E629=0),"",$H629/$E629)</f>
        <v/>
      </c>
      <c r="M629" s="10" t="str">
        <f aca="false">IF(OR($L629="",$L629=0),"",($I629/30)/$L629)</f>
        <v/>
      </c>
      <c r="N629" s="8"/>
      <c r="O629" s="11" t="str">
        <f aca="false">IF(OR($I629="",$N629=""),"",($I629/1000)*$N629)</f>
        <v/>
      </c>
      <c r="P629" s="12" t="str">
        <f aca="false">IF($C629="","",IFERROR(ROUND(MIN(25,($N629/Instellingen!$B$3)*25)+MIN(25,($I629/Instellingen!$B$4)*25)+MIN(25,($J629/Instellingen!$B$5)*25)+MIN(25,(IF($M629="",0,$M629)/Instellingen!$B$6)*25),0),""))</f>
        <v/>
      </c>
      <c r="Q629" s="13" t="str">
        <f aca="false">IF($P629="","",IF($P629&gt;=Instellingen!$B$7,"Sterke niche",IF($P629&gt;=Instellingen!$B$8,"Belofte - opvolgen",IF($P629&gt;=Instellingen!$B$9,"Zwak - twijfel","Vermijden"))))</f>
        <v/>
      </c>
      <c r="R629" s="5"/>
      <c r="T629" s="1" t="str">
        <f aca="false">IF($C629="","",IF($P629=_xlfn.MAXIFS($P$3:$P$1000,$B$3:$B$1000,$B629),"★ Cash cow – handmatig onderzoeken",""))</f>
        <v/>
      </c>
    </row>
    <row r="630" customFormat="false" ht="14.25" hidden="false" customHeight="true" outlineLevel="0" collapsed="false">
      <c r="A630" s="4"/>
      <c r="B630" s="5"/>
      <c r="C630" s="5"/>
      <c r="D630" s="5"/>
      <c r="E630" s="6"/>
      <c r="F630" s="7"/>
      <c r="G630" s="8"/>
      <c r="H630" s="7"/>
      <c r="I630" s="7"/>
      <c r="J630" s="6"/>
      <c r="K630" s="9" t="str">
        <f aca="false">IF(OR($J630="",$J630=0),"",$I630/$J630)</f>
        <v/>
      </c>
      <c r="L630" s="9" t="str">
        <f aca="false">IF(OR($E630="",$E630=0),"",$H630/$E630)</f>
        <v/>
      </c>
      <c r="M630" s="10" t="str">
        <f aca="false">IF(OR($L630="",$L630=0),"",($I630/30)/$L630)</f>
        <v/>
      </c>
      <c r="N630" s="8"/>
      <c r="O630" s="11" t="str">
        <f aca="false">IF(OR($I630="",$N630=""),"",($I630/1000)*$N630)</f>
        <v/>
      </c>
      <c r="P630" s="12" t="str">
        <f aca="false">IF($C630="","",IFERROR(ROUND(MIN(25,($N630/Instellingen!$B$3)*25)+MIN(25,($I630/Instellingen!$B$4)*25)+MIN(25,($J630/Instellingen!$B$5)*25)+MIN(25,(IF($M630="",0,$M630)/Instellingen!$B$6)*25),0),""))</f>
        <v/>
      </c>
      <c r="Q630" s="13" t="str">
        <f aca="false">IF($P630="","",IF($P630&gt;=Instellingen!$B$7,"Sterke niche",IF($P630&gt;=Instellingen!$B$8,"Belofte - opvolgen",IF($P630&gt;=Instellingen!$B$9,"Zwak - twijfel","Vermijden"))))</f>
        <v/>
      </c>
      <c r="R630" s="5"/>
      <c r="T630" s="1" t="str">
        <f aca="false">IF($C630="","",IF($P630=_xlfn.MAXIFS($P$3:$P$1000,$B$3:$B$1000,$B630),"★ Cash cow – handmatig onderzoeken",""))</f>
        <v/>
      </c>
    </row>
    <row r="631" customFormat="false" ht="14.25" hidden="false" customHeight="true" outlineLevel="0" collapsed="false">
      <c r="A631" s="4"/>
      <c r="B631" s="5"/>
      <c r="C631" s="5"/>
      <c r="D631" s="5"/>
      <c r="E631" s="6"/>
      <c r="F631" s="7"/>
      <c r="G631" s="8"/>
      <c r="H631" s="7"/>
      <c r="I631" s="7"/>
      <c r="J631" s="6"/>
      <c r="K631" s="9" t="str">
        <f aca="false">IF(OR($J631="",$J631=0),"",$I631/$J631)</f>
        <v/>
      </c>
      <c r="L631" s="9" t="str">
        <f aca="false">IF(OR($E631="",$E631=0),"",$H631/$E631)</f>
        <v/>
      </c>
      <c r="M631" s="10" t="str">
        <f aca="false">IF(OR($L631="",$L631=0),"",($I631/30)/$L631)</f>
        <v/>
      </c>
      <c r="N631" s="8"/>
      <c r="O631" s="11" t="str">
        <f aca="false">IF(OR($I631="",$N631=""),"",($I631/1000)*$N631)</f>
        <v/>
      </c>
      <c r="P631" s="12" t="str">
        <f aca="false">IF($C631="","",IFERROR(ROUND(MIN(25,($N631/Instellingen!$B$3)*25)+MIN(25,($I631/Instellingen!$B$4)*25)+MIN(25,($J631/Instellingen!$B$5)*25)+MIN(25,(IF($M631="",0,$M631)/Instellingen!$B$6)*25),0),""))</f>
        <v/>
      </c>
      <c r="Q631" s="13" t="str">
        <f aca="false">IF($P631="","",IF($P631&gt;=Instellingen!$B$7,"Sterke niche",IF($P631&gt;=Instellingen!$B$8,"Belofte - opvolgen",IF($P631&gt;=Instellingen!$B$9,"Zwak - twijfel","Vermijden"))))</f>
        <v/>
      </c>
      <c r="R631" s="5"/>
      <c r="T631" s="1" t="str">
        <f aca="false">IF($C631="","",IF($P631=_xlfn.MAXIFS($P$3:$P$1000,$B$3:$B$1000,$B631),"★ Cash cow – handmatig onderzoeken",""))</f>
        <v/>
      </c>
    </row>
    <row r="632" customFormat="false" ht="14.25" hidden="false" customHeight="true" outlineLevel="0" collapsed="false">
      <c r="A632" s="4"/>
      <c r="B632" s="5"/>
      <c r="C632" s="5"/>
      <c r="D632" s="5"/>
      <c r="E632" s="6"/>
      <c r="F632" s="7"/>
      <c r="G632" s="8"/>
      <c r="H632" s="7"/>
      <c r="I632" s="7"/>
      <c r="J632" s="6"/>
      <c r="K632" s="9" t="str">
        <f aca="false">IF(OR($J632="",$J632=0),"",$I632/$J632)</f>
        <v/>
      </c>
      <c r="L632" s="9" t="str">
        <f aca="false">IF(OR($E632="",$E632=0),"",$H632/$E632)</f>
        <v/>
      </c>
      <c r="M632" s="10" t="str">
        <f aca="false">IF(OR($L632="",$L632=0),"",($I632/30)/$L632)</f>
        <v/>
      </c>
      <c r="N632" s="8"/>
      <c r="O632" s="11" t="str">
        <f aca="false">IF(OR($I632="",$N632=""),"",($I632/1000)*$N632)</f>
        <v/>
      </c>
      <c r="P632" s="12" t="str">
        <f aca="false">IF($C632="","",IFERROR(ROUND(MIN(25,($N632/Instellingen!$B$3)*25)+MIN(25,($I632/Instellingen!$B$4)*25)+MIN(25,($J632/Instellingen!$B$5)*25)+MIN(25,(IF($M632="",0,$M632)/Instellingen!$B$6)*25),0),""))</f>
        <v/>
      </c>
      <c r="Q632" s="13" t="str">
        <f aca="false">IF($P632="","",IF($P632&gt;=Instellingen!$B$7,"Sterke niche",IF($P632&gt;=Instellingen!$B$8,"Belofte - opvolgen",IF($P632&gt;=Instellingen!$B$9,"Zwak - twijfel","Vermijden"))))</f>
        <v/>
      </c>
      <c r="R632" s="5"/>
      <c r="T632" s="1" t="str">
        <f aca="false">IF($C632="","",IF($P632=_xlfn.MAXIFS($P$3:$P$1000,$B$3:$B$1000,$B632),"★ Cash cow – handmatig onderzoeken",""))</f>
        <v/>
      </c>
    </row>
    <row r="633" customFormat="false" ht="14.25" hidden="false" customHeight="true" outlineLevel="0" collapsed="false">
      <c r="A633" s="4"/>
      <c r="B633" s="5"/>
      <c r="C633" s="5"/>
      <c r="D633" s="5"/>
      <c r="E633" s="6"/>
      <c r="F633" s="7"/>
      <c r="G633" s="8"/>
      <c r="H633" s="7"/>
      <c r="I633" s="7"/>
      <c r="J633" s="6"/>
      <c r="K633" s="9" t="str">
        <f aca="false">IF(OR($J633="",$J633=0),"",$I633/$J633)</f>
        <v/>
      </c>
      <c r="L633" s="9" t="str">
        <f aca="false">IF(OR($E633="",$E633=0),"",$H633/$E633)</f>
        <v/>
      </c>
      <c r="M633" s="10" t="str">
        <f aca="false">IF(OR($L633="",$L633=0),"",($I633/30)/$L633)</f>
        <v/>
      </c>
      <c r="N633" s="8"/>
      <c r="O633" s="11" t="str">
        <f aca="false">IF(OR($I633="",$N633=""),"",($I633/1000)*$N633)</f>
        <v/>
      </c>
      <c r="P633" s="12" t="str">
        <f aca="false">IF($C633="","",IFERROR(ROUND(MIN(25,($N633/Instellingen!$B$3)*25)+MIN(25,($I633/Instellingen!$B$4)*25)+MIN(25,($J633/Instellingen!$B$5)*25)+MIN(25,(IF($M633="",0,$M633)/Instellingen!$B$6)*25),0),""))</f>
        <v/>
      </c>
      <c r="Q633" s="13" t="str">
        <f aca="false">IF($P633="","",IF($P633&gt;=Instellingen!$B$7,"Sterke niche",IF($P633&gt;=Instellingen!$B$8,"Belofte - opvolgen",IF($P633&gt;=Instellingen!$B$9,"Zwak - twijfel","Vermijden"))))</f>
        <v/>
      </c>
      <c r="R633" s="5"/>
      <c r="T633" s="1" t="str">
        <f aca="false">IF($C633="","",IF($P633=_xlfn.MAXIFS($P$3:$P$1000,$B$3:$B$1000,$B633),"★ Cash cow – handmatig onderzoeken",""))</f>
        <v/>
      </c>
    </row>
    <row r="634" customFormat="false" ht="14.25" hidden="false" customHeight="true" outlineLevel="0" collapsed="false">
      <c r="A634" s="4"/>
      <c r="B634" s="5"/>
      <c r="C634" s="5"/>
      <c r="D634" s="5"/>
      <c r="E634" s="6"/>
      <c r="F634" s="7"/>
      <c r="G634" s="8"/>
      <c r="H634" s="7"/>
      <c r="I634" s="7"/>
      <c r="J634" s="6"/>
      <c r="K634" s="9" t="str">
        <f aca="false">IF(OR($J634="",$J634=0),"",$I634/$J634)</f>
        <v/>
      </c>
      <c r="L634" s="9" t="str">
        <f aca="false">IF(OR($E634="",$E634=0),"",$H634/$E634)</f>
        <v/>
      </c>
      <c r="M634" s="10" t="str">
        <f aca="false">IF(OR($L634="",$L634=0),"",($I634/30)/$L634)</f>
        <v/>
      </c>
      <c r="N634" s="8"/>
      <c r="O634" s="11" t="str">
        <f aca="false">IF(OR($I634="",$N634=""),"",($I634/1000)*$N634)</f>
        <v/>
      </c>
      <c r="P634" s="12" t="str">
        <f aca="false">IF($C634="","",IFERROR(ROUND(MIN(25,($N634/Instellingen!$B$3)*25)+MIN(25,($I634/Instellingen!$B$4)*25)+MIN(25,($J634/Instellingen!$B$5)*25)+MIN(25,(IF($M634="",0,$M634)/Instellingen!$B$6)*25),0),""))</f>
        <v/>
      </c>
      <c r="Q634" s="13" t="str">
        <f aca="false">IF($P634="","",IF($P634&gt;=Instellingen!$B$7,"Sterke niche",IF($P634&gt;=Instellingen!$B$8,"Belofte - opvolgen",IF($P634&gt;=Instellingen!$B$9,"Zwak - twijfel","Vermijden"))))</f>
        <v/>
      </c>
      <c r="R634" s="5"/>
      <c r="T634" s="1" t="str">
        <f aca="false">IF($C634="","",IF($P634=_xlfn.MAXIFS($P$3:$P$1000,$B$3:$B$1000,$B634),"★ Cash cow – handmatig onderzoeken",""))</f>
        <v/>
      </c>
    </row>
    <row r="635" customFormat="false" ht="14.25" hidden="false" customHeight="true" outlineLevel="0" collapsed="false">
      <c r="A635" s="4"/>
      <c r="B635" s="5"/>
      <c r="C635" s="5"/>
      <c r="D635" s="5"/>
      <c r="E635" s="6"/>
      <c r="F635" s="7"/>
      <c r="G635" s="8"/>
      <c r="H635" s="7"/>
      <c r="I635" s="7"/>
      <c r="J635" s="6"/>
      <c r="K635" s="9" t="str">
        <f aca="false">IF(OR($J635="",$J635=0),"",$I635/$J635)</f>
        <v/>
      </c>
      <c r="L635" s="9" t="str">
        <f aca="false">IF(OR($E635="",$E635=0),"",$H635/$E635)</f>
        <v/>
      </c>
      <c r="M635" s="10" t="str">
        <f aca="false">IF(OR($L635="",$L635=0),"",($I635/30)/$L635)</f>
        <v/>
      </c>
      <c r="N635" s="8"/>
      <c r="O635" s="11" t="str">
        <f aca="false">IF(OR($I635="",$N635=""),"",($I635/1000)*$N635)</f>
        <v/>
      </c>
      <c r="P635" s="12" t="str">
        <f aca="false">IF($C635="","",IFERROR(ROUND(MIN(25,($N635/Instellingen!$B$3)*25)+MIN(25,($I635/Instellingen!$B$4)*25)+MIN(25,($J635/Instellingen!$B$5)*25)+MIN(25,(IF($M635="",0,$M635)/Instellingen!$B$6)*25),0),""))</f>
        <v/>
      </c>
      <c r="Q635" s="13" t="str">
        <f aca="false">IF($P635="","",IF($P635&gt;=Instellingen!$B$7,"Sterke niche",IF($P635&gt;=Instellingen!$B$8,"Belofte - opvolgen",IF($P635&gt;=Instellingen!$B$9,"Zwak - twijfel","Vermijden"))))</f>
        <v/>
      </c>
      <c r="R635" s="5"/>
      <c r="T635" s="1" t="str">
        <f aca="false">IF($C635="","",IF($P635=_xlfn.MAXIFS($P$3:$P$1000,$B$3:$B$1000,$B635),"★ Cash cow – handmatig onderzoeken",""))</f>
        <v/>
      </c>
    </row>
    <row r="636" customFormat="false" ht="14.25" hidden="false" customHeight="true" outlineLevel="0" collapsed="false">
      <c r="A636" s="4"/>
      <c r="B636" s="5"/>
      <c r="C636" s="5"/>
      <c r="D636" s="5"/>
      <c r="E636" s="6"/>
      <c r="F636" s="7"/>
      <c r="G636" s="8"/>
      <c r="H636" s="7"/>
      <c r="I636" s="7"/>
      <c r="J636" s="6"/>
      <c r="K636" s="9" t="str">
        <f aca="false">IF(OR($J636="",$J636=0),"",$I636/$J636)</f>
        <v/>
      </c>
      <c r="L636" s="9" t="str">
        <f aca="false">IF(OR($E636="",$E636=0),"",$H636/$E636)</f>
        <v/>
      </c>
      <c r="M636" s="10" t="str">
        <f aca="false">IF(OR($L636="",$L636=0),"",($I636/30)/$L636)</f>
        <v/>
      </c>
      <c r="N636" s="8"/>
      <c r="O636" s="11" t="str">
        <f aca="false">IF(OR($I636="",$N636=""),"",($I636/1000)*$N636)</f>
        <v/>
      </c>
      <c r="P636" s="12" t="str">
        <f aca="false">IF($C636="","",IFERROR(ROUND(MIN(25,($N636/Instellingen!$B$3)*25)+MIN(25,($I636/Instellingen!$B$4)*25)+MIN(25,($J636/Instellingen!$B$5)*25)+MIN(25,(IF($M636="",0,$M636)/Instellingen!$B$6)*25),0),""))</f>
        <v/>
      </c>
      <c r="Q636" s="13" t="str">
        <f aca="false">IF($P636="","",IF($P636&gt;=Instellingen!$B$7,"Sterke niche",IF($P636&gt;=Instellingen!$B$8,"Belofte - opvolgen",IF($P636&gt;=Instellingen!$B$9,"Zwak - twijfel","Vermijden"))))</f>
        <v/>
      </c>
      <c r="R636" s="5"/>
      <c r="T636" s="1" t="str">
        <f aca="false">IF($C636="","",IF($P636=_xlfn.MAXIFS($P$3:$P$1000,$B$3:$B$1000,$B636),"★ Cash cow – handmatig onderzoeken",""))</f>
        <v/>
      </c>
    </row>
    <row r="637" customFormat="false" ht="14.25" hidden="false" customHeight="true" outlineLevel="0" collapsed="false">
      <c r="A637" s="4"/>
      <c r="B637" s="5"/>
      <c r="C637" s="5"/>
      <c r="D637" s="5"/>
      <c r="E637" s="6"/>
      <c r="F637" s="7"/>
      <c r="G637" s="8"/>
      <c r="H637" s="7"/>
      <c r="I637" s="7"/>
      <c r="J637" s="6"/>
      <c r="K637" s="9" t="str">
        <f aca="false">IF(OR($J637="",$J637=0),"",$I637/$J637)</f>
        <v/>
      </c>
      <c r="L637" s="9" t="str">
        <f aca="false">IF(OR($E637="",$E637=0),"",$H637/$E637)</f>
        <v/>
      </c>
      <c r="M637" s="10" t="str">
        <f aca="false">IF(OR($L637="",$L637=0),"",($I637/30)/$L637)</f>
        <v/>
      </c>
      <c r="N637" s="8"/>
      <c r="O637" s="11" t="str">
        <f aca="false">IF(OR($I637="",$N637=""),"",($I637/1000)*$N637)</f>
        <v/>
      </c>
      <c r="P637" s="12" t="str">
        <f aca="false">IF($C637="","",IFERROR(ROUND(MIN(25,($N637/Instellingen!$B$3)*25)+MIN(25,($I637/Instellingen!$B$4)*25)+MIN(25,($J637/Instellingen!$B$5)*25)+MIN(25,(IF($M637="",0,$M637)/Instellingen!$B$6)*25),0),""))</f>
        <v/>
      </c>
      <c r="Q637" s="13" t="str">
        <f aca="false">IF($P637="","",IF($P637&gt;=Instellingen!$B$7,"Sterke niche",IF($P637&gt;=Instellingen!$B$8,"Belofte - opvolgen",IF($P637&gt;=Instellingen!$B$9,"Zwak - twijfel","Vermijden"))))</f>
        <v/>
      </c>
      <c r="R637" s="5"/>
      <c r="T637" s="1" t="str">
        <f aca="false">IF($C637="","",IF($P637=_xlfn.MAXIFS($P$3:$P$1000,$B$3:$B$1000,$B637),"★ Cash cow – handmatig onderzoeken",""))</f>
        <v/>
      </c>
    </row>
    <row r="638" customFormat="false" ht="14.25" hidden="false" customHeight="true" outlineLevel="0" collapsed="false">
      <c r="A638" s="4"/>
      <c r="B638" s="5"/>
      <c r="C638" s="5"/>
      <c r="D638" s="5"/>
      <c r="E638" s="6"/>
      <c r="F638" s="7"/>
      <c r="G638" s="8"/>
      <c r="H638" s="7"/>
      <c r="I638" s="7"/>
      <c r="J638" s="6"/>
      <c r="K638" s="9" t="str">
        <f aca="false">IF(OR($J638="",$J638=0),"",$I638/$J638)</f>
        <v/>
      </c>
      <c r="L638" s="9" t="str">
        <f aca="false">IF(OR($E638="",$E638=0),"",$H638/$E638)</f>
        <v/>
      </c>
      <c r="M638" s="10" t="str">
        <f aca="false">IF(OR($L638="",$L638=0),"",($I638/30)/$L638)</f>
        <v/>
      </c>
      <c r="N638" s="8"/>
      <c r="O638" s="11" t="str">
        <f aca="false">IF(OR($I638="",$N638=""),"",($I638/1000)*$N638)</f>
        <v/>
      </c>
      <c r="P638" s="12" t="str">
        <f aca="false">IF($C638="","",IFERROR(ROUND(MIN(25,($N638/Instellingen!$B$3)*25)+MIN(25,($I638/Instellingen!$B$4)*25)+MIN(25,($J638/Instellingen!$B$5)*25)+MIN(25,(IF($M638="",0,$M638)/Instellingen!$B$6)*25),0),""))</f>
        <v/>
      </c>
      <c r="Q638" s="13" t="str">
        <f aca="false">IF($P638="","",IF($P638&gt;=Instellingen!$B$7,"Sterke niche",IF($P638&gt;=Instellingen!$B$8,"Belofte - opvolgen",IF($P638&gt;=Instellingen!$B$9,"Zwak - twijfel","Vermijden"))))</f>
        <v/>
      </c>
      <c r="R638" s="5"/>
      <c r="T638" s="1" t="str">
        <f aca="false">IF($C638="","",IF($P638=_xlfn.MAXIFS($P$3:$P$1000,$B$3:$B$1000,$B638),"★ Cash cow – handmatig onderzoeken",""))</f>
        <v/>
      </c>
    </row>
    <row r="639" customFormat="false" ht="14.25" hidden="false" customHeight="true" outlineLevel="0" collapsed="false">
      <c r="A639" s="4"/>
      <c r="B639" s="5"/>
      <c r="C639" s="5"/>
      <c r="D639" s="5"/>
      <c r="E639" s="6"/>
      <c r="F639" s="7"/>
      <c r="G639" s="8"/>
      <c r="H639" s="7"/>
      <c r="I639" s="7"/>
      <c r="J639" s="6"/>
      <c r="K639" s="9" t="str">
        <f aca="false">IF(OR($J639="",$J639=0),"",$I639/$J639)</f>
        <v/>
      </c>
      <c r="L639" s="9" t="str">
        <f aca="false">IF(OR($E639="",$E639=0),"",$H639/$E639)</f>
        <v/>
      </c>
      <c r="M639" s="10" t="str">
        <f aca="false">IF(OR($L639="",$L639=0),"",($I639/30)/$L639)</f>
        <v/>
      </c>
      <c r="N639" s="8"/>
      <c r="O639" s="11" t="str">
        <f aca="false">IF(OR($I639="",$N639=""),"",($I639/1000)*$N639)</f>
        <v/>
      </c>
      <c r="P639" s="12" t="str">
        <f aca="false">IF($C639="","",IFERROR(ROUND(MIN(25,($N639/Instellingen!$B$3)*25)+MIN(25,($I639/Instellingen!$B$4)*25)+MIN(25,($J639/Instellingen!$B$5)*25)+MIN(25,(IF($M639="",0,$M639)/Instellingen!$B$6)*25),0),""))</f>
        <v/>
      </c>
      <c r="Q639" s="13" t="str">
        <f aca="false">IF($P639="","",IF($P639&gt;=Instellingen!$B$7,"Sterke niche",IF($P639&gt;=Instellingen!$B$8,"Belofte - opvolgen",IF($P639&gt;=Instellingen!$B$9,"Zwak - twijfel","Vermijden"))))</f>
        <v/>
      </c>
      <c r="R639" s="5"/>
      <c r="T639" s="1" t="str">
        <f aca="false">IF($C639="","",IF($P639=_xlfn.MAXIFS($P$3:$P$1000,$B$3:$B$1000,$B639),"★ Cash cow – handmatig onderzoeken",""))</f>
        <v/>
      </c>
    </row>
    <row r="640" customFormat="false" ht="14.25" hidden="false" customHeight="true" outlineLevel="0" collapsed="false">
      <c r="A640" s="4"/>
      <c r="B640" s="5"/>
      <c r="C640" s="5"/>
      <c r="D640" s="5"/>
      <c r="E640" s="6"/>
      <c r="F640" s="7"/>
      <c r="G640" s="8"/>
      <c r="H640" s="7"/>
      <c r="I640" s="7"/>
      <c r="J640" s="6"/>
      <c r="K640" s="9" t="str">
        <f aca="false">IF(OR($J640="",$J640=0),"",$I640/$J640)</f>
        <v/>
      </c>
      <c r="L640" s="9" t="str">
        <f aca="false">IF(OR($E640="",$E640=0),"",$H640/$E640)</f>
        <v/>
      </c>
      <c r="M640" s="10" t="str">
        <f aca="false">IF(OR($L640="",$L640=0),"",($I640/30)/$L640)</f>
        <v/>
      </c>
      <c r="N640" s="8"/>
      <c r="O640" s="11" t="str">
        <f aca="false">IF(OR($I640="",$N640=""),"",($I640/1000)*$N640)</f>
        <v/>
      </c>
      <c r="P640" s="12" t="str">
        <f aca="false">IF($C640="","",IFERROR(ROUND(MIN(25,($N640/Instellingen!$B$3)*25)+MIN(25,($I640/Instellingen!$B$4)*25)+MIN(25,($J640/Instellingen!$B$5)*25)+MIN(25,(IF($M640="",0,$M640)/Instellingen!$B$6)*25),0),""))</f>
        <v/>
      </c>
      <c r="Q640" s="13" t="str">
        <f aca="false">IF($P640="","",IF($P640&gt;=Instellingen!$B$7,"Sterke niche",IF($P640&gt;=Instellingen!$B$8,"Belofte - opvolgen",IF($P640&gt;=Instellingen!$B$9,"Zwak - twijfel","Vermijden"))))</f>
        <v/>
      </c>
      <c r="R640" s="5"/>
      <c r="T640" s="1" t="str">
        <f aca="false">IF($C640="","",IF($P640=_xlfn.MAXIFS($P$3:$P$1000,$B$3:$B$1000,$B640),"★ Cash cow – handmatig onderzoeken",""))</f>
        <v/>
      </c>
    </row>
    <row r="641" customFormat="false" ht="14.25" hidden="false" customHeight="true" outlineLevel="0" collapsed="false">
      <c r="A641" s="4"/>
      <c r="B641" s="5"/>
      <c r="C641" s="5"/>
      <c r="D641" s="5"/>
      <c r="E641" s="6"/>
      <c r="F641" s="7"/>
      <c r="G641" s="8"/>
      <c r="H641" s="7"/>
      <c r="I641" s="7"/>
      <c r="J641" s="6"/>
      <c r="K641" s="9" t="str">
        <f aca="false">IF(OR($J641="",$J641=0),"",$I641/$J641)</f>
        <v/>
      </c>
      <c r="L641" s="9" t="str">
        <f aca="false">IF(OR($E641="",$E641=0),"",$H641/$E641)</f>
        <v/>
      </c>
      <c r="M641" s="10" t="str">
        <f aca="false">IF(OR($L641="",$L641=0),"",($I641/30)/$L641)</f>
        <v/>
      </c>
      <c r="N641" s="8"/>
      <c r="O641" s="11" t="str">
        <f aca="false">IF(OR($I641="",$N641=""),"",($I641/1000)*$N641)</f>
        <v/>
      </c>
      <c r="P641" s="12" t="str">
        <f aca="false">IF($C641="","",IFERROR(ROUND(MIN(25,($N641/Instellingen!$B$3)*25)+MIN(25,($I641/Instellingen!$B$4)*25)+MIN(25,($J641/Instellingen!$B$5)*25)+MIN(25,(IF($M641="",0,$M641)/Instellingen!$B$6)*25),0),""))</f>
        <v/>
      </c>
      <c r="Q641" s="13" t="str">
        <f aca="false">IF($P641="","",IF($P641&gt;=Instellingen!$B$7,"Sterke niche",IF($P641&gt;=Instellingen!$B$8,"Belofte - opvolgen",IF($P641&gt;=Instellingen!$B$9,"Zwak - twijfel","Vermijden"))))</f>
        <v/>
      </c>
      <c r="R641" s="5"/>
      <c r="T641" s="1" t="str">
        <f aca="false">IF($C641="","",IF($P641=_xlfn.MAXIFS($P$3:$P$1000,$B$3:$B$1000,$B641),"★ Cash cow – handmatig onderzoeken",""))</f>
        <v/>
      </c>
    </row>
    <row r="642" customFormat="false" ht="14.25" hidden="false" customHeight="true" outlineLevel="0" collapsed="false">
      <c r="A642" s="4"/>
      <c r="B642" s="5"/>
      <c r="C642" s="5"/>
      <c r="D642" s="5"/>
      <c r="E642" s="6"/>
      <c r="F642" s="7"/>
      <c r="G642" s="8"/>
      <c r="H642" s="7"/>
      <c r="I642" s="7"/>
      <c r="J642" s="6"/>
      <c r="K642" s="9" t="str">
        <f aca="false">IF(OR($J642="",$J642=0),"",$I642/$J642)</f>
        <v/>
      </c>
      <c r="L642" s="9" t="str">
        <f aca="false">IF(OR($E642="",$E642=0),"",$H642/$E642)</f>
        <v/>
      </c>
      <c r="M642" s="10" t="str">
        <f aca="false">IF(OR($L642="",$L642=0),"",($I642/30)/$L642)</f>
        <v/>
      </c>
      <c r="N642" s="8"/>
      <c r="O642" s="11" t="str">
        <f aca="false">IF(OR($I642="",$N642=""),"",($I642/1000)*$N642)</f>
        <v/>
      </c>
      <c r="P642" s="12" t="str">
        <f aca="false">IF($C642="","",IFERROR(ROUND(MIN(25,($N642/Instellingen!$B$3)*25)+MIN(25,($I642/Instellingen!$B$4)*25)+MIN(25,($J642/Instellingen!$B$5)*25)+MIN(25,(IF($M642="",0,$M642)/Instellingen!$B$6)*25),0),""))</f>
        <v/>
      </c>
      <c r="Q642" s="13" t="str">
        <f aca="false">IF($P642="","",IF($P642&gt;=Instellingen!$B$7,"Sterke niche",IF($P642&gt;=Instellingen!$B$8,"Belofte - opvolgen",IF($P642&gt;=Instellingen!$B$9,"Zwak - twijfel","Vermijden"))))</f>
        <v/>
      </c>
      <c r="R642" s="5"/>
      <c r="T642" s="1" t="str">
        <f aca="false">IF($C642="","",IF($P642=_xlfn.MAXIFS($P$3:$P$1000,$B$3:$B$1000,$B642),"★ Cash cow – handmatig onderzoeken",""))</f>
        <v/>
      </c>
    </row>
    <row r="643" customFormat="false" ht="14.25" hidden="false" customHeight="true" outlineLevel="0" collapsed="false">
      <c r="A643" s="4"/>
      <c r="B643" s="5"/>
      <c r="C643" s="5"/>
      <c r="D643" s="5"/>
      <c r="E643" s="6"/>
      <c r="F643" s="7"/>
      <c r="G643" s="8"/>
      <c r="H643" s="7"/>
      <c r="I643" s="7"/>
      <c r="J643" s="6"/>
      <c r="K643" s="9" t="str">
        <f aca="false">IF(OR($J643="",$J643=0),"",$I643/$J643)</f>
        <v/>
      </c>
      <c r="L643" s="9" t="str">
        <f aca="false">IF(OR($E643="",$E643=0),"",$H643/$E643)</f>
        <v/>
      </c>
      <c r="M643" s="10" t="str">
        <f aca="false">IF(OR($L643="",$L643=0),"",($I643/30)/$L643)</f>
        <v/>
      </c>
      <c r="N643" s="8"/>
      <c r="O643" s="11" t="str">
        <f aca="false">IF(OR($I643="",$N643=""),"",($I643/1000)*$N643)</f>
        <v/>
      </c>
      <c r="P643" s="12" t="str">
        <f aca="false">IF($C643="","",IFERROR(ROUND(MIN(25,($N643/Instellingen!$B$3)*25)+MIN(25,($I643/Instellingen!$B$4)*25)+MIN(25,($J643/Instellingen!$B$5)*25)+MIN(25,(IF($M643="",0,$M643)/Instellingen!$B$6)*25),0),""))</f>
        <v/>
      </c>
      <c r="Q643" s="13" t="str">
        <f aca="false">IF($P643="","",IF($P643&gt;=Instellingen!$B$7,"Sterke niche",IF($P643&gt;=Instellingen!$B$8,"Belofte - opvolgen",IF($P643&gt;=Instellingen!$B$9,"Zwak - twijfel","Vermijden"))))</f>
        <v/>
      </c>
      <c r="R643" s="5"/>
      <c r="T643" s="1" t="str">
        <f aca="false">IF($C643="","",IF($P643=_xlfn.MAXIFS($P$3:$P$1000,$B$3:$B$1000,$B643),"★ Cash cow – handmatig onderzoeken",""))</f>
        <v/>
      </c>
    </row>
    <row r="644" customFormat="false" ht="14.25" hidden="false" customHeight="true" outlineLevel="0" collapsed="false">
      <c r="A644" s="4"/>
      <c r="B644" s="5"/>
      <c r="C644" s="5"/>
      <c r="D644" s="5"/>
      <c r="E644" s="6"/>
      <c r="F644" s="7"/>
      <c r="G644" s="8"/>
      <c r="H644" s="7"/>
      <c r="I644" s="7"/>
      <c r="J644" s="6"/>
      <c r="K644" s="9" t="str">
        <f aca="false">IF(OR($J644="",$J644=0),"",$I644/$J644)</f>
        <v/>
      </c>
      <c r="L644" s="9" t="str">
        <f aca="false">IF(OR($E644="",$E644=0),"",$H644/$E644)</f>
        <v/>
      </c>
      <c r="M644" s="10" t="str">
        <f aca="false">IF(OR($L644="",$L644=0),"",($I644/30)/$L644)</f>
        <v/>
      </c>
      <c r="N644" s="8"/>
      <c r="O644" s="11" t="str">
        <f aca="false">IF(OR($I644="",$N644=""),"",($I644/1000)*$N644)</f>
        <v/>
      </c>
      <c r="P644" s="12" t="str">
        <f aca="false">IF($C644="","",IFERROR(ROUND(MIN(25,($N644/Instellingen!$B$3)*25)+MIN(25,($I644/Instellingen!$B$4)*25)+MIN(25,($J644/Instellingen!$B$5)*25)+MIN(25,(IF($M644="",0,$M644)/Instellingen!$B$6)*25),0),""))</f>
        <v/>
      </c>
      <c r="Q644" s="13" t="str">
        <f aca="false">IF($P644="","",IF($P644&gt;=Instellingen!$B$7,"Sterke niche",IF($P644&gt;=Instellingen!$B$8,"Belofte - opvolgen",IF($P644&gt;=Instellingen!$B$9,"Zwak - twijfel","Vermijden"))))</f>
        <v/>
      </c>
      <c r="R644" s="5"/>
      <c r="T644" s="1" t="str">
        <f aca="false">IF($C644="","",IF($P644=_xlfn.MAXIFS($P$3:$P$1000,$B$3:$B$1000,$B644),"★ Cash cow – handmatig onderzoeken",""))</f>
        <v/>
      </c>
    </row>
    <row r="645" customFormat="false" ht="14.25" hidden="false" customHeight="true" outlineLevel="0" collapsed="false">
      <c r="A645" s="4"/>
      <c r="B645" s="5"/>
      <c r="C645" s="5"/>
      <c r="D645" s="5"/>
      <c r="E645" s="6"/>
      <c r="F645" s="7"/>
      <c r="G645" s="8"/>
      <c r="H645" s="7"/>
      <c r="I645" s="7"/>
      <c r="J645" s="6"/>
      <c r="K645" s="9" t="str">
        <f aca="false">IF(OR($J645="",$J645=0),"",$I645/$J645)</f>
        <v/>
      </c>
      <c r="L645" s="9" t="str">
        <f aca="false">IF(OR($E645="",$E645=0),"",$H645/$E645)</f>
        <v/>
      </c>
      <c r="M645" s="10" t="str">
        <f aca="false">IF(OR($L645="",$L645=0),"",($I645/30)/$L645)</f>
        <v/>
      </c>
      <c r="N645" s="8"/>
      <c r="O645" s="11" t="str">
        <f aca="false">IF(OR($I645="",$N645=""),"",($I645/1000)*$N645)</f>
        <v/>
      </c>
      <c r="P645" s="12" t="str">
        <f aca="false">IF($C645="","",IFERROR(ROUND(MIN(25,($N645/Instellingen!$B$3)*25)+MIN(25,($I645/Instellingen!$B$4)*25)+MIN(25,($J645/Instellingen!$B$5)*25)+MIN(25,(IF($M645="",0,$M645)/Instellingen!$B$6)*25),0),""))</f>
        <v/>
      </c>
      <c r="Q645" s="13" t="str">
        <f aca="false">IF($P645="","",IF($P645&gt;=Instellingen!$B$7,"Sterke niche",IF($P645&gt;=Instellingen!$B$8,"Belofte - opvolgen",IF($P645&gt;=Instellingen!$B$9,"Zwak - twijfel","Vermijden"))))</f>
        <v/>
      </c>
      <c r="R645" s="5"/>
      <c r="T645" s="1" t="str">
        <f aca="false">IF($C645="","",IF($P645=_xlfn.MAXIFS($P$3:$P$1000,$B$3:$B$1000,$B645),"★ Cash cow – handmatig onderzoeken",""))</f>
        <v/>
      </c>
    </row>
    <row r="646" customFormat="false" ht="14.25" hidden="false" customHeight="true" outlineLevel="0" collapsed="false">
      <c r="A646" s="4"/>
      <c r="B646" s="5"/>
      <c r="C646" s="5"/>
      <c r="D646" s="5"/>
      <c r="E646" s="6"/>
      <c r="F646" s="7"/>
      <c r="G646" s="8"/>
      <c r="H646" s="7"/>
      <c r="I646" s="7"/>
      <c r="J646" s="6"/>
      <c r="K646" s="9" t="str">
        <f aca="false">IF(OR($J646="",$J646=0),"",$I646/$J646)</f>
        <v/>
      </c>
      <c r="L646" s="9" t="str">
        <f aca="false">IF(OR($E646="",$E646=0),"",$H646/$E646)</f>
        <v/>
      </c>
      <c r="M646" s="10" t="str">
        <f aca="false">IF(OR($L646="",$L646=0),"",($I646/30)/$L646)</f>
        <v/>
      </c>
      <c r="N646" s="8"/>
      <c r="O646" s="11" t="str">
        <f aca="false">IF(OR($I646="",$N646=""),"",($I646/1000)*$N646)</f>
        <v/>
      </c>
      <c r="P646" s="12" t="str">
        <f aca="false">IF($C646="","",IFERROR(ROUND(MIN(25,($N646/Instellingen!$B$3)*25)+MIN(25,($I646/Instellingen!$B$4)*25)+MIN(25,($J646/Instellingen!$B$5)*25)+MIN(25,(IF($M646="",0,$M646)/Instellingen!$B$6)*25),0),""))</f>
        <v/>
      </c>
      <c r="Q646" s="13" t="str">
        <f aca="false">IF($P646="","",IF($P646&gt;=Instellingen!$B$7,"Sterke niche",IF($P646&gt;=Instellingen!$B$8,"Belofte - opvolgen",IF($P646&gt;=Instellingen!$B$9,"Zwak - twijfel","Vermijden"))))</f>
        <v/>
      </c>
      <c r="R646" s="5"/>
      <c r="T646" s="1" t="str">
        <f aca="false">IF($C646="","",IF($P646=_xlfn.MAXIFS($P$3:$P$1000,$B$3:$B$1000,$B646),"★ Cash cow – handmatig onderzoeken",""))</f>
        <v/>
      </c>
    </row>
    <row r="647" customFormat="false" ht="14.25" hidden="false" customHeight="true" outlineLevel="0" collapsed="false">
      <c r="A647" s="4"/>
      <c r="B647" s="5"/>
      <c r="C647" s="5"/>
      <c r="D647" s="5"/>
      <c r="E647" s="6"/>
      <c r="F647" s="7"/>
      <c r="G647" s="8"/>
      <c r="H647" s="7"/>
      <c r="I647" s="7"/>
      <c r="J647" s="6"/>
      <c r="K647" s="9" t="str">
        <f aca="false">IF(OR($J647="",$J647=0),"",$I647/$J647)</f>
        <v/>
      </c>
      <c r="L647" s="9" t="str">
        <f aca="false">IF(OR($E647="",$E647=0),"",$H647/$E647)</f>
        <v/>
      </c>
      <c r="M647" s="10" t="str">
        <f aca="false">IF(OR($L647="",$L647=0),"",($I647/30)/$L647)</f>
        <v/>
      </c>
      <c r="N647" s="8"/>
      <c r="O647" s="11" t="str">
        <f aca="false">IF(OR($I647="",$N647=""),"",($I647/1000)*$N647)</f>
        <v/>
      </c>
      <c r="P647" s="12" t="str">
        <f aca="false">IF($C647="","",IFERROR(ROUND(MIN(25,($N647/Instellingen!$B$3)*25)+MIN(25,($I647/Instellingen!$B$4)*25)+MIN(25,($J647/Instellingen!$B$5)*25)+MIN(25,(IF($M647="",0,$M647)/Instellingen!$B$6)*25),0),""))</f>
        <v/>
      </c>
      <c r="Q647" s="13" t="str">
        <f aca="false">IF($P647="","",IF($P647&gt;=Instellingen!$B$7,"Sterke niche",IF($P647&gt;=Instellingen!$B$8,"Belofte - opvolgen",IF($P647&gt;=Instellingen!$B$9,"Zwak - twijfel","Vermijden"))))</f>
        <v/>
      </c>
      <c r="R647" s="5"/>
      <c r="T647" s="1" t="str">
        <f aca="false">IF($C647="","",IF($P647=_xlfn.MAXIFS($P$3:$P$1000,$B$3:$B$1000,$B647),"★ Cash cow – handmatig onderzoeken",""))</f>
        <v/>
      </c>
    </row>
    <row r="648" customFormat="false" ht="14.25" hidden="false" customHeight="true" outlineLevel="0" collapsed="false">
      <c r="A648" s="4"/>
      <c r="B648" s="5"/>
      <c r="C648" s="5"/>
      <c r="D648" s="5"/>
      <c r="E648" s="6"/>
      <c r="F648" s="7"/>
      <c r="G648" s="8"/>
      <c r="H648" s="7"/>
      <c r="I648" s="7"/>
      <c r="J648" s="6"/>
      <c r="K648" s="9" t="str">
        <f aca="false">IF(OR($J648="",$J648=0),"",$I648/$J648)</f>
        <v/>
      </c>
      <c r="L648" s="9" t="str">
        <f aca="false">IF(OR($E648="",$E648=0),"",$H648/$E648)</f>
        <v/>
      </c>
      <c r="M648" s="10" t="str">
        <f aca="false">IF(OR($L648="",$L648=0),"",($I648/30)/$L648)</f>
        <v/>
      </c>
      <c r="N648" s="8"/>
      <c r="O648" s="11" t="str">
        <f aca="false">IF(OR($I648="",$N648=""),"",($I648/1000)*$N648)</f>
        <v/>
      </c>
      <c r="P648" s="12" t="str">
        <f aca="false">IF($C648="","",IFERROR(ROUND(MIN(25,($N648/Instellingen!$B$3)*25)+MIN(25,($I648/Instellingen!$B$4)*25)+MIN(25,($J648/Instellingen!$B$5)*25)+MIN(25,(IF($M648="",0,$M648)/Instellingen!$B$6)*25),0),""))</f>
        <v/>
      </c>
      <c r="Q648" s="13" t="str">
        <f aca="false">IF($P648="","",IF($P648&gt;=Instellingen!$B$7,"Sterke niche",IF($P648&gt;=Instellingen!$B$8,"Belofte - opvolgen",IF($P648&gt;=Instellingen!$B$9,"Zwak - twijfel","Vermijden"))))</f>
        <v/>
      </c>
      <c r="R648" s="5"/>
      <c r="T648" s="1" t="str">
        <f aca="false">IF($C648="","",IF($P648=_xlfn.MAXIFS($P$3:$P$1000,$B$3:$B$1000,$B648),"★ Cash cow – handmatig onderzoeken",""))</f>
        <v/>
      </c>
    </row>
    <row r="649" customFormat="false" ht="14.25" hidden="false" customHeight="true" outlineLevel="0" collapsed="false">
      <c r="A649" s="4"/>
      <c r="B649" s="5"/>
      <c r="C649" s="5"/>
      <c r="D649" s="5"/>
      <c r="E649" s="6"/>
      <c r="F649" s="7"/>
      <c r="G649" s="8"/>
      <c r="H649" s="7"/>
      <c r="I649" s="7"/>
      <c r="J649" s="6"/>
      <c r="K649" s="9" t="str">
        <f aca="false">IF(OR($J649="",$J649=0),"",$I649/$J649)</f>
        <v/>
      </c>
      <c r="L649" s="9" t="str">
        <f aca="false">IF(OR($E649="",$E649=0),"",$H649/$E649)</f>
        <v/>
      </c>
      <c r="M649" s="10" t="str">
        <f aca="false">IF(OR($L649="",$L649=0),"",($I649/30)/$L649)</f>
        <v/>
      </c>
      <c r="N649" s="8"/>
      <c r="O649" s="11" t="str">
        <f aca="false">IF(OR($I649="",$N649=""),"",($I649/1000)*$N649)</f>
        <v/>
      </c>
      <c r="P649" s="12" t="str">
        <f aca="false">IF($C649="","",IFERROR(ROUND(MIN(25,($N649/Instellingen!$B$3)*25)+MIN(25,($I649/Instellingen!$B$4)*25)+MIN(25,($J649/Instellingen!$B$5)*25)+MIN(25,(IF($M649="",0,$M649)/Instellingen!$B$6)*25),0),""))</f>
        <v/>
      </c>
      <c r="Q649" s="13" t="str">
        <f aca="false">IF($P649="","",IF($P649&gt;=Instellingen!$B$7,"Sterke niche",IF($P649&gt;=Instellingen!$B$8,"Belofte - opvolgen",IF($P649&gt;=Instellingen!$B$9,"Zwak - twijfel","Vermijden"))))</f>
        <v/>
      </c>
      <c r="R649" s="5"/>
      <c r="T649" s="1" t="str">
        <f aca="false">IF($C649="","",IF($P649=_xlfn.MAXIFS($P$3:$P$1000,$B$3:$B$1000,$B649),"★ Cash cow – handmatig onderzoeken",""))</f>
        <v/>
      </c>
    </row>
    <row r="650" customFormat="false" ht="14.25" hidden="false" customHeight="true" outlineLevel="0" collapsed="false">
      <c r="A650" s="4"/>
      <c r="B650" s="5"/>
      <c r="C650" s="5"/>
      <c r="D650" s="5"/>
      <c r="E650" s="6"/>
      <c r="F650" s="7"/>
      <c r="G650" s="8"/>
      <c r="H650" s="7"/>
      <c r="I650" s="7"/>
      <c r="J650" s="6"/>
      <c r="K650" s="9" t="str">
        <f aca="false">IF(OR($J650="",$J650=0),"",$I650/$J650)</f>
        <v/>
      </c>
      <c r="L650" s="9" t="str">
        <f aca="false">IF(OR($E650="",$E650=0),"",$H650/$E650)</f>
        <v/>
      </c>
      <c r="M650" s="10" t="str">
        <f aca="false">IF(OR($L650="",$L650=0),"",($I650/30)/$L650)</f>
        <v/>
      </c>
      <c r="N650" s="8"/>
      <c r="O650" s="11" t="str">
        <f aca="false">IF(OR($I650="",$N650=""),"",($I650/1000)*$N650)</f>
        <v/>
      </c>
      <c r="P650" s="12" t="str">
        <f aca="false">IF($C650="","",IFERROR(ROUND(MIN(25,($N650/Instellingen!$B$3)*25)+MIN(25,($I650/Instellingen!$B$4)*25)+MIN(25,($J650/Instellingen!$B$5)*25)+MIN(25,(IF($M650="",0,$M650)/Instellingen!$B$6)*25),0),""))</f>
        <v/>
      </c>
      <c r="Q650" s="13" t="str">
        <f aca="false">IF($P650="","",IF($P650&gt;=Instellingen!$B$7,"Sterke niche",IF($P650&gt;=Instellingen!$B$8,"Belofte - opvolgen",IF($P650&gt;=Instellingen!$B$9,"Zwak - twijfel","Vermijden"))))</f>
        <v/>
      </c>
      <c r="R650" s="5"/>
      <c r="T650" s="1" t="str">
        <f aca="false">IF($C650="","",IF($P650=_xlfn.MAXIFS($P$3:$P$1000,$B$3:$B$1000,$B650),"★ Cash cow – handmatig onderzoeken",""))</f>
        <v/>
      </c>
    </row>
    <row r="651" customFormat="false" ht="14.25" hidden="false" customHeight="true" outlineLevel="0" collapsed="false">
      <c r="A651" s="4"/>
      <c r="B651" s="5"/>
      <c r="C651" s="5"/>
      <c r="D651" s="5"/>
      <c r="E651" s="6"/>
      <c r="F651" s="7"/>
      <c r="G651" s="8"/>
      <c r="H651" s="7"/>
      <c r="I651" s="7"/>
      <c r="J651" s="6"/>
      <c r="K651" s="9" t="str">
        <f aca="false">IF(OR($J651="",$J651=0),"",$I651/$J651)</f>
        <v/>
      </c>
      <c r="L651" s="9" t="str">
        <f aca="false">IF(OR($E651="",$E651=0),"",$H651/$E651)</f>
        <v/>
      </c>
      <c r="M651" s="10" t="str">
        <f aca="false">IF(OR($L651="",$L651=0),"",($I651/30)/$L651)</f>
        <v/>
      </c>
      <c r="N651" s="8"/>
      <c r="O651" s="11" t="str">
        <f aca="false">IF(OR($I651="",$N651=""),"",($I651/1000)*$N651)</f>
        <v/>
      </c>
      <c r="P651" s="12" t="str">
        <f aca="false">IF($C651="","",IFERROR(ROUND(MIN(25,($N651/Instellingen!$B$3)*25)+MIN(25,($I651/Instellingen!$B$4)*25)+MIN(25,($J651/Instellingen!$B$5)*25)+MIN(25,(IF($M651="",0,$M651)/Instellingen!$B$6)*25),0),""))</f>
        <v/>
      </c>
      <c r="Q651" s="13" t="str">
        <f aca="false">IF($P651="","",IF($P651&gt;=Instellingen!$B$7,"Sterke niche",IF($P651&gt;=Instellingen!$B$8,"Belofte - opvolgen",IF($P651&gt;=Instellingen!$B$9,"Zwak - twijfel","Vermijden"))))</f>
        <v/>
      </c>
      <c r="R651" s="5"/>
      <c r="T651" s="1" t="str">
        <f aca="false">IF($C651="","",IF($P651=_xlfn.MAXIFS($P$3:$P$1000,$B$3:$B$1000,$B651),"★ Cash cow – handmatig onderzoeken",""))</f>
        <v/>
      </c>
    </row>
    <row r="652" customFormat="false" ht="14.25" hidden="false" customHeight="true" outlineLevel="0" collapsed="false">
      <c r="A652" s="4"/>
      <c r="B652" s="5"/>
      <c r="C652" s="5"/>
      <c r="D652" s="5"/>
      <c r="E652" s="6"/>
      <c r="F652" s="7"/>
      <c r="G652" s="8"/>
      <c r="H652" s="7"/>
      <c r="I652" s="7"/>
      <c r="J652" s="6"/>
      <c r="K652" s="9" t="str">
        <f aca="false">IF(OR($J652="",$J652=0),"",$I652/$J652)</f>
        <v/>
      </c>
      <c r="L652" s="9" t="str">
        <f aca="false">IF(OR($E652="",$E652=0),"",$H652/$E652)</f>
        <v/>
      </c>
      <c r="M652" s="10" t="str">
        <f aca="false">IF(OR($L652="",$L652=0),"",($I652/30)/$L652)</f>
        <v/>
      </c>
      <c r="N652" s="8"/>
      <c r="O652" s="11" t="str">
        <f aca="false">IF(OR($I652="",$N652=""),"",($I652/1000)*$N652)</f>
        <v/>
      </c>
      <c r="P652" s="12" t="str">
        <f aca="false">IF($C652="","",IFERROR(ROUND(MIN(25,($N652/Instellingen!$B$3)*25)+MIN(25,($I652/Instellingen!$B$4)*25)+MIN(25,($J652/Instellingen!$B$5)*25)+MIN(25,(IF($M652="",0,$M652)/Instellingen!$B$6)*25),0),""))</f>
        <v/>
      </c>
      <c r="Q652" s="13" t="str">
        <f aca="false">IF($P652="","",IF($P652&gt;=Instellingen!$B$7,"Sterke niche",IF($P652&gt;=Instellingen!$B$8,"Belofte - opvolgen",IF($P652&gt;=Instellingen!$B$9,"Zwak - twijfel","Vermijden"))))</f>
        <v/>
      </c>
      <c r="R652" s="5"/>
      <c r="T652" s="1" t="str">
        <f aca="false">IF($C652="","",IF($P652=_xlfn.MAXIFS($P$3:$P$1000,$B$3:$B$1000,$B652),"★ Cash cow – handmatig onderzoeken",""))</f>
        <v/>
      </c>
    </row>
    <row r="653" customFormat="false" ht="14.25" hidden="false" customHeight="true" outlineLevel="0" collapsed="false">
      <c r="A653" s="4"/>
      <c r="B653" s="5"/>
      <c r="C653" s="5"/>
      <c r="D653" s="5"/>
      <c r="E653" s="6"/>
      <c r="F653" s="7"/>
      <c r="G653" s="8"/>
      <c r="H653" s="7"/>
      <c r="I653" s="7"/>
      <c r="J653" s="6"/>
      <c r="K653" s="9" t="str">
        <f aca="false">IF(OR($J653="",$J653=0),"",$I653/$J653)</f>
        <v/>
      </c>
      <c r="L653" s="9" t="str">
        <f aca="false">IF(OR($E653="",$E653=0),"",$H653/$E653)</f>
        <v/>
      </c>
      <c r="M653" s="10" t="str">
        <f aca="false">IF(OR($L653="",$L653=0),"",($I653/30)/$L653)</f>
        <v/>
      </c>
      <c r="N653" s="8"/>
      <c r="O653" s="11" t="str">
        <f aca="false">IF(OR($I653="",$N653=""),"",($I653/1000)*$N653)</f>
        <v/>
      </c>
      <c r="P653" s="12" t="str">
        <f aca="false">IF($C653="","",IFERROR(ROUND(MIN(25,($N653/Instellingen!$B$3)*25)+MIN(25,($I653/Instellingen!$B$4)*25)+MIN(25,($J653/Instellingen!$B$5)*25)+MIN(25,(IF($M653="",0,$M653)/Instellingen!$B$6)*25),0),""))</f>
        <v/>
      </c>
      <c r="Q653" s="13" t="str">
        <f aca="false">IF($P653="","",IF($P653&gt;=Instellingen!$B$7,"Sterke niche",IF($P653&gt;=Instellingen!$B$8,"Belofte - opvolgen",IF($P653&gt;=Instellingen!$B$9,"Zwak - twijfel","Vermijden"))))</f>
        <v/>
      </c>
      <c r="R653" s="5"/>
      <c r="T653" s="1" t="str">
        <f aca="false">IF($C653="","",IF($P653=_xlfn.MAXIFS($P$3:$P$1000,$B$3:$B$1000,$B653),"★ Cash cow – handmatig onderzoeken",""))</f>
        <v/>
      </c>
    </row>
    <row r="654" customFormat="false" ht="14.25" hidden="false" customHeight="true" outlineLevel="0" collapsed="false">
      <c r="A654" s="4"/>
      <c r="B654" s="5"/>
      <c r="C654" s="5"/>
      <c r="D654" s="5"/>
      <c r="E654" s="6"/>
      <c r="F654" s="7"/>
      <c r="G654" s="8"/>
      <c r="H654" s="7"/>
      <c r="I654" s="7"/>
      <c r="J654" s="6"/>
      <c r="K654" s="9" t="str">
        <f aca="false">IF(OR($J654="",$J654=0),"",$I654/$J654)</f>
        <v/>
      </c>
      <c r="L654" s="9" t="str">
        <f aca="false">IF(OR($E654="",$E654=0),"",$H654/$E654)</f>
        <v/>
      </c>
      <c r="M654" s="10" t="str">
        <f aca="false">IF(OR($L654="",$L654=0),"",($I654/30)/$L654)</f>
        <v/>
      </c>
      <c r="N654" s="8"/>
      <c r="O654" s="11" t="str">
        <f aca="false">IF(OR($I654="",$N654=""),"",($I654/1000)*$N654)</f>
        <v/>
      </c>
      <c r="P654" s="12" t="str">
        <f aca="false">IF($C654="","",IFERROR(ROUND(MIN(25,($N654/Instellingen!$B$3)*25)+MIN(25,($I654/Instellingen!$B$4)*25)+MIN(25,($J654/Instellingen!$B$5)*25)+MIN(25,(IF($M654="",0,$M654)/Instellingen!$B$6)*25),0),""))</f>
        <v/>
      </c>
      <c r="Q654" s="13" t="str">
        <f aca="false">IF($P654="","",IF($P654&gt;=Instellingen!$B$7,"Sterke niche",IF($P654&gt;=Instellingen!$B$8,"Belofte - opvolgen",IF($P654&gt;=Instellingen!$B$9,"Zwak - twijfel","Vermijden"))))</f>
        <v/>
      </c>
      <c r="R654" s="5"/>
      <c r="T654" s="1" t="str">
        <f aca="false">IF($C654="","",IF($P654=_xlfn.MAXIFS($P$3:$P$1000,$B$3:$B$1000,$B654),"★ Cash cow – handmatig onderzoeken",""))</f>
        <v/>
      </c>
    </row>
    <row r="655" customFormat="false" ht="14.25" hidden="false" customHeight="true" outlineLevel="0" collapsed="false">
      <c r="A655" s="4"/>
      <c r="B655" s="5"/>
      <c r="C655" s="5"/>
      <c r="D655" s="5"/>
      <c r="E655" s="6"/>
      <c r="F655" s="7"/>
      <c r="G655" s="8"/>
      <c r="H655" s="7"/>
      <c r="I655" s="7"/>
      <c r="J655" s="6"/>
      <c r="K655" s="9" t="str">
        <f aca="false">IF(OR($J655="",$J655=0),"",$I655/$J655)</f>
        <v/>
      </c>
      <c r="L655" s="9" t="str">
        <f aca="false">IF(OR($E655="",$E655=0),"",$H655/$E655)</f>
        <v/>
      </c>
      <c r="M655" s="10" t="str">
        <f aca="false">IF(OR($L655="",$L655=0),"",($I655/30)/$L655)</f>
        <v/>
      </c>
      <c r="N655" s="8"/>
      <c r="O655" s="11" t="str">
        <f aca="false">IF(OR($I655="",$N655=""),"",($I655/1000)*$N655)</f>
        <v/>
      </c>
      <c r="P655" s="12" t="str">
        <f aca="false">IF($C655="","",IFERROR(ROUND(MIN(25,($N655/Instellingen!$B$3)*25)+MIN(25,($I655/Instellingen!$B$4)*25)+MIN(25,($J655/Instellingen!$B$5)*25)+MIN(25,(IF($M655="",0,$M655)/Instellingen!$B$6)*25),0),""))</f>
        <v/>
      </c>
      <c r="Q655" s="13" t="str">
        <f aca="false">IF($P655="","",IF($P655&gt;=Instellingen!$B$7,"Sterke niche",IF($P655&gt;=Instellingen!$B$8,"Belofte - opvolgen",IF($P655&gt;=Instellingen!$B$9,"Zwak - twijfel","Vermijden"))))</f>
        <v/>
      </c>
      <c r="R655" s="5"/>
      <c r="T655" s="1" t="str">
        <f aca="false">IF($C655="","",IF($P655=_xlfn.MAXIFS($P$3:$P$1000,$B$3:$B$1000,$B655),"★ Cash cow – handmatig onderzoeken",""))</f>
        <v/>
      </c>
    </row>
    <row r="656" customFormat="false" ht="14.25" hidden="false" customHeight="true" outlineLevel="0" collapsed="false">
      <c r="A656" s="4"/>
      <c r="B656" s="5"/>
      <c r="C656" s="5"/>
      <c r="D656" s="5"/>
      <c r="E656" s="6"/>
      <c r="F656" s="7"/>
      <c r="G656" s="8"/>
      <c r="H656" s="7"/>
      <c r="I656" s="7"/>
      <c r="J656" s="6"/>
      <c r="K656" s="9" t="str">
        <f aca="false">IF(OR($J656="",$J656=0),"",$I656/$J656)</f>
        <v/>
      </c>
      <c r="L656" s="9" t="str">
        <f aca="false">IF(OR($E656="",$E656=0),"",$H656/$E656)</f>
        <v/>
      </c>
      <c r="M656" s="10" t="str">
        <f aca="false">IF(OR($L656="",$L656=0),"",($I656/30)/$L656)</f>
        <v/>
      </c>
      <c r="N656" s="8"/>
      <c r="O656" s="11" t="str">
        <f aca="false">IF(OR($I656="",$N656=""),"",($I656/1000)*$N656)</f>
        <v/>
      </c>
      <c r="P656" s="12" t="str">
        <f aca="false">IF($C656="","",IFERROR(ROUND(MIN(25,($N656/Instellingen!$B$3)*25)+MIN(25,($I656/Instellingen!$B$4)*25)+MIN(25,($J656/Instellingen!$B$5)*25)+MIN(25,(IF($M656="",0,$M656)/Instellingen!$B$6)*25),0),""))</f>
        <v/>
      </c>
      <c r="Q656" s="13" t="str">
        <f aca="false">IF($P656="","",IF($P656&gt;=Instellingen!$B$7,"Sterke niche",IF($P656&gt;=Instellingen!$B$8,"Belofte - opvolgen",IF($P656&gt;=Instellingen!$B$9,"Zwak - twijfel","Vermijden"))))</f>
        <v/>
      </c>
      <c r="R656" s="5"/>
      <c r="T656" s="1" t="str">
        <f aca="false">IF($C656="","",IF($P656=_xlfn.MAXIFS($P$3:$P$1000,$B$3:$B$1000,$B656),"★ Cash cow – handmatig onderzoeken",""))</f>
        <v/>
      </c>
    </row>
    <row r="657" customFormat="false" ht="14.25" hidden="false" customHeight="true" outlineLevel="0" collapsed="false">
      <c r="A657" s="4"/>
      <c r="B657" s="5"/>
      <c r="C657" s="5"/>
      <c r="D657" s="5"/>
      <c r="E657" s="6"/>
      <c r="F657" s="7"/>
      <c r="G657" s="8"/>
      <c r="H657" s="7"/>
      <c r="I657" s="7"/>
      <c r="J657" s="6"/>
      <c r="K657" s="9" t="str">
        <f aca="false">IF(OR($J657="",$J657=0),"",$I657/$J657)</f>
        <v/>
      </c>
      <c r="L657" s="9" t="str">
        <f aca="false">IF(OR($E657="",$E657=0),"",$H657/$E657)</f>
        <v/>
      </c>
      <c r="M657" s="10" t="str">
        <f aca="false">IF(OR($L657="",$L657=0),"",($I657/30)/$L657)</f>
        <v/>
      </c>
      <c r="N657" s="8"/>
      <c r="O657" s="11" t="str">
        <f aca="false">IF(OR($I657="",$N657=""),"",($I657/1000)*$N657)</f>
        <v/>
      </c>
      <c r="P657" s="12" t="str">
        <f aca="false">IF($C657="","",IFERROR(ROUND(MIN(25,($N657/Instellingen!$B$3)*25)+MIN(25,($I657/Instellingen!$B$4)*25)+MIN(25,($J657/Instellingen!$B$5)*25)+MIN(25,(IF($M657="",0,$M657)/Instellingen!$B$6)*25),0),""))</f>
        <v/>
      </c>
      <c r="Q657" s="13" t="str">
        <f aca="false">IF($P657="","",IF($P657&gt;=Instellingen!$B$7,"Sterke niche",IF($P657&gt;=Instellingen!$B$8,"Belofte - opvolgen",IF($P657&gt;=Instellingen!$B$9,"Zwak - twijfel","Vermijden"))))</f>
        <v/>
      </c>
      <c r="R657" s="5"/>
      <c r="T657" s="1" t="str">
        <f aca="false">IF($C657="","",IF($P657=_xlfn.MAXIFS($P$3:$P$1000,$B$3:$B$1000,$B657),"★ Cash cow – handmatig onderzoeken",""))</f>
        <v/>
      </c>
    </row>
    <row r="658" customFormat="false" ht="14.25" hidden="false" customHeight="true" outlineLevel="0" collapsed="false">
      <c r="A658" s="4"/>
      <c r="B658" s="5"/>
      <c r="C658" s="5"/>
      <c r="D658" s="5"/>
      <c r="E658" s="6"/>
      <c r="F658" s="7"/>
      <c r="G658" s="8"/>
      <c r="H658" s="7"/>
      <c r="I658" s="7"/>
      <c r="J658" s="6"/>
      <c r="K658" s="9" t="str">
        <f aca="false">IF(OR($J658="",$J658=0),"",$I658/$J658)</f>
        <v/>
      </c>
      <c r="L658" s="9" t="str">
        <f aca="false">IF(OR($E658="",$E658=0),"",$H658/$E658)</f>
        <v/>
      </c>
      <c r="M658" s="10" t="str">
        <f aca="false">IF(OR($L658="",$L658=0),"",($I658/30)/$L658)</f>
        <v/>
      </c>
      <c r="N658" s="8"/>
      <c r="O658" s="11" t="str">
        <f aca="false">IF(OR($I658="",$N658=""),"",($I658/1000)*$N658)</f>
        <v/>
      </c>
      <c r="P658" s="12" t="str">
        <f aca="false">IF($C658="","",IFERROR(ROUND(MIN(25,($N658/Instellingen!$B$3)*25)+MIN(25,($I658/Instellingen!$B$4)*25)+MIN(25,($J658/Instellingen!$B$5)*25)+MIN(25,(IF($M658="",0,$M658)/Instellingen!$B$6)*25),0),""))</f>
        <v/>
      </c>
      <c r="Q658" s="13" t="str">
        <f aca="false">IF($P658="","",IF($P658&gt;=Instellingen!$B$7,"Sterke niche",IF($P658&gt;=Instellingen!$B$8,"Belofte - opvolgen",IF($P658&gt;=Instellingen!$B$9,"Zwak - twijfel","Vermijden"))))</f>
        <v/>
      </c>
      <c r="R658" s="5"/>
      <c r="T658" s="1" t="str">
        <f aca="false">IF($C658="","",IF($P658=_xlfn.MAXIFS($P$3:$P$1000,$B$3:$B$1000,$B658),"★ Cash cow – handmatig onderzoeken",""))</f>
        <v/>
      </c>
    </row>
    <row r="659" customFormat="false" ht="14.25" hidden="false" customHeight="true" outlineLevel="0" collapsed="false">
      <c r="A659" s="4"/>
      <c r="B659" s="5"/>
      <c r="C659" s="5"/>
      <c r="D659" s="5"/>
      <c r="E659" s="6"/>
      <c r="F659" s="7"/>
      <c r="G659" s="8"/>
      <c r="H659" s="7"/>
      <c r="I659" s="7"/>
      <c r="J659" s="6"/>
      <c r="K659" s="9" t="str">
        <f aca="false">IF(OR($J659="",$J659=0),"",$I659/$J659)</f>
        <v/>
      </c>
      <c r="L659" s="9" t="str">
        <f aca="false">IF(OR($E659="",$E659=0),"",$H659/$E659)</f>
        <v/>
      </c>
      <c r="M659" s="10" t="str">
        <f aca="false">IF(OR($L659="",$L659=0),"",($I659/30)/$L659)</f>
        <v/>
      </c>
      <c r="N659" s="8"/>
      <c r="O659" s="11" t="str">
        <f aca="false">IF(OR($I659="",$N659=""),"",($I659/1000)*$N659)</f>
        <v/>
      </c>
      <c r="P659" s="12" t="str">
        <f aca="false">IF($C659="","",IFERROR(ROUND(MIN(25,($N659/Instellingen!$B$3)*25)+MIN(25,($I659/Instellingen!$B$4)*25)+MIN(25,($J659/Instellingen!$B$5)*25)+MIN(25,(IF($M659="",0,$M659)/Instellingen!$B$6)*25),0),""))</f>
        <v/>
      </c>
      <c r="Q659" s="13" t="str">
        <f aca="false">IF($P659="","",IF($P659&gt;=Instellingen!$B$7,"Sterke niche",IF($P659&gt;=Instellingen!$B$8,"Belofte - opvolgen",IF($P659&gt;=Instellingen!$B$9,"Zwak - twijfel","Vermijden"))))</f>
        <v/>
      </c>
      <c r="R659" s="5"/>
      <c r="T659" s="1" t="str">
        <f aca="false">IF($C659="","",IF($P659=_xlfn.MAXIFS($P$3:$P$1000,$B$3:$B$1000,$B659),"★ Cash cow – handmatig onderzoeken",""))</f>
        <v/>
      </c>
    </row>
    <row r="660" customFormat="false" ht="14.25" hidden="false" customHeight="true" outlineLevel="0" collapsed="false">
      <c r="A660" s="4"/>
      <c r="B660" s="5"/>
      <c r="C660" s="5"/>
      <c r="D660" s="5"/>
      <c r="E660" s="6"/>
      <c r="F660" s="7"/>
      <c r="G660" s="8"/>
      <c r="H660" s="7"/>
      <c r="I660" s="7"/>
      <c r="J660" s="6"/>
      <c r="K660" s="9" t="str">
        <f aca="false">IF(OR($J660="",$J660=0),"",$I660/$J660)</f>
        <v/>
      </c>
      <c r="L660" s="9" t="str">
        <f aca="false">IF(OR($E660="",$E660=0),"",$H660/$E660)</f>
        <v/>
      </c>
      <c r="M660" s="10" t="str">
        <f aca="false">IF(OR($L660="",$L660=0),"",($I660/30)/$L660)</f>
        <v/>
      </c>
      <c r="N660" s="8"/>
      <c r="O660" s="11" t="str">
        <f aca="false">IF(OR($I660="",$N660=""),"",($I660/1000)*$N660)</f>
        <v/>
      </c>
      <c r="P660" s="12" t="str">
        <f aca="false">IF($C660="","",IFERROR(ROUND(MIN(25,($N660/Instellingen!$B$3)*25)+MIN(25,($I660/Instellingen!$B$4)*25)+MIN(25,($J660/Instellingen!$B$5)*25)+MIN(25,(IF($M660="",0,$M660)/Instellingen!$B$6)*25),0),""))</f>
        <v/>
      </c>
      <c r="Q660" s="13" t="str">
        <f aca="false">IF($P660="","",IF($P660&gt;=Instellingen!$B$7,"Sterke niche",IF($P660&gt;=Instellingen!$B$8,"Belofte - opvolgen",IF($P660&gt;=Instellingen!$B$9,"Zwak - twijfel","Vermijden"))))</f>
        <v/>
      </c>
      <c r="R660" s="5"/>
      <c r="T660" s="1" t="str">
        <f aca="false">IF($C660="","",IF($P660=_xlfn.MAXIFS($P$3:$P$1000,$B$3:$B$1000,$B660),"★ Cash cow – handmatig onderzoeken",""))</f>
        <v/>
      </c>
    </row>
    <row r="661" customFormat="false" ht="14.25" hidden="false" customHeight="true" outlineLevel="0" collapsed="false">
      <c r="A661" s="4"/>
      <c r="B661" s="5"/>
      <c r="C661" s="5"/>
      <c r="D661" s="5"/>
      <c r="E661" s="6"/>
      <c r="F661" s="7"/>
      <c r="G661" s="8"/>
      <c r="H661" s="7"/>
      <c r="I661" s="7"/>
      <c r="J661" s="6"/>
      <c r="K661" s="9" t="str">
        <f aca="false">IF(OR($J661="",$J661=0),"",$I661/$J661)</f>
        <v/>
      </c>
      <c r="L661" s="9" t="str">
        <f aca="false">IF(OR($E661="",$E661=0),"",$H661/$E661)</f>
        <v/>
      </c>
      <c r="M661" s="10" t="str">
        <f aca="false">IF(OR($L661="",$L661=0),"",($I661/30)/$L661)</f>
        <v/>
      </c>
      <c r="N661" s="8"/>
      <c r="O661" s="11" t="str">
        <f aca="false">IF(OR($I661="",$N661=""),"",($I661/1000)*$N661)</f>
        <v/>
      </c>
      <c r="P661" s="12" t="str">
        <f aca="false">IF($C661="","",IFERROR(ROUND(MIN(25,($N661/Instellingen!$B$3)*25)+MIN(25,($I661/Instellingen!$B$4)*25)+MIN(25,($J661/Instellingen!$B$5)*25)+MIN(25,(IF($M661="",0,$M661)/Instellingen!$B$6)*25),0),""))</f>
        <v/>
      </c>
      <c r="Q661" s="13" t="str">
        <f aca="false">IF($P661="","",IF($P661&gt;=Instellingen!$B$7,"Sterke niche",IF($P661&gt;=Instellingen!$B$8,"Belofte - opvolgen",IF($P661&gt;=Instellingen!$B$9,"Zwak - twijfel","Vermijden"))))</f>
        <v/>
      </c>
      <c r="R661" s="5"/>
      <c r="T661" s="1" t="str">
        <f aca="false">IF($C661="","",IF($P661=_xlfn.MAXIFS($P$3:$P$1000,$B$3:$B$1000,$B661),"★ Cash cow – handmatig onderzoeken",""))</f>
        <v/>
      </c>
    </row>
    <row r="662" customFormat="false" ht="14.25" hidden="false" customHeight="true" outlineLevel="0" collapsed="false">
      <c r="A662" s="4"/>
      <c r="B662" s="5"/>
      <c r="C662" s="5"/>
      <c r="D662" s="5"/>
      <c r="E662" s="6"/>
      <c r="F662" s="7"/>
      <c r="G662" s="8"/>
      <c r="H662" s="7"/>
      <c r="I662" s="7"/>
      <c r="J662" s="6"/>
      <c r="K662" s="9" t="str">
        <f aca="false">IF(OR($J662="",$J662=0),"",$I662/$J662)</f>
        <v/>
      </c>
      <c r="L662" s="9" t="str">
        <f aca="false">IF(OR($E662="",$E662=0),"",$H662/$E662)</f>
        <v/>
      </c>
      <c r="M662" s="10" t="str">
        <f aca="false">IF(OR($L662="",$L662=0),"",($I662/30)/$L662)</f>
        <v/>
      </c>
      <c r="N662" s="8"/>
      <c r="O662" s="11" t="str">
        <f aca="false">IF(OR($I662="",$N662=""),"",($I662/1000)*$N662)</f>
        <v/>
      </c>
      <c r="P662" s="12" t="str">
        <f aca="false">IF($C662="","",IFERROR(ROUND(MIN(25,($N662/Instellingen!$B$3)*25)+MIN(25,($I662/Instellingen!$B$4)*25)+MIN(25,($J662/Instellingen!$B$5)*25)+MIN(25,(IF($M662="",0,$M662)/Instellingen!$B$6)*25),0),""))</f>
        <v/>
      </c>
      <c r="Q662" s="13" t="str">
        <f aca="false">IF($P662="","",IF($P662&gt;=Instellingen!$B$7,"Sterke niche",IF($P662&gt;=Instellingen!$B$8,"Belofte - opvolgen",IF($P662&gt;=Instellingen!$B$9,"Zwak - twijfel","Vermijden"))))</f>
        <v/>
      </c>
      <c r="R662" s="5"/>
      <c r="T662" s="1" t="str">
        <f aca="false">IF($C662="","",IF($P662=_xlfn.MAXIFS($P$3:$P$1000,$B$3:$B$1000,$B662),"★ Cash cow – handmatig onderzoeken",""))</f>
        <v/>
      </c>
    </row>
    <row r="663" customFormat="false" ht="14.25" hidden="false" customHeight="true" outlineLevel="0" collapsed="false">
      <c r="A663" s="4"/>
      <c r="B663" s="5"/>
      <c r="C663" s="5"/>
      <c r="D663" s="5"/>
      <c r="E663" s="6"/>
      <c r="F663" s="7"/>
      <c r="G663" s="8"/>
      <c r="H663" s="7"/>
      <c r="I663" s="7"/>
      <c r="J663" s="6"/>
      <c r="K663" s="9" t="str">
        <f aca="false">IF(OR($J663="",$J663=0),"",$I663/$J663)</f>
        <v/>
      </c>
      <c r="L663" s="9" t="str">
        <f aca="false">IF(OR($E663="",$E663=0),"",$H663/$E663)</f>
        <v/>
      </c>
      <c r="M663" s="10" t="str">
        <f aca="false">IF(OR($L663="",$L663=0),"",($I663/30)/$L663)</f>
        <v/>
      </c>
      <c r="N663" s="8"/>
      <c r="O663" s="11" t="str">
        <f aca="false">IF(OR($I663="",$N663=""),"",($I663/1000)*$N663)</f>
        <v/>
      </c>
      <c r="P663" s="12" t="str">
        <f aca="false">IF($C663="","",IFERROR(ROUND(MIN(25,($N663/Instellingen!$B$3)*25)+MIN(25,($I663/Instellingen!$B$4)*25)+MIN(25,($J663/Instellingen!$B$5)*25)+MIN(25,(IF($M663="",0,$M663)/Instellingen!$B$6)*25),0),""))</f>
        <v/>
      </c>
      <c r="Q663" s="13" t="str">
        <f aca="false">IF($P663="","",IF($P663&gt;=Instellingen!$B$7,"Sterke niche",IF($P663&gt;=Instellingen!$B$8,"Belofte - opvolgen",IF($P663&gt;=Instellingen!$B$9,"Zwak - twijfel","Vermijden"))))</f>
        <v/>
      </c>
      <c r="R663" s="5"/>
      <c r="T663" s="1" t="str">
        <f aca="false">IF($C663="","",IF($P663=_xlfn.MAXIFS($P$3:$P$1000,$B$3:$B$1000,$B663),"★ Cash cow – handmatig onderzoeken",""))</f>
        <v/>
      </c>
    </row>
    <row r="664" customFormat="false" ht="14.25" hidden="false" customHeight="true" outlineLevel="0" collapsed="false">
      <c r="A664" s="4"/>
      <c r="B664" s="5"/>
      <c r="C664" s="5"/>
      <c r="D664" s="5"/>
      <c r="E664" s="6"/>
      <c r="F664" s="7"/>
      <c r="G664" s="8"/>
      <c r="H664" s="7"/>
      <c r="I664" s="7"/>
      <c r="J664" s="6"/>
      <c r="K664" s="9" t="str">
        <f aca="false">IF(OR($J664="",$J664=0),"",$I664/$J664)</f>
        <v/>
      </c>
      <c r="L664" s="9" t="str">
        <f aca="false">IF(OR($E664="",$E664=0),"",$H664/$E664)</f>
        <v/>
      </c>
      <c r="M664" s="10" t="str">
        <f aca="false">IF(OR($L664="",$L664=0),"",($I664/30)/$L664)</f>
        <v/>
      </c>
      <c r="N664" s="8"/>
      <c r="O664" s="11" t="str">
        <f aca="false">IF(OR($I664="",$N664=""),"",($I664/1000)*$N664)</f>
        <v/>
      </c>
      <c r="P664" s="12" t="str">
        <f aca="false">IF($C664="","",IFERROR(ROUND(MIN(25,($N664/Instellingen!$B$3)*25)+MIN(25,($I664/Instellingen!$B$4)*25)+MIN(25,($J664/Instellingen!$B$5)*25)+MIN(25,(IF($M664="",0,$M664)/Instellingen!$B$6)*25),0),""))</f>
        <v/>
      </c>
      <c r="Q664" s="13" t="str">
        <f aca="false">IF($P664="","",IF($P664&gt;=Instellingen!$B$7,"Sterke niche",IF($P664&gt;=Instellingen!$B$8,"Belofte - opvolgen",IF($P664&gt;=Instellingen!$B$9,"Zwak - twijfel","Vermijden"))))</f>
        <v/>
      </c>
      <c r="R664" s="5"/>
      <c r="T664" s="1" t="str">
        <f aca="false">IF($C664="","",IF($P664=_xlfn.MAXIFS($P$3:$P$1000,$B$3:$B$1000,$B664),"★ Cash cow – handmatig onderzoeken",""))</f>
        <v/>
      </c>
    </row>
    <row r="665" customFormat="false" ht="14.25" hidden="false" customHeight="true" outlineLevel="0" collapsed="false">
      <c r="A665" s="4"/>
      <c r="B665" s="5"/>
      <c r="C665" s="5"/>
      <c r="D665" s="5"/>
      <c r="E665" s="6"/>
      <c r="F665" s="7"/>
      <c r="G665" s="8"/>
      <c r="H665" s="7"/>
      <c r="I665" s="7"/>
      <c r="J665" s="6"/>
      <c r="K665" s="9" t="str">
        <f aca="false">IF(OR($J665="",$J665=0),"",$I665/$J665)</f>
        <v/>
      </c>
      <c r="L665" s="9" t="str">
        <f aca="false">IF(OR($E665="",$E665=0),"",$H665/$E665)</f>
        <v/>
      </c>
      <c r="M665" s="10" t="str">
        <f aca="false">IF(OR($L665="",$L665=0),"",($I665/30)/$L665)</f>
        <v/>
      </c>
      <c r="N665" s="8"/>
      <c r="O665" s="11" t="str">
        <f aca="false">IF(OR($I665="",$N665=""),"",($I665/1000)*$N665)</f>
        <v/>
      </c>
      <c r="P665" s="12" t="str">
        <f aca="false">IF($C665="","",IFERROR(ROUND(MIN(25,($N665/Instellingen!$B$3)*25)+MIN(25,($I665/Instellingen!$B$4)*25)+MIN(25,($J665/Instellingen!$B$5)*25)+MIN(25,(IF($M665="",0,$M665)/Instellingen!$B$6)*25),0),""))</f>
        <v/>
      </c>
      <c r="Q665" s="13" t="str">
        <f aca="false">IF($P665="","",IF($P665&gt;=Instellingen!$B$7,"Sterke niche",IF($P665&gt;=Instellingen!$B$8,"Belofte - opvolgen",IF($P665&gt;=Instellingen!$B$9,"Zwak - twijfel","Vermijden"))))</f>
        <v/>
      </c>
      <c r="R665" s="5"/>
      <c r="T665" s="1" t="str">
        <f aca="false">IF($C665="","",IF($P665=_xlfn.MAXIFS($P$3:$P$1000,$B$3:$B$1000,$B665),"★ Cash cow – handmatig onderzoeken",""))</f>
        <v/>
      </c>
    </row>
    <row r="666" customFormat="false" ht="14.25" hidden="false" customHeight="true" outlineLevel="0" collapsed="false">
      <c r="A666" s="4"/>
      <c r="B666" s="5"/>
      <c r="C666" s="5"/>
      <c r="D666" s="5"/>
      <c r="E666" s="6"/>
      <c r="F666" s="7"/>
      <c r="G666" s="8"/>
      <c r="H666" s="7"/>
      <c r="I666" s="7"/>
      <c r="J666" s="6"/>
      <c r="K666" s="9" t="str">
        <f aca="false">IF(OR($J666="",$J666=0),"",$I666/$J666)</f>
        <v/>
      </c>
      <c r="L666" s="9" t="str">
        <f aca="false">IF(OR($E666="",$E666=0),"",$H666/$E666)</f>
        <v/>
      </c>
      <c r="M666" s="10" t="str">
        <f aca="false">IF(OR($L666="",$L666=0),"",($I666/30)/$L666)</f>
        <v/>
      </c>
      <c r="N666" s="8"/>
      <c r="O666" s="11" t="str">
        <f aca="false">IF(OR($I666="",$N666=""),"",($I666/1000)*$N666)</f>
        <v/>
      </c>
      <c r="P666" s="12" t="str">
        <f aca="false">IF($C666="","",IFERROR(ROUND(MIN(25,($N666/Instellingen!$B$3)*25)+MIN(25,($I666/Instellingen!$B$4)*25)+MIN(25,($J666/Instellingen!$B$5)*25)+MIN(25,(IF($M666="",0,$M666)/Instellingen!$B$6)*25),0),""))</f>
        <v/>
      </c>
      <c r="Q666" s="13" t="str">
        <f aca="false">IF($P666="","",IF($P666&gt;=Instellingen!$B$7,"Sterke niche",IF($P666&gt;=Instellingen!$B$8,"Belofte - opvolgen",IF($P666&gt;=Instellingen!$B$9,"Zwak - twijfel","Vermijden"))))</f>
        <v/>
      </c>
      <c r="R666" s="5"/>
      <c r="T666" s="1" t="str">
        <f aca="false">IF($C666="","",IF($P666=_xlfn.MAXIFS($P$3:$P$1000,$B$3:$B$1000,$B666),"★ Cash cow – handmatig onderzoeken",""))</f>
        <v/>
      </c>
    </row>
    <row r="667" customFormat="false" ht="14.25" hidden="false" customHeight="true" outlineLevel="0" collapsed="false">
      <c r="A667" s="4"/>
      <c r="B667" s="5"/>
      <c r="C667" s="5"/>
      <c r="D667" s="5"/>
      <c r="E667" s="6"/>
      <c r="F667" s="7"/>
      <c r="G667" s="8"/>
      <c r="H667" s="7"/>
      <c r="I667" s="7"/>
      <c r="J667" s="6"/>
      <c r="K667" s="9" t="str">
        <f aca="false">IF(OR($J667="",$J667=0),"",$I667/$J667)</f>
        <v/>
      </c>
      <c r="L667" s="9" t="str">
        <f aca="false">IF(OR($E667="",$E667=0),"",$H667/$E667)</f>
        <v/>
      </c>
      <c r="M667" s="10" t="str">
        <f aca="false">IF(OR($L667="",$L667=0),"",($I667/30)/$L667)</f>
        <v/>
      </c>
      <c r="N667" s="8"/>
      <c r="O667" s="11" t="str">
        <f aca="false">IF(OR($I667="",$N667=""),"",($I667/1000)*$N667)</f>
        <v/>
      </c>
      <c r="P667" s="12" t="str">
        <f aca="false">IF($C667="","",IFERROR(ROUND(MIN(25,($N667/Instellingen!$B$3)*25)+MIN(25,($I667/Instellingen!$B$4)*25)+MIN(25,($J667/Instellingen!$B$5)*25)+MIN(25,(IF($M667="",0,$M667)/Instellingen!$B$6)*25),0),""))</f>
        <v/>
      </c>
      <c r="Q667" s="13" t="str">
        <f aca="false">IF($P667="","",IF($P667&gt;=Instellingen!$B$7,"Sterke niche",IF($P667&gt;=Instellingen!$B$8,"Belofte - opvolgen",IF($P667&gt;=Instellingen!$B$9,"Zwak - twijfel","Vermijden"))))</f>
        <v/>
      </c>
      <c r="R667" s="5"/>
      <c r="T667" s="1" t="str">
        <f aca="false">IF($C667="","",IF($P667=_xlfn.MAXIFS($P$3:$P$1000,$B$3:$B$1000,$B667),"★ Cash cow – handmatig onderzoeken",""))</f>
        <v/>
      </c>
    </row>
    <row r="668" customFormat="false" ht="14.25" hidden="false" customHeight="true" outlineLevel="0" collapsed="false">
      <c r="A668" s="4"/>
      <c r="B668" s="5"/>
      <c r="C668" s="5"/>
      <c r="D668" s="5"/>
      <c r="E668" s="6"/>
      <c r="F668" s="7"/>
      <c r="G668" s="8"/>
      <c r="H668" s="7"/>
      <c r="I668" s="7"/>
      <c r="J668" s="6"/>
      <c r="K668" s="9" t="str">
        <f aca="false">IF(OR($J668="",$J668=0),"",$I668/$J668)</f>
        <v/>
      </c>
      <c r="L668" s="9" t="str">
        <f aca="false">IF(OR($E668="",$E668=0),"",$H668/$E668)</f>
        <v/>
      </c>
      <c r="M668" s="10" t="str">
        <f aca="false">IF(OR($L668="",$L668=0),"",($I668/30)/$L668)</f>
        <v/>
      </c>
      <c r="N668" s="8"/>
      <c r="O668" s="11" t="str">
        <f aca="false">IF(OR($I668="",$N668=""),"",($I668/1000)*$N668)</f>
        <v/>
      </c>
      <c r="P668" s="12" t="str">
        <f aca="false">IF($C668="","",IFERROR(ROUND(MIN(25,($N668/Instellingen!$B$3)*25)+MIN(25,($I668/Instellingen!$B$4)*25)+MIN(25,($J668/Instellingen!$B$5)*25)+MIN(25,(IF($M668="",0,$M668)/Instellingen!$B$6)*25),0),""))</f>
        <v/>
      </c>
      <c r="Q668" s="13" t="str">
        <f aca="false">IF($P668="","",IF($P668&gt;=Instellingen!$B$7,"Sterke niche",IF($P668&gt;=Instellingen!$B$8,"Belofte - opvolgen",IF($P668&gt;=Instellingen!$B$9,"Zwak - twijfel","Vermijden"))))</f>
        <v/>
      </c>
      <c r="R668" s="5"/>
      <c r="T668" s="1" t="str">
        <f aca="false">IF($C668="","",IF($P668=_xlfn.MAXIFS($P$3:$P$1000,$B$3:$B$1000,$B668),"★ Cash cow – handmatig onderzoeken",""))</f>
        <v/>
      </c>
    </row>
    <row r="669" customFormat="false" ht="14.25" hidden="false" customHeight="true" outlineLevel="0" collapsed="false">
      <c r="A669" s="4"/>
      <c r="B669" s="5"/>
      <c r="C669" s="5"/>
      <c r="D669" s="5"/>
      <c r="E669" s="6"/>
      <c r="F669" s="7"/>
      <c r="G669" s="8"/>
      <c r="H669" s="7"/>
      <c r="I669" s="7"/>
      <c r="J669" s="6"/>
      <c r="K669" s="9" t="str">
        <f aca="false">IF(OR($J669="",$J669=0),"",$I669/$J669)</f>
        <v/>
      </c>
      <c r="L669" s="9" t="str">
        <f aca="false">IF(OR($E669="",$E669=0),"",$H669/$E669)</f>
        <v/>
      </c>
      <c r="M669" s="10" t="str">
        <f aca="false">IF(OR($L669="",$L669=0),"",($I669/30)/$L669)</f>
        <v/>
      </c>
      <c r="N669" s="8"/>
      <c r="O669" s="11" t="str">
        <f aca="false">IF(OR($I669="",$N669=""),"",($I669/1000)*$N669)</f>
        <v/>
      </c>
      <c r="P669" s="12" t="str">
        <f aca="false">IF($C669="","",IFERROR(ROUND(MIN(25,($N669/Instellingen!$B$3)*25)+MIN(25,($I669/Instellingen!$B$4)*25)+MIN(25,($J669/Instellingen!$B$5)*25)+MIN(25,(IF($M669="",0,$M669)/Instellingen!$B$6)*25),0),""))</f>
        <v/>
      </c>
      <c r="Q669" s="13" t="str">
        <f aca="false">IF($P669="","",IF($P669&gt;=Instellingen!$B$7,"Sterke niche",IF($P669&gt;=Instellingen!$B$8,"Belofte - opvolgen",IF($P669&gt;=Instellingen!$B$9,"Zwak - twijfel","Vermijden"))))</f>
        <v/>
      </c>
      <c r="R669" s="5"/>
      <c r="T669" s="1" t="str">
        <f aca="false">IF($C669="","",IF($P669=_xlfn.MAXIFS($P$3:$P$1000,$B$3:$B$1000,$B669),"★ Cash cow – handmatig onderzoeken",""))</f>
        <v/>
      </c>
    </row>
    <row r="670" customFormat="false" ht="14.25" hidden="false" customHeight="true" outlineLevel="0" collapsed="false">
      <c r="A670" s="4"/>
      <c r="B670" s="5"/>
      <c r="C670" s="5"/>
      <c r="D670" s="5"/>
      <c r="E670" s="6"/>
      <c r="F670" s="7"/>
      <c r="G670" s="8"/>
      <c r="H670" s="7"/>
      <c r="I670" s="7"/>
      <c r="J670" s="6"/>
      <c r="K670" s="9" t="str">
        <f aca="false">IF(OR($J670="",$J670=0),"",$I670/$J670)</f>
        <v/>
      </c>
      <c r="L670" s="9" t="str">
        <f aca="false">IF(OR($E670="",$E670=0),"",$H670/$E670)</f>
        <v/>
      </c>
      <c r="M670" s="10" t="str">
        <f aca="false">IF(OR($L670="",$L670=0),"",($I670/30)/$L670)</f>
        <v/>
      </c>
      <c r="N670" s="8"/>
      <c r="O670" s="11" t="str">
        <f aca="false">IF(OR($I670="",$N670=""),"",($I670/1000)*$N670)</f>
        <v/>
      </c>
      <c r="P670" s="12" t="str">
        <f aca="false">IF($C670="","",IFERROR(ROUND(MIN(25,($N670/Instellingen!$B$3)*25)+MIN(25,($I670/Instellingen!$B$4)*25)+MIN(25,($J670/Instellingen!$B$5)*25)+MIN(25,(IF($M670="",0,$M670)/Instellingen!$B$6)*25),0),""))</f>
        <v/>
      </c>
      <c r="Q670" s="13" t="str">
        <f aca="false">IF($P670="","",IF($P670&gt;=Instellingen!$B$7,"Sterke niche",IF($P670&gt;=Instellingen!$B$8,"Belofte - opvolgen",IF($P670&gt;=Instellingen!$B$9,"Zwak - twijfel","Vermijden"))))</f>
        <v/>
      </c>
      <c r="R670" s="5"/>
      <c r="T670" s="1" t="str">
        <f aca="false">IF($C670="","",IF($P670=_xlfn.MAXIFS($P$3:$P$1000,$B$3:$B$1000,$B670),"★ Cash cow – handmatig onderzoeken",""))</f>
        <v/>
      </c>
    </row>
    <row r="671" customFormat="false" ht="14.25" hidden="false" customHeight="true" outlineLevel="0" collapsed="false">
      <c r="A671" s="4"/>
      <c r="B671" s="5"/>
      <c r="C671" s="5"/>
      <c r="D671" s="5"/>
      <c r="E671" s="6"/>
      <c r="F671" s="7"/>
      <c r="G671" s="8"/>
      <c r="H671" s="7"/>
      <c r="I671" s="7"/>
      <c r="J671" s="6"/>
      <c r="K671" s="9" t="str">
        <f aca="false">IF(OR($J671="",$J671=0),"",$I671/$J671)</f>
        <v/>
      </c>
      <c r="L671" s="9" t="str">
        <f aca="false">IF(OR($E671="",$E671=0),"",$H671/$E671)</f>
        <v/>
      </c>
      <c r="M671" s="10" t="str">
        <f aca="false">IF(OR($L671="",$L671=0),"",($I671/30)/$L671)</f>
        <v/>
      </c>
      <c r="N671" s="8"/>
      <c r="O671" s="11" t="str">
        <f aca="false">IF(OR($I671="",$N671=""),"",($I671/1000)*$N671)</f>
        <v/>
      </c>
      <c r="P671" s="12" t="str">
        <f aca="false">IF($C671="","",IFERROR(ROUND(MIN(25,($N671/Instellingen!$B$3)*25)+MIN(25,($I671/Instellingen!$B$4)*25)+MIN(25,($J671/Instellingen!$B$5)*25)+MIN(25,(IF($M671="",0,$M671)/Instellingen!$B$6)*25),0),""))</f>
        <v/>
      </c>
      <c r="Q671" s="13" t="str">
        <f aca="false">IF($P671="","",IF($P671&gt;=Instellingen!$B$7,"Sterke niche",IF($P671&gt;=Instellingen!$B$8,"Belofte - opvolgen",IF($P671&gt;=Instellingen!$B$9,"Zwak - twijfel","Vermijden"))))</f>
        <v/>
      </c>
      <c r="R671" s="5"/>
      <c r="T671" s="1" t="str">
        <f aca="false">IF($C671="","",IF($P671=_xlfn.MAXIFS($P$3:$P$1000,$B$3:$B$1000,$B671),"★ Cash cow – handmatig onderzoeken",""))</f>
        <v/>
      </c>
    </row>
    <row r="672" customFormat="false" ht="14.25" hidden="false" customHeight="true" outlineLevel="0" collapsed="false">
      <c r="A672" s="4"/>
      <c r="B672" s="5"/>
      <c r="C672" s="5"/>
      <c r="D672" s="5"/>
      <c r="E672" s="6"/>
      <c r="F672" s="7"/>
      <c r="G672" s="8"/>
      <c r="H672" s="7"/>
      <c r="I672" s="7"/>
      <c r="J672" s="6"/>
      <c r="K672" s="9" t="str">
        <f aca="false">IF(OR($J672="",$J672=0),"",$I672/$J672)</f>
        <v/>
      </c>
      <c r="L672" s="9" t="str">
        <f aca="false">IF(OR($E672="",$E672=0),"",$H672/$E672)</f>
        <v/>
      </c>
      <c r="M672" s="10" t="str">
        <f aca="false">IF(OR($L672="",$L672=0),"",($I672/30)/$L672)</f>
        <v/>
      </c>
      <c r="N672" s="8"/>
      <c r="O672" s="11" t="str">
        <f aca="false">IF(OR($I672="",$N672=""),"",($I672/1000)*$N672)</f>
        <v/>
      </c>
      <c r="P672" s="12" t="str">
        <f aca="false">IF($C672="","",IFERROR(ROUND(MIN(25,($N672/Instellingen!$B$3)*25)+MIN(25,($I672/Instellingen!$B$4)*25)+MIN(25,($J672/Instellingen!$B$5)*25)+MIN(25,(IF($M672="",0,$M672)/Instellingen!$B$6)*25),0),""))</f>
        <v/>
      </c>
      <c r="Q672" s="13" t="str">
        <f aca="false">IF($P672="","",IF($P672&gt;=Instellingen!$B$7,"Sterke niche",IF($P672&gt;=Instellingen!$B$8,"Belofte - opvolgen",IF($P672&gt;=Instellingen!$B$9,"Zwak - twijfel","Vermijden"))))</f>
        <v/>
      </c>
      <c r="R672" s="5"/>
      <c r="T672" s="1" t="str">
        <f aca="false">IF($C672="","",IF($P672=_xlfn.MAXIFS($P$3:$P$1000,$B$3:$B$1000,$B672),"★ Cash cow – handmatig onderzoeken",""))</f>
        <v/>
      </c>
    </row>
    <row r="673" customFormat="false" ht="14.25" hidden="false" customHeight="true" outlineLevel="0" collapsed="false">
      <c r="A673" s="4"/>
      <c r="B673" s="5"/>
      <c r="C673" s="5"/>
      <c r="D673" s="5"/>
      <c r="E673" s="6"/>
      <c r="F673" s="7"/>
      <c r="G673" s="8"/>
      <c r="H673" s="7"/>
      <c r="I673" s="7"/>
      <c r="J673" s="6"/>
      <c r="K673" s="9" t="str">
        <f aca="false">IF(OR($J673="",$J673=0),"",$I673/$J673)</f>
        <v/>
      </c>
      <c r="L673" s="9" t="str">
        <f aca="false">IF(OR($E673="",$E673=0),"",$H673/$E673)</f>
        <v/>
      </c>
      <c r="M673" s="10" t="str">
        <f aca="false">IF(OR($L673="",$L673=0),"",($I673/30)/$L673)</f>
        <v/>
      </c>
      <c r="N673" s="8"/>
      <c r="O673" s="11" t="str">
        <f aca="false">IF(OR($I673="",$N673=""),"",($I673/1000)*$N673)</f>
        <v/>
      </c>
      <c r="P673" s="12" t="str">
        <f aca="false">IF($C673="","",IFERROR(ROUND(MIN(25,($N673/Instellingen!$B$3)*25)+MIN(25,($I673/Instellingen!$B$4)*25)+MIN(25,($J673/Instellingen!$B$5)*25)+MIN(25,(IF($M673="",0,$M673)/Instellingen!$B$6)*25),0),""))</f>
        <v/>
      </c>
      <c r="Q673" s="13" t="str">
        <f aca="false">IF($P673="","",IF($P673&gt;=Instellingen!$B$7,"Sterke niche",IF($P673&gt;=Instellingen!$B$8,"Belofte - opvolgen",IF($P673&gt;=Instellingen!$B$9,"Zwak - twijfel","Vermijden"))))</f>
        <v/>
      </c>
      <c r="R673" s="5"/>
      <c r="T673" s="1" t="str">
        <f aca="false">IF($C673="","",IF($P673=_xlfn.MAXIFS($P$3:$P$1000,$B$3:$B$1000,$B673),"★ Cash cow – handmatig onderzoeken",""))</f>
        <v/>
      </c>
    </row>
    <row r="674" customFormat="false" ht="14.25" hidden="false" customHeight="true" outlineLevel="0" collapsed="false">
      <c r="A674" s="4"/>
      <c r="B674" s="5"/>
      <c r="C674" s="5"/>
      <c r="D674" s="5"/>
      <c r="E674" s="6"/>
      <c r="F674" s="7"/>
      <c r="G674" s="8"/>
      <c r="H674" s="7"/>
      <c r="I674" s="7"/>
      <c r="J674" s="6"/>
      <c r="K674" s="9" t="str">
        <f aca="false">IF(OR($J674="",$J674=0),"",$I674/$J674)</f>
        <v/>
      </c>
      <c r="L674" s="9" t="str">
        <f aca="false">IF(OR($E674="",$E674=0),"",$H674/$E674)</f>
        <v/>
      </c>
      <c r="M674" s="10" t="str">
        <f aca="false">IF(OR($L674="",$L674=0),"",($I674/30)/$L674)</f>
        <v/>
      </c>
      <c r="N674" s="8"/>
      <c r="O674" s="11" t="str">
        <f aca="false">IF(OR($I674="",$N674=""),"",($I674/1000)*$N674)</f>
        <v/>
      </c>
      <c r="P674" s="12" t="str">
        <f aca="false">IF($C674="","",IFERROR(ROUND(MIN(25,($N674/Instellingen!$B$3)*25)+MIN(25,($I674/Instellingen!$B$4)*25)+MIN(25,($J674/Instellingen!$B$5)*25)+MIN(25,(IF($M674="",0,$M674)/Instellingen!$B$6)*25),0),""))</f>
        <v/>
      </c>
      <c r="Q674" s="13" t="str">
        <f aca="false">IF($P674="","",IF($P674&gt;=Instellingen!$B$7,"Sterke niche",IF($P674&gt;=Instellingen!$B$8,"Belofte - opvolgen",IF($P674&gt;=Instellingen!$B$9,"Zwak - twijfel","Vermijden"))))</f>
        <v/>
      </c>
      <c r="R674" s="5"/>
      <c r="T674" s="1" t="str">
        <f aca="false">IF($C674="","",IF($P674=_xlfn.MAXIFS($P$3:$P$1000,$B$3:$B$1000,$B674),"★ Cash cow – handmatig onderzoeken",""))</f>
        <v/>
      </c>
    </row>
    <row r="675" customFormat="false" ht="14.25" hidden="false" customHeight="true" outlineLevel="0" collapsed="false">
      <c r="A675" s="4"/>
      <c r="B675" s="5"/>
      <c r="C675" s="5"/>
      <c r="D675" s="5"/>
      <c r="E675" s="6"/>
      <c r="F675" s="7"/>
      <c r="G675" s="8"/>
      <c r="H675" s="7"/>
      <c r="I675" s="7"/>
      <c r="J675" s="6"/>
      <c r="K675" s="9" t="str">
        <f aca="false">IF(OR($J675="",$J675=0),"",$I675/$J675)</f>
        <v/>
      </c>
      <c r="L675" s="9" t="str">
        <f aca="false">IF(OR($E675="",$E675=0),"",$H675/$E675)</f>
        <v/>
      </c>
      <c r="M675" s="10" t="str">
        <f aca="false">IF(OR($L675="",$L675=0),"",($I675/30)/$L675)</f>
        <v/>
      </c>
      <c r="N675" s="8"/>
      <c r="O675" s="11" t="str">
        <f aca="false">IF(OR($I675="",$N675=""),"",($I675/1000)*$N675)</f>
        <v/>
      </c>
      <c r="P675" s="12" t="str">
        <f aca="false">IF($C675="","",IFERROR(ROUND(MIN(25,($N675/Instellingen!$B$3)*25)+MIN(25,($I675/Instellingen!$B$4)*25)+MIN(25,($J675/Instellingen!$B$5)*25)+MIN(25,(IF($M675="",0,$M675)/Instellingen!$B$6)*25),0),""))</f>
        <v/>
      </c>
      <c r="Q675" s="13" t="str">
        <f aca="false">IF($P675="","",IF($P675&gt;=Instellingen!$B$7,"Sterke niche",IF($P675&gt;=Instellingen!$B$8,"Belofte - opvolgen",IF($P675&gt;=Instellingen!$B$9,"Zwak - twijfel","Vermijden"))))</f>
        <v/>
      </c>
      <c r="R675" s="5"/>
      <c r="T675" s="1" t="str">
        <f aca="false">IF($C675="","",IF($P675=_xlfn.MAXIFS($P$3:$P$1000,$B$3:$B$1000,$B675),"★ Cash cow – handmatig onderzoeken",""))</f>
        <v/>
      </c>
    </row>
    <row r="676" customFormat="false" ht="14.25" hidden="false" customHeight="true" outlineLevel="0" collapsed="false">
      <c r="A676" s="4"/>
      <c r="B676" s="5"/>
      <c r="C676" s="5"/>
      <c r="D676" s="5"/>
      <c r="E676" s="6"/>
      <c r="F676" s="7"/>
      <c r="G676" s="8"/>
      <c r="H676" s="7"/>
      <c r="I676" s="7"/>
      <c r="J676" s="6"/>
      <c r="K676" s="9" t="str">
        <f aca="false">IF(OR($J676="",$J676=0),"",$I676/$J676)</f>
        <v/>
      </c>
      <c r="L676" s="9" t="str">
        <f aca="false">IF(OR($E676="",$E676=0),"",$H676/$E676)</f>
        <v/>
      </c>
      <c r="M676" s="10" t="str">
        <f aca="false">IF(OR($L676="",$L676=0),"",($I676/30)/$L676)</f>
        <v/>
      </c>
      <c r="N676" s="8"/>
      <c r="O676" s="11" t="str">
        <f aca="false">IF(OR($I676="",$N676=""),"",($I676/1000)*$N676)</f>
        <v/>
      </c>
      <c r="P676" s="12" t="str">
        <f aca="false">IF($C676="","",IFERROR(ROUND(MIN(25,($N676/Instellingen!$B$3)*25)+MIN(25,($I676/Instellingen!$B$4)*25)+MIN(25,($J676/Instellingen!$B$5)*25)+MIN(25,(IF($M676="",0,$M676)/Instellingen!$B$6)*25),0),""))</f>
        <v/>
      </c>
      <c r="Q676" s="13" t="str">
        <f aca="false">IF($P676="","",IF($P676&gt;=Instellingen!$B$7,"Sterke niche",IF($P676&gt;=Instellingen!$B$8,"Belofte - opvolgen",IF($P676&gt;=Instellingen!$B$9,"Zwak - twijfel","Vermijden"))))</f>
        <v/>
      </c>
      <c r="R676" s="5"/>
      <c r="T676" s="1" t="str">
        <f aca="false">IF($C676="","",IF($P676=_xlfn.MAXIFS($P$3:$P$1000,$B$3:$B$1000,$B676),"★ Cash cow – handmatig onderzoeken",""))</f>
        <v/>
      </c>
    </row>
    <row r="677" customFormat="false" ht="14.25" hidden="false" customHeight="true" outlineLevel="0" collapsed="false">
      <c r="A677" s="4"/>
      <c r="B677" s="5"/>
      <c r="C677" s="5"/>
      <c r="D677" s="5"/>
      <c r="E677" s="6"/>
      <c r="F677" s="7"/>
      <c r="G677" s="8"/>
      <c r="H677" s="7"/>
      <c r="I677" s="7"/>
      <c r="J677" s="6"/>
      <c r="K677" s="9" t="str">
        <f aca="false">IF(OR($J677="",$J677=0),"",$I677/$J677)</f>
        <v/>
      </c>
      <c r="L677" s="9" t="str">
        <f aca="false">IF(OR($E677="",$E677=0),"",$H677/$E677)</f>
        <v/>
      </c>
      <c r="M677" s="10" t="str">
        <f aca="false">IF(OR($L677="",$L677=0),"",($I677/30)/$L677)</f>
        <v/>
      </c>
      <c r="N677" s="8"/>
      <c r="O677" s="11" t="str">
        <f aca="false">IF(OR($I677="",$N677=""),"",($I677/1000)*$N677)</f>
        <v/>
      </c>
      <c r="P677" s="12" t="str">
        <f aca="false">IF($C677="","",IFERROR(ROUND(MIN(25,($N677/Instellingen!$B$3)*25)+MIN(25,($I677/Instellingen!$B$4)*25)+MIN(25,($J677/Instellingen!$B$5)*25)+MIN(25,(IF($M677="",0,$M677)/Instellingen!$B$6)*25),0),""))</f>
        <v/>
      </c>
      <c r="Q677" s="13" t="str">
        <f aca="false">IF($P677="","",IF($P677&gt;=Instellingen!$B$7,"Sterke niche",IF($P677&gt;=Instellingen!$B$8,"Belofte - opvolgen",IF($P677&gt;=Instellingen!$B$9,"Zwak - twijfel","Vermijden"))))</f>
        <v/>
      </c>
      <c r="R677" s="5"/>
      <c r="T677" s="1" t="str">
        <f aca="false">IF($C677="","",IF($P677=_xlfn.MAXIFS($P$3:$P$1000,$B$3:$B$1000,$B677),"★ Cash cow – handmatig onderzoeken",""))</f>
        <v/>
      </c>
    </row>
    <row r="678" customFormat="false" ht="14.25" hidden="false" customHeight="true" outlineLevel="0" collapsed="false">
      <c r="A678" s="4"/>
      <c r="B678" s="5"/>
      <c r="C678" s="5"/>
      <c r="D678" s="5"/>
      <c r="E678" s="6"/>
      <c r="F678" s="7"/>
      <c r="G678" s="8"/>
      <c r="H678" s="7"/>
      <c r="I678" s="7"/>
      <c r="J678" s="6"/>
      <c r="K678" s="9" t="str">
        <f aca="false">IF(OR($J678="",$J678=0),"",$I678/$J678)</f>
        <v/>
      </c>
      <c r="L678" s="9" t="str">
        <f aca="false">IF(OR($E678="",$E678=0),"",$H678/$E678)</f>
        <v/>
      </c>
      <c r="M678" s="10" t="str">
        <f aca="false">IF(OR($L678="",$L678=0),"",($I678/30)/$L678)</f>
        <v/>
      </c>
      <c r="N678" s="8"/>
      <c r="O678" s="11" t="str">
        <f aca="false">IF(OR($I678="",$N678=""),"",($I678/1000)*$N678)</f>
        <v/>
      </c>
      <c r="P678" s="12" t="str">
        <f aca="false">IF($C678="","",IFERROR(ROUND(MIN(25,($N678/Instellingen!$B$3)*25)+MIN(25,($I678/Instellingen!$B$4)*25)+MIN(25,($J678/Instellingen!$B$5)*25)+MIN(25,(IF($M678="",0,$M678)/Instellingen!$B$6)*25),0),""))</f>
        <v/>
      </c>
      <c r="Q678" s="13" t="str">
        <f aca="false">IF($P678="","",IF($P678&gt;=Instellingen!$B$7,"Sterke niche",IF($P678&gt;=Instellingen!$B$8,"Belofte - opvolgen",IF($P678&gt;=Instellingen!$B$9,"Zwak - twijfel","Vermijden"))))</f>
        <v/>
      </c>
      <c r="R678" s="5"/>
      <c r="T678" s="1" t="str">
        <f aca="false">IF($C678="","",IF($P678=_xlfn.MAXIFS($P$3:$P$1000,$B$3:$B$1000,$B678),"★ Cash cow – handmatig onderzoeken",""))</f>
        <v/>
      </c>
    </row>
    <row r="679" customFormat="false" ht="14.25" hidden="false" customHeight="true" outlineLevel="0" collapsed="false">
      <c r="A679" s="4"/>
      <c r="B679" s="5"/>
      <c r="C679" s="5"/>
      <c r="D679" s="5"/>
      <c r="E679" s="6"/>
      <c r="F679" s="7"/>
      <c r="G679" s="8"/>
      <c r="H679" s="7"/>
      <c r="I679" s="7"/>
      <c r="J679" s="6"/>
      <c r="K679" s="9" t="str">
        <f aca="false">IF(OR($J679="",$J679=0),"",$I679/$J679)</f>
        <v/>
      </c>
      <c r="L679" s="9" t="str">
        <f aca="false">IF(OR($E679="",$E679=0),"",$H679/$E679)</f>
        <v/>
      </c>
      <c r="M679" s="10" t="str">
        <f aca="false">IF(OR($L679="",$L679=0),"",($I679/30)/$L679)</f>
        <v/>
      </c>
      <c r="N679" s="8"/>
      <c r="O679" s="11" t="str">
        <f aca="false">IF(OR($I679="",$N679=""),"",($I679/1000)*$N679)</f>
        <v/>
      </c>
      <c r="P679" s="12" t="str">
        <f aca="false">IF($C679="","",IFERROR(ROUND(MIN(25,($N679/Instellingen!$B$3)*25)+MIN(25,($I679/Instellingen!$B$4)*25)+MIN(25,($J679/Instellingen!$B$5)*25)+MIN(25,(IF($M679="",0,$M679)/Instellingen!$B$6)*25),0),""))</f>
        <v/>
      </c>
      <c r="Q679" s="13" t="str">
        <f aca="false">IF($P679="","",IF($P679&gt;=Instellingen!$B$7,"Sterke niche",IF($P679&gt;=Instellingen!$B$8,"Belofte - opvolgen",IF($P679&gt;=Instellingen!$B$9,"Zwak - twijfel","Vermijden"))))</f>
        <v/>
      </c>
      <c r="R679" s="5"/>
      <c r="T679" s="1" t="str">
        <f aca="false">IF($C679="","",IF($P679=_xlfn.MAXIFS($P$3:$P$1000,$B$3:$B$1000,$B679),"★ Cash cow – handmatig onderzoeken",""))</f>
        <v/>
      </c>
    </row>
    <row r="680" customFormat="false" ht="14.25" hidden="false" customHeight="true" outlineLevel="0" collapsed="false">
      <c r="A680" s="4"/>
      <c r="B680" s="5"/>
      <c r="C680" s="5"/>
      <c r="D680" s="5"/>
      <c r="E680" s="6"/>
      <c r="F680" s="7"/>
      <c r="G680" s="8"/>
      <c r="H680" s="7"/>
      <c r="I680" s="7"/>
      <c r="J680" s="6"/>
      <c r="K680" s="9" t="str">
        <f aca="false">IF(OR($J680="",$J680=0),"",$I680/$J680)</f>
        <v/>
      </c>
      <c r="L680" s="9" t="str">
        <f aca="false">IF(OR($E680="",$E680=0),"",$H680/$E680)</f>
        <v/>
      </c>
      <c r="M680" s="10" t="str">
        <f aca="false">IF(OR($L680="",$L680=0),"",($I680/30)/$L680)</f>
        <v/>
      </c>
      <c r="N680" s="8"/>
      <c r="O680" s="11" t="str">
        <f aca="false">IF(OR($I680="",$N680=""),"",($I680/1000)*$N680)</f>
        <v/>
      </c>
      <c r="P680" s="12" t="str">
        <f aca="false">IF($C680="","",IFERROR(ROUND(MIN(25,($N680/Instellingen!$B$3)*25)+MIN(25,($I680/Instellingen!$B$4)*25)+MIN(25,($J680/Instellingen!$B$5)*25)+MIN(25,(IF($M680="",0,$M680)/Instellingen!$B$6)*25),0),""))</f>
        <v/>
      </c>
      <c r="Q680" s="13" t="str">
        <f aca="false">IF($P680="","",IF($P680&gt;=Instellingen!$B$7,"Sterke niche",IF($P680&gt;=Instellingen!$B$8,"Belofte - opvolgen",IF($P680&gt;=Instellingen!$B$9,"Zwak - twijfel","Vermijden"))))</f>
        <v/>
      </c>
      <c r="R680" s="5"/>
      <c r="T680" s="1" t="str">
        <f aca="false">IF($C680="","",IF($P680=_xlfn.MAXIFS($P$3:$P$1000,$B$3:$B$1000,$B680),"★ Cash cow – handmatig onderzoeken",""))</f>
        <v/>
      </c>
    </row>
    <row r="681" customFormat="false" ht="14.25" hidden="false" customHeight="true" outlineLevel="0" collapsed="false">
      <c r="A681" s="4"/>
      <c r="B681" s="5"/>
      <c r="C681" s="5"/>
      <c r="D681" s="5"/>
      <c r="E681" s="6"/>
      <c r="F681" s="7"/>
      <c r="G681" s="8"/>
      <c r="H681" s="7"/>
      <c r="I681" s="7"/>
      <c r="J681" s="6"/>
      <c r="K681" s="9" t="str">
        <f aca="false">IF(OR($J681="",$J681=0),"",$I681/$J681)</f>
        <v/>
      </c>
      <c r="L681" s="9" t="str">
        <f aca="false">IF(OR($E681="",$E681=0),"",$H681/$E681)</f>
        <v/>
      </c>
      <c r="M681" s="10" t="str">
        <f aca="false">IF(OR($L681="",$L681=0),"",($I681/30)/$L681)</f>
        <v/>
      </c>
      <c r="N681" s="8"/>
      <c r="O681" s="11" t="str">
        <f aca="false">IF(OR($I681="",$N681=""),"",($I681/1000)*$N681)</f>
        <v/>
      </c>
      <c r="P681" s="12" t="str">
        <f aca="false">IF($C681="","",IFERROR(ROUND(MIN(25,($N681/Instellingen!$B$3)*25)+MIN(25,($I681/Instellingen!$B$4)*25)+MIN(25,($J681/Instellingen!$B$5)*25)+MIN(25,(IF($M681="",0,$M681)/Instellingen!$B$6)*25),0),""))</f>
        <v/>
      </c>
      <c r="Q681" s="13" t="str">
        <f aca="false">IF($P681="","",IF($P681&gt;=Instellingen!$B$7,"Sterke niche",IF($P681&gt;=Instellingen!$B$8,"Belofte - opvolgen",IF($P681&gt;=Instellingen!$B$9,"Zwak - twijfel","Vermijden"))))</f>
        <v/>
      </c>
      <c r="R681" s="5"/>
      <c r="T681" s="1" t="str">
        <f aca="false">IF($C681="","",IF($P681=_xlfn.MAXIFS($P$3:$P$1000,$B$3:$B$1000,$B681),"★ Cash cow – handmatig onderzoeken",""))</f>
        <v/>
      </c>
    </row>
    <row r="682" customFormat="false" ht="14.25" hidden="false" customHeight="true" outlineLevel="0" collapsed="false">
      <c r="A682" s="4"/>
      <c r="B682" s="5"/>
      <c r="C682" s="5"/>
      <c r="D682" s="5"/>
      <c r="E682" s="6"/>
      <c r="F682" s="7"/>
      <c r="G682" s="8"/>
      <c r="H682" s="7"/>
      <c r="I682" s="7"/>
      <c r="J682" s="6"/>
      <c r="K682" s="9" t="str">
        <f aca="false">IF(OR($J682="",$J682=0),"",$I682/$J682)</f>
        <v/>
      </c>
      <c r="L682" s="9" t="str">
        <f aca="false">IF(OR($E682="",$E682=0),"",$H682/$E682)</f>
        <v/>
      </c>
      <c r="M682" s="10" t="str">
        <f aca="false">IF(OR($L682="",$L682=0),"",($I682/30)/$L682)</f>
        <v/>
      </c>
      <c r="N682" s="8"/>
      <c r="O682" s="11" t="str">
        <f aca="false">IF(OR($I682="",$N682=""),"",($I682/1000)*$N682)</f>
        <v/>
      </c>
      <c r="P682" s="12" t="str">
        <f aca="false">IF($C682="","",IFERROR(ROUND(MIN(25,($N682/Instellingen!$B$3)*25)+MIN(25,($I682/Instellingen!$B$4)*25)+MIN(25,($J682/Instellingen!$B$5)*25)+MIN(25,(IF($M682="",0,$M682)/Instellingen!$B$6)*25),0),""))</f>
        <v/>
      </c>
      <c r="Q682" s="13" t="str">
        <f aca="false">IF($P682="","",IF($P682&gt;=Instellingen!$B$7,"Sterke niche",IF($P682&gt;=Instellingen!$B$8,"Belofte - opvolgen",IF($P682&gt;=Instellingen!$B$9,"Zwak - twijfel","Vermijden"))))</f>
        <v/>
      </c>
      <c r="R682" s="5"/>
      <c r="T682" s="1" t="str">
        <f aca="false">IF($C682="","",IF($P682=_xlfn.MAXIFS($P$3:$P$1000,$B$3:$B$1000,$B682),"★ Cash cow – handmatig onderzoeken",""))</f>
        <v/>
      </c>
    </row>
    <row r="683" customFormat="false" ht="14.25" hidden="false" customHeight="true" outlineLevel="0" collapsed="false">
      <c r="A683" s="4"/>
      <c r="B683" s="5"/>
      <c r="C683" s="5"/>
      <c r="D683" s="5"/>
      <c r="E683" s="6"/>
      <c r="F683" s="7"/>
      <c r="G683" s="8"/>
      <c r="H683" s="7"/>
      <c r="I683" s="7"/>
      <c r="J683" s="6"/>
      <c r="K683" s="9" t="str">
        <f aca="false">IF(OR($J683="",$J683=0),"",$I683/$J683)</f>
        <v/>
      </c>
      <c r="L683" s="9" t="str">
        <f aca="false">IF(OR($E683="",$E683=0),"",$H683/$E683)</f>
        <v/>
      </c>
      <c r="M683" s="10" t="str">
        <f aca="false">IF(OR($L683="",$L683=0),"",($I683/30)/$L683)</f>
        <v/>
      </c>
      <c r="N683" s="8"/>
      <c r="O683" s="11" t="str">
        <f aca="false">IF(OR($I683="",$N683=""),"",($I683/1000)*$N683)</f>
        <v/>
      </c>
      <c r="P683" s="12" t="str">
        <f aca="false">IF($C683="","",IFERROR(ROUND(MIN(25,($N683/Instellingen!$B$3)*25)+MIN(25,($I683/Instellingen!$B$4)*25)+MIN(25,($J683/Instellingen!$B$5)*25)+MIN(25,(IF($M683="",0,$M683)/Instellingen!$B$6)*25),0),""))</f>
        <v/>
      </c>
      <c r="Q683" s="13" t="str">
        <f aca="false">IF($P683="","",IF($P683&gt;=Instellingen!$B$7,"Sterke niche",IF($P683&gt;=Instellingen!$B$8,"Belofte - opvolgen",IF($P683&gt;=Instellingen!$B$9,"Zwak - twijfel","Vermijden"))))</f>
        <v/>
      </c>
      <c r="R683" s="5"/>
      <c r="T683" s="1" t="str">
        <f aca="false">IF($C683="","",IF($P683=_xlfn.MAXIFS($P$3:$P$1000,$B$3:$B$1000,$B683),"★ Cash cow – handmatig onderzoeken",""))</f>
        <v/>
      </c>
    </row>
    <row r="684" customFormat="false" ht="14.25" hidden="false" customHeight="true" outlineLevel="0" collapsed="false">
      <c r="A684" s="4"/>
      <c r="B684" s="5"/>
      <c r="C684" s="5"/>
      <c r="D684" s="5"/>
      <c r="E684" s="6"/>
      <c r="F684" s="7"/>
      <c r="G684" s="8"/>
      <c r="H684" s="7"/>
      <c r="I684" s="7"/>
      <c r="J684" s="6"/>
      <c r="K684" s="9" t="str">
        <f aca="false">IF(OR($J684="",$J684=0),"",$I684/$J684)</f>
        <v/>
      </c>
      <c r="L684" s="9" t="str">
        <f aca="false">IF(OR($E684="",$E684=0),"",$H684/$E684)</f>
        <v/>
      </c>
      <c r="M684" s="10" t="str">
        <f aca="false">IF(OR($L684="",$L684=0),"",($I684/30)/$L684)</f>
        <v/>
      </c>
      <c r="N684" s="8"/>
      <c r="O684" s="11" t="str">
        <f aca="false">IF(OR($I684="",$N684=""),"",($I684/1000)*$N684)</f>
        <v/>
      </c>
      <c r="P684" s="12" t="str">
        <f aca="false">IF($C684="","",IFERROR(ROUND(MIN(25,($N684/Instellingen!$B$3)*25)+MIN(25,($I684/Instellingen!$B$4)*25)+MIN(25,($J684/Instellingen!$B$5)*25)+MIN(25,(IF($M684="",0,$M684)/Instellingen!$B$6)*25),0),""))</f>
        <v/>
      </c>
      <c r="Q684" s="13" t="str">
        <f aca="false">IF($P684="","",IF($P684&gt;=Instellingen!$B$7,"Sterke niche",IF($P684&gt;=Instellingen!$B$8,"Belofte - opvolgen",IF($P684&gt;=Instellingen!$B$9,"Zwak - twijfel","Vermijden"))))</f>
        <v/>
      </c>
      <c r="R684" s="5"/>
      <c r="T684" s="1" t="str">
        <f aca="false">IF($C684="","",IF($P684=_xlfn.MAXIFS($P$3:$P$1000,$B$3:$B$1000,$B684),"★ Cash cow – handmatig onderzoeken",""))</f>
        <v/>
      </c>
    </row>
    <row r="685" customFormat="false" ht="14.25" hidden="false" customHeight="true" outlineLevel="0" collapsed="false">
      <c r="A685" s="4"/>
      <c r="B685" s="5"/>
      <c r="C685" s="5"/>
      <c r="D685" s="5"/>
      <c r="E685" s="6"/>
      <c r="F685" s="7"/>
      <c r="G685" s="8"/>
      <c r="H685" s="7"/>
      <c r="I685" s="7"/>
      <c r="J685" s="6"/>
      <c r="K685" s="9" t="str">
        <f aca="false">IF(OR($J685="",$J685=0),"",$I685/$J685)</f>
        <v/>
      </c>
      <c r="L685" s="9" t="str">
        <f aca="false">IF(OR($E685="",$E685=0),"",$H685/$E685)</f>
        <v/>
      </c>
      <c r="M685" s="10" t="str">
        <f aca="false">IF(OR($L685="",$L685=0),"",($I685/30)/$L685)</f>
        <v/>
      </c>
      <c r="N685" s="8"/>
      <c r="O685" s="11" t="str">
        <f aca="false">IF(OR($I685="",$N685=""),"",($I685/1000)*$N685)</f>
        <v/>
      </c>
      <c r="P685" s="12" t="str">
        <f aca="false">IF($C685="","",IFERROR(ROUND(MIN(25,($N685/Instellingen!$B$3)*25)+MIN(25,($I685/Instellingen!$B$4)*25)+MIN(25,($J685/Instellingen!$B$5)*25)+MIN(25,(IF($M685="",0,$M685)/Instellingen!$B$6)*25),0),""))</f>
        <v/>
      </c>
      <c r="Q685" s="13" t="str">
        <f aca="false">IF($P685="","",IF($P685&gt;=Instellingen!$B$7,"Sterke niche",IF($P685&gt;=Instellingen!$B$8,"Belofte - opvolgen",IF($P685&gt;=Instellingen!$B$9,"Zwak - twijfel","Vermijden"))))</f>
        <v/>
      </c>
      <c r="R685" s="5"/>
      <c r="T685" s="1" t="str">
        <f aca="false">IF($C685="","",IF($P685=_xlfn.MAXIFS($P$3:$P$1000,$B$3:$B$1000,$B685),"★ Cash cow – handmatig onderzoeken",""))</f>
        <v/>
      </c>
    </row>
    <row r="686" customFormat="false" ht="14.25" hidden="false" customHeight="true" outlineLevel="0" collapsed="false">
      <c r="A686" s="4"/>
      <c r="B686" s="5"/>
      <c r="C686" s="5"/>
      <c r="D686" s="5"/>
      <c r="E686" s="6"/>
      <c r="F686" s="7"/>
      <c r="G686" s="8"/>
      <c r="H686" s="7"/>
      <c r="I686" s="7"/>
      <c r="J686" s="6"/>
      <c r="K686" s="9" t="str">
        <f aca="false">IF(OR($J686="",$J686=0),"",$I686/$J686)</f>
        <v/>
      </c>
      <c r="L686" s="9" t="str">
        <f aca="false">IF(OR($E686="",$E686=0),"",$H686/$E686)</f>
        <v/>
      </c>
      <c r="M686" s="10" t="str">
        <f aca="false">IF(OR($L686="",$L686=0),"",($I686/30)/$L686)</f>
        <v/>
      </c>
      <c r="N686" s="8"/>
      <c r="O686" s="11" t="str">
        <f aca="false">IF(OR($I686="",$N686=""),"",($I686/1000)*$N686)</f>
        <v/>
      </c>
      <c r="P686" s="12" t="str">
        <f aca="false">IF($C686="","",IFERROR(ROUND(MIN(25,($N686/Instellingen!$B$3)*25)+MIN(25,($I686/Instellingen!$B$4)*25)+MIN(25,($J686/Instellingen!$B$5)*25)+MIN(25,(IF($M686="",0,$M686)/Instellingen!$B$6)*25),0),""))</f>
        <v/>
      </c>
      <c r="Q686" s="13" t="str">
        <f aca="false">IF($P686="","",IF($P686&gt;=Instellingen!$B$7,"Sterke niche",IF($P686&gt;=Instellingen!$B$8,"Belofte - opvolgen",IF($P686&gt;=Instellingen!$B$9,"Zwak - twijfel","Vermijden"))))</f>
        <v/>
      </c>
      <c r="R686" s="5"/>
      <c r="T686" s="1" t="str">
        <f aca="false">IF($C686="","",IF($P686=_xlfn.MAXIFS($P$3:$P$1000,$B$3:$B$1000,$B686),"★ Cash cow – handmatig onderzoeken",""))</f>
        <v/>
      </c>
    </row>
    <row r="687" customFormat="false" ht="14.25" hidden="false" customHeight="true" outlineLevel="0" collapsed="false">
      <c r="A687" s="4"/>
      <c r="B687" s="5"/>
      <c r="C687" s="5"/>
      <c r="D687" s="5"/>
      <c r="E687" s="6"/>
      <c r="F687" s="7"/>
      <c r="G687" s="8"/>
      <c r="H687" s="7"/>
      <c r="I687" s="7"/>
      <c r="J687" s="6"/>
      <c r="K687" s="9" t="str">
        <f aca="false">IF(OR($J687="",$J687=0),"",$I687/$J687)</f>
        <v/>
      </c>
      <c r="L687" s="9" t="str">
        <f aca="false">IF(OR($E687="",$E687=0),"",$H687/$E687)</f>
        <v/>
      </c>
      <c r="M687" s="10" t="str">
        <f aca="false">IF(OR($L687="",$L687=0),"",($I687/30)/$L687)</f>
        <v/>
      </c>
      <c r="N687" s="8"/>
      <c r="O687" s="11" t="str">
        <f aca="false">IF(OR($I687="",$N687=""),"",($I687/1000)*$N687)</f>
        <v/>
      </c>
      <c r="P687" s="12" t="str">
        <f aca="false">IF($C687="","",IFERROR(ROUND(MIN(25,($N687/Instellingen!$B$3)*25)+MIN(25,($I687/Instellingen!$B$4)*25)+MIN(25,($J687/Instellingen!$B$5)*25)+MIN(25,(IF($M687="",0,$M687)/Instellingen!$B$6)*25),0),""))</f>
        <v/>
      </c>
      <c r="Q687" s="13" t="str">
        <f aca="false">IF($P687="","",IF($P687&gt;=Instellingen!$B$7,"Sterke niche",IF($P687&gt;=Instellingen!$B$8,"Belofte - opvolgen",IF($P687&gt;=Instellingen!$B$9,"Zwak - twijfel","Vermijden"))))</f>
        <v/>
      </c>
      <c r="R687" s="5"/>
      <c r="T687" s="1" t="str">
        <f aca="false">IF($C687="","",IF($P687=_xlfn.MAXIFS($P$3:$P$1000,$B$3:$B$1000,$B687),"★ Cash cow – handmatig onderzoeken",""))</f>
        <v/>
      </c>
    </row>
    <row r="688" customFormat="false" ht="14.25" hidden="false" customHeight="true" outlineLevel="0" collapsed="false">
      <c r="A688" s="4"/>
      <c r="B688" s="5"/>
      <c r="C688" s="5"/>
      <c r="D688" s="5"/>
      <c r="E688" s="6"/>
      <c r="F688" s="7"/>
      <c r="G688" s="8"/>
      <c r="H688" s="7"/>
      <c r="I688" s="7"/>
      <c r="J688" s="6"/>
      <c r="K688" s="9" t="str">
        <f aca="false">IF(OR($J688="",$J688=0),"",$I688/$J688)</f>
        <v/>
      </c>
      <c r="L688" s="9" t="str">
        <f aca="false">IF(OR($E688="",$E688=0),"",$H688/$E688)</f>
        <v/>
      </c>
      <c r="M688" s="10" t="str">
        <f aca="false">IF(OR($L688="",$L688=0),"",($I688/30)/$L688)</f>
        <v/>
      </c>
      <c r="N688" s="8"/>
      <c r="O688" s="11" t="str">
        <f aca="false">IF(OR($I688="",$N688=""),"",($I688/1000)*$N688)</f>
        <v/>
      </c>
      <c r="P688" s="12" t="str">
        <f aca="false">IF($C688="","",IFERROR(ROUND(MIN(25,($N688/Instellingen!$B$3)*25)+MIN(25,($I688/Instellingen!$B$4)*25)+MIN(25,($J688/Instellingen!$B$5)*25)+MIN(25,(IF($M688="",0,$M688)/Instellingen!$B$6)*25),0),""))</f>
        <v/>
      </c>
      <c r="Q688" s="13" t="str">
        <f aca="false">IF($P688="","",IF($P688&gt;=Instellingen!$B$7,"Sterke niche",IF($P688&gt;=Instellingen!$B$8,"Belofte - opvolgen",IF($P688&gt;=Instellingen!$B$9,"Zwak - twijfel","Vermijden"))))</f>
        <v/>
      </c>
      <c r="R688" s="5"/>
      <c r="T688" s="1" t="str">
        <f aca="false">IF($C688="","",IF($P688=_xlfn.MAXIFS($P$3:$P$1000,$B$3:$B$1000,$B688),"★ Cash cow – handmatig onderzoeken",""))</f>
        <v/>
      </c>
    </row>
    <row r="689" customFormat="false" ht="14.25" hidden="false" customHeight="true" outlineLevel="0" collapsed="false">
      <c r="A689" s="4"/>
      <c r="B689" s="5"/>
      <c r="C689" s="5"/>
      <c r="D689" s="5"/>
      <c r="E689" s="6"/>
      <c r="F689" s="7"/>
      <c r="G689" s="8"/>
      <c r="H689" s="7"/>
      <c r="I689" s="7"/>
      <c r="J689" s="6"/>
      <c r="K689" s="9" t="str">
        <f aca="false">IF(OR($J689="",$J689=0),"",$I689/$J689)</f>
        <v/>
      </c>
      <c r="L689" s="9" t="str">
        <f aca="false">IF(OR($E689="",$E689=0),"",$H689/$E689)</f>
        <v/>
      </c>
      <c r="M689" s="10" t="str">
        <f aca="false">IF(OR($L689="",$L689=0),"",($I689/30)/$L689)</f>
        <v/>
      </c>
      <c r="N689" s="8"/>
      <c r="O689" s="11" t="str">
        <f aca="false">IF(OR($I689="",$N689=""),"",($I689/1000)*$N689)</f>
        <v/>
      </c>
      <c r="P689" s="12" t="str">
        <f aca="false">IF($C689="","",IFERROR(ROUND(MIN(25,($N689/Instellingen!$B$3)*25)+MIN(25,($I689/Instellingen!$B$4)*25)+MIN(25,($J689/Instellingen!$B$5)*25)+MIN(25,(IF($M689="",0,$M689)/Instellingen!$B$6)*25),0),""))</f>
        <v/>
      </c>
      <c r="Q689" s="13" t="str">
        <f aca="false">IF($P689="","",IF($P689&gt;=Instellingen!$B$7,"Sterke niche",IF($P689&gt;=Instellingen!$B$8,"Belofte - opvolgen",IF($P689&gt;=Instellingen!$B$9,"Zwak - twijfel","Vermijden"))))</f>
        <v/>
      </c>
      <c r="R689" s="5"/>
      <c r="T689" s="1" t="str">
        <f aca="false">IF($C689="","",IF($P689=_xlfn.MAXIFS($P$3:$P$1000,$B$3:$B$1000,$B689),"★ Cash cow – handmatig onderzoeken",""))</f>
        <v/>
      </c>
    </row>
    <row r="690" customFormat="false" ht="14.25" hidden="false" customHeight="true" outlineLevel="0" collapsed="false">
      <c r="A690" s="4"/>
      <c r="B690" s="5"/>
      <c r="C690" s="5"/>
      <c r="D690" s="5"/>
      <c r="E690" s="6"/>
      <c r="F690" s="7"/>
      <c r="G690" s="8"/>
      <c r="H690" s="7"/>
      <c r="I690" s="7"/>
      <c r="J690" s="6"/>
      <c r="K690" s="9" t="str">
        <f aca="false">IF(OR($J690="",$J690=0),"",$I690/$J690)</f>
        <v/>
      </c>
      <c r="L690" s="9" t="str">
        <f aca="false">IF(OR($E690="",$E690=0),"",$H690/$E690)</f>
        <v/>
      </c>
      <c r="M690" s="10" t="str">
        <f aca="false">IF(OR($L690="",$L690=0),"",($I690/30)/$L690)</f>
        <v/>
      </c>
      <c r="N690" s="8"/>
      <c r="O690" s="11" t="str">
        <f aca="false">IF(OR($I690="",$N690=""),"",($I690/1000)*$N690)</f>
        <v/>
      </c>
      <c r="P690" s="12" t="str">
        <f aca="false">IF($C690="","",IFERROR(ROUND(MIN(25,($N690/Instellingen!$B$3)*25)+MIN(25,($I690/Instellingen!$B$4)*25)+MIN(25,($J690/Instellingen!$B$5)*25)+MIN(25,(IF($M690="",0,$M690)/Instellingen!$B$6)*25),0),""))</f>
        <v/>
      </c>
      <c r="Q690" s="13" t="str">
        <f aca="false">IF($P690="","",IF($P690&gt;=Instellingen!$B$7,"Sterke niche",IF($P690&gt;=Instellingen!$B$8,"Belofte - opvolgen",IF($P690&gt;=Instellingen!$B$9,"Zwak - twijfel","Vermijden"))))</f>
        <v/>
      </c>
      <c r="R690" s="5"/>
      <c r="T690" s="1" t="str">
        <f aca="false">IF($C690="","",IF($P690=_xlfn.MAXIFS($P$3:$P$1000,$B$3:$B$1000,$B690),"★ Cash cow – handmatig onderzoeken",""))</f>
        <v/>
      </c>
    </row>
    <row r="691" customFormat="false" ht="14.25" hidden="false" customHeight="true" outlineLevel="0" collapsed="false">
      <c r="A691" s="4"/>
      <c r="B691" s="5"/>
      <c r="C691" s="5"/>
      <c r="D691" s="5"/>
      <c r="E691" s="6"/>
      <c r="F691" s="7"/>
      <c r="G691" s="8"/>
      <c r="H691" s="7"/>
      <c r="I691" s="7"/>
      <c r="J691" s="6"/>
      <c r="K691" s="9" t="str">
        <f aca="false">IF(OR($J691="",$J691=0),"",$I691/$J691)</f>
        <v/>
      </c>
      <c r="L691" s="9" t="str">
        <f aca="false">IF(OR($E691="",$E691=0),"",$H691/$E691)</f>
        <v/>
      </c>
      <c r="M691" s="10" t="str">
        <f aca="false">IF(OR($L691="",$L691=0),"",($I691/30)/$L691)</f>
        <v/>
      </c>
      <c r="N691" s="8"/>
      <c r="O691" s="11" t="str">
        <f aca="false">IF(OR($I691="",$N691=""),"",($I691/1000)*$N691)</f>
        <v/>
      </c>
      <c r="P691" s="12" t="str">
        <f aca="false">IF($C691="","",IFERROR(ROUND(MIN(25,($N691/Instellingen!$B$3)*25)+MIN(25,($I691/Instellingen!$B$4)*25)+MIN(25,($J691/Instellingen!$B$5)*25)+MIN(25,(IF($M691="",0,$M691)/Instellingen!$B$6)*25),0),""))</f>
        <v/>
      </c>
      <c r="Q691" s="13" t="str">
        <f aca="false">IF($P691="","",IF($P691&gt;=Instellingen!$B$7,"Sterke niche",IF($P691&gt;=Instellingen!$B$8,"Belofte - opvolgen",IF($P691&gt;=Instellingen!$B$9,"Zwak - twijfel","Vermijden"))))</f>
        <v/>
      </c>
      <c r="R691" s="5"/>
      <c r="T691" s="1" t="str">
        <f aca="false">IF($C691="","",IF($P691=_xlfn.MAXIFS($P$3:$P$1000,$B$3:$B$1000,$B691),"★ Cash cow – handmatig onderzoeken",""))</f>
        <v/>
      </c>
    </row>
    <row r="692" customFormat="false" ht="14.25" hidden="false" customHeight="true" outlineLevel="0" collapsed="false">
      <c r="A692" s="4"/>
      <c r="B692" s="5"/>
      <c r="C692" s="5"/>
      <c r="D692" s="5"/>
      <c r="E692" s="6"/>
      <c r="F692" s="7"/>
      <c r="G692" s="8"/>
      <c r="H692" s="7"/>
      <c r="I692" s="7"/>
      <c r="J692" s="6"/>
      <c r="K692" s="9" t="str">
        <f aca="false">IF(OR($J692="",$J692=0),"",$I692/$J692)</f>
        <v/>
      </c>
      <c r="L692" s="9" t="str">
        <f aca="false">IF(OR($E692="",$E692=0),"",$H692/$E692)</f>
        <v/>
      </c>
      <c r="M692" s="10" t="str">
        <f aca="false">IF(OR($L692="",$L692=0),"",($I692/30)/$L692)</f>
        <v/>
      </c>
      <c r="N692" s="8"/>
      <c r="O692" s="11" t="str">
        <f aca="false">IF(OR($I692="",$N692=""),"",($I692/1000)*$N692)</f>
        <v/>
      </c>
      <c r="P692" s="12" t="str">
        <f aca="false">IF($C692="","",IFERROR(ROUND(MIN(25,($N692/Instellingen!$B$3)*25)+MIN(25,($I692/Instellingen!$B$4)*25)+MIN(25,($J692/Instellingen!$B$5)*25)+MIN(25,(IF($M692="",0,$M692)/Instellingen!$B$6)*25),0),""))</f>
        <v/>
      </c>
      <c r="Q692" s="13" t="str">
        <f aca="false">IF($P692="","",IF($P692&gt;=Instellingen!$B$7,"Sterke niche",IF($P692&gt;=Instellingen!$B$8,"Belofte - opvolgen",IF($P692&gt;=Instellingen!$B$9,"Zwak - twijfel","Vermijden"))))</f>
        <v/>
      </c>
      <c r="R692" s="5"/>
      <c r="T692" s="1" t="str">
        <f aca="false">IF($C692="","",IF($P692=_xlfn.MAXIFS($P$3:$P$1000,$B$3:$B$1000,$B692),"★ Cash cow – handmatig onderzoeken",""))</f>
        <v/>
      </c>
    </row>
    <row r="693" customFormat="false" ht="14.25" hidden="false" customHeight="true" outlineLevel="0" collapsed="false">
      <c r="A693" s="4"/>
      <c r="B693" s="5"/>
      <c r="C693" s="5"/>
      <c r="D693" s="5"/>
      <c r="E693" s="6"/>
      <c r="F693" s="7"/>
      <c r="G693" s="8"/>
      <c r="H693" s="7"/>
      <c r="I693" s="7"/>
      <c r="J693" s="6"/>
      <c r="K693" s="9" t="str">
        <f aca="false">IF(OR($J693="",$J693=0),"",$I693/$J693)</f>
        <v/>
      </c>
      <c r="L693" s="9" t="str">
        <f aca="false">IF(OR($E693="",$E693=0),"",$H693/$E693)</f>
        <v/>
      </c>
      <c r="M693" s="10" t="str">
        <f aca="false">IF(OR($L693="",$L693=0),"",($I693/30)/$L693)</f>
        <v/>
      </c>
      <c r="N693" s="8"/>
      <c r="O693" s="11" t="str">
        <f aca="false">IF(OR($I693="",$N693=""),"",($I693/1000)*$N693)</f>
        <v/>
      </c>
      <c r="P693" s="12" t="str">
        <f aca="false">IF($C693="","",IFERROR(ROUND(MIN(25,($N693/Instellingen!$B$3)*25)+MIN(25,($I693/Instellingen!$B$4)*25)+MIN(25,($J693/Instellingen!$B$5)*25)+MIN(25,(IF($M693="",0,$M693)/Instellingen!$B$6)*25),0),""))</f>
        <v/>
      </c>
      <c r="Q693" s="13" t="str">
        <f aca="false">IF($P693="","",IF($P693&gt;=Instellingen!$B$7,"Sterke niche",IF($P693&gt;=Instellingen!$B$8,"Belofte - opvolgen",IF($P693&gt;=Instellingen!$B$9,"Zwak - twijfel","Vermijden"))))</f>
        <v/>
      </c>
      <c r="R693" s="5"/>
      <c r="T693" s="1" t="str">
        <f aca="false">IF($C693="","",IF($P693=_xlfn.MAXIFS($P$3:$P$1000,$B$3:$B$1000,$B693),"★ Cash cow – handmatig onderzoeken",""))</f>
        <v/>
      </c>
    </row>
    <row r="694" customFormat="false" ht="14.25" hidden="false" customHeight="true" outlineLevel="0" collapsed="false">
      <c r="A694" s="4"/>
      <c r="B694" s="5"/>
      <c r="C694" s="5"/>
      <c r="D694" s="5"/>
      <c r="E694" s="6"/>
      <c r="F694" s="7"/>
      <c r="G694" s="8"/>
      <c r="H694" s="7"/>
      <c r="I694" s="7"/>
      <c r="J694" s="6"/>
      <c r="K694" s="9" t="str">
        <f aca="false">IF(OR($J694="",$J694=0),"",$I694/$J694)</f>
        <v/>
      </c>
      <c r="L694" s="9" t="str">
        <f aca="false">IF(OR($E694="",$E694=0),"",$H694/$E694)</f>
        <v/>
      </c>
      <c r="M694" s="10" t="str">
        <f aca="false">IF(OR($L694="",$L694=0),"",($I694/30)/$L694)</f>
        <v/>
      </c>
      <c r="N694" s="8"/>
      <c r="O694" s="11" t="str">
        <f aca="false">IF(OR($I694="",$N694=""),"",($I694/1000)*$N694)</f>
        <v/>
      </c>
      <c r="P694" s="12" t="str">
        <f aca="false">IF($C694="","",IFERROR(ROUND(MIN(25,($N694/Instellingen!$B$3)*25)+MIN(25,($I694/Instellingen!$B$4)*25)+MIN(25,($J694/Instellingen!$B$5)*25)+MIN(25,(IF($M694="",0,$M694)/Instellingen!$B$6)*25),0),""))</f>
        <v/>
      </c>
      <c r="Q694" s="13" t="str">
        <f aca="false">IF($P694="","",IF($P694&gt;=Instellingen!$B$7,"Sterke niche",IF($P694&gt;=Instellingen!$B$8,"Belofte - opvolgen",IF($P694&gt;=Instellingen!$B$9,"Zwak - twijfel","Vermijden"))))</f>
        <v/>
      </c>
      <c r="R694" s="5"/>
      <c r="T694" s="1" t="str">
        <f aca="false">IF($C694="","",IF($P694=_xlfn.MAXIFS($P$3:$P$1000,$B$3:$B$1000,$B694),"★ Cash cow – handmatig onderzoeken",""))</f>
        <v/>
      </c>
    </row>
    <row r="695" customFormat="false" ht="14.25" hidden="false" customHeight="true" outlineLevel="0" collapsed="false">
      <c r="A695" s="4"/>
      <c r="B695" s="5"/>
      <c r="C695" s="5"/>
      <c r="D695" s="5"/>
      <c r="E695" s="6"/>
      <c r="F695" s="7"/>
      <c r="G695" s="8"/>
      <c r="H695" s="7"/>
      <c r="I695" s="7"/>
      <c r="J695" s="6"/>
      <c r="K695" s="9" t="str">
        <f aca="false">IF(OR($J695="",$J695=0),"",$I695/$J695)</f>
        <v/>
      </c>
      <c r="L695" s="9" t="str">
        <f aca="false">IF(OR($E695="",$E695=0),"",$H695/$E695)</f>
        <v/>
      </c>
      <c r="M695" s="10" t="str">
        <f aca="false">IF(OR($L695="",$L695=0),"",($I695/30)/$L695)</f>
        <v/>
      </c>
      <c r="N695" s="8"/>
      <c r="O695" s="11" t="str">
        <f aca="false">IF(OR($I695="",$N695=""),"",($I695/1000)*$N695)</f>
        <v/>
      </c>
      <c r="P695" s="12" t="str">
        <f aca="false">IF($C695="","",IFERROR(ROUND(MIN(25,($N695/Instellingen!$B$3)*25)+MIN(25,($I695/Instellingen!$B$4)*25)+MIN(25,($J695/Instellingen!$B$5)*25)+MIN(25,(IF($M695="",0,$M695)/Instellingen!$B$6)*25),0),""))</f>
        <v/>
      </c>
      <c r="Q695" s="13" t="str">
        <f aca="false">IF($P695="","",IF($P695&gt;=Instellingen!$B$7,"Sterke niche",IF($P695&gt;=Instellingen!$B$8,"Belofte - opvolgen",IF($P695&gt;=Instellingen!$B$9,"Zwak - twijfel","Vermijden"))))</f>
        <v/>
      </c>
      <c r="R695" s="5"/>
      <c r="T695" s="1" t="str">
        <f aca="false">IF($C695="","",IF($P695=_xlfn.MAXIFS($P$3:$P$1000,$B$3:$B$1000,$B695),"★ Cash cow – handmatig onderzoeken",""))</f>
        <v/>
      </c>
    </row>
    <row r="696" customFormat="false" ht="14.25" hidden="false" customHeight="true" outlineLevel="0" collapsed="false">
      <c r="A696" s="4"/>
      <c r="B696" s="5"/>
      <c r="C696" s="5"/>
      <c r="D696" s="5"/>
      <c r="E696" s="6"/>
      <c r="F696" s="7"/>
      <c r="G696" s="8"/>
      <c r="H696" s="7"/>
      <c r="I696" s="7"/>
      <c r="J696" s="6"/>
      <c r="K696" s="9" t="str">
        <f aca="false">IF(OR($J696="",$J696=0),"",$I696/$J696)</f>
        <v/>
      </c>
      <c r="L696" s="9" t="str">
        <f aca="false">IF(OR($E696="",$E696=0),"",$H696/$E696)</f>
        <v/>
      </c>
      <c r="M696" s="10" t="str">
        <f aca="false">IF(OR($L696="",$L696=0),"",($I696/30)/$L696)</f>
        <v/>
      </c>
      <c r="N696" s="8"/>
      <c r="O696" s="11" t="str">
        <f aca="false">IF(OR($I696="",$N696=""),"",($I696/1000)*$N696)</f>
        <v/>
      </c>
      <c r="P696" s="12" t="str">
        <f aca="false">IF($C696="","",IFERROR(ROUND(MIN(25,($N696/Instellingen!$B$3)*25)+MIN(25,($I696/Instellingen!$B$4)*25)+MIN(25,($J696/Instellingen!$B$5)*25)+MIN(25,(IF($M696="",0,$M696)/Instellingen!$B$6)*25),0),""))</f>
        <v/>
      </c>
      <c r="Q696" s="13" t="str">
        <f aca="false">IF($P696="","",IF($P696&gt;=Instellingen!$B$7,"Sterke niche",IF($P696&gt;=Instellingen!$B$8,"Belofte - opvolgen",IF($P696&gt;=Instellingen!$B$9,"Zwak - twijfel","Vermijden"))))</f>
        <v/>
      </c>
      <c r="R696" s="5"/>
      <c r="T696" s="1" t="str">
        <f aca="false">IF($C696="","",IF($P696=_xlfn.MAXIFS($P$3:$P$1000,$B$3:$B$1000,$B696),"★ Cash cow – handmatig onderzoeken",""))</f>
        <v/>
      </c>
    </row>
    <row r="697" customFormat="false" ht="14.25" hidden="false" customHeight="true" outlineLevel="0" collapsed="false">
      <c r="A697" s="4"/>
      <c r="B697" s="5"/>
      <c r="C697" s="5"/>
      <c r="D697" s="5"/>
      <c r="E697" s="6"/>
      <c r="F697" s="7"/>
      <c r="G697" s="8"/>
      <c r="H697" s="7"/>
      <c r="I697" s="7"/>
      <c r="J697" s="6"/>
      <c r="K697" s="9" t="str">
        <f aca="false">IF(OR($J697="",$J697=0),"",$I697/$J697)</f>
        <v/>
      </c>
      <c r="L697" s="9" t="str">
        <f aca="false">IF(OR($E697="",$E697=0),"",$H697/$E697)</f>
        <v/>
      </c>
      <c r="M697" s="10" t="str">
        <f aca="false">IF(OR($L697="",$L697=0),"",($I697/30)/$L697)</f>
        <v/>
      </c>
      <c r="N697" s="8"/>
      <c r="O697" s="11" t="str">
        <f aca="false">IF(OR($I697="",$N697=""),"",($I697/1000)*$N697)</f>
        <v/>
      </c>
      <c r="P697" s="12" t="str">
        <f aca="false">IF($C697="","",IFERROR(ROUND(MIN(25,($N697/Instellingen!$B$3)*25)+MIN(25,($I697/Instellingen!$B$4)*25)+MIN(25,($J697/Instellingen!$B$5)*25)+MIN(25,(IF($M697="",0,$M697)/Instellingen!$B$6)*25),0),""))</f>
        <v/>
      </c>
      <c r="Q697" s="13" t="str">
        <f aca="false">IF($P697="","",IF($P697&gt;=Instellingen!$B$7,"Sterke niche",IF($P697&gt;=Instellingen!$B$8,"Belofte - opvolgen",IF($P697&gt;=Instellingen!$B$9,"Zwak - twijfel","Vermijden"))))</f>
        <v/>
      </c>
      <c r="R697" s="5"/>
      <c r="T697" s="1" t="str">
        <f aca="false">IF($C697="","",IF($P697=_xlfn.MAXIFS($P$3:$P$1000,$B$3:$B$1000,$B697),"★ Cash cow – handmatig onderzoeken",""))</f>
        <v/>
      </c>
    </row>
    <row r="698" customFormat="false" ht="14.25" hidden="false" customHeight="true" outlineLevel="0" collapsed="false">
      <c r="A698" s="4"/>
      <c r="B698" s="5"/>
      <c r="C698" s="5"/>
      <c r="D698" s="5"/>
      <c r="E698" s="6"/>
      <c r="F698" s="7"/>
      <c r="G698" s="8"/>
      <c r="H698" s="7"/>
      <c r="I698" s="7"/>
      <c r="J698" s="6"/>
      <c r="K698" s="9" t="str">
        <f aca="false">IF(OR($J698="",$J698=0),"",$I698/$J698)</f>
        <v/>
      </c>
      <c r="L698" s="9" t="str">
        <f aca="false">IF(OR($E698="",$E698=0),"",$H698/$E698)</f>
        <v/>
      </c>
      <c r="M698" s="10" t="str">
        <f aca="false">IF(OR($L698="",$L698=0),"",($I698/30)/$L698)</f>
        <v/>
      </c>
      <c r="N698" s="8"/>
      <c r="O698" s="11" t="str">
        <f aca="false">IF(OR($I698="",$N698=""),"",($I698/1000)*$N698)</f>
        <v/>
      </c>
      <c r="P698" s="12" t="str">
        <f aca="false">IF($C698="","",IFERROR(ROUND(MIN(25,($N698/Instellingen!$B$3)*25)+MIN(25,($I698/Instellingen!$B$4)*25)+MIN(25,($J698/Instellingen!$B$5)*25)+MIN(25,(IF($M698="",0,$M698)/Instellingen!$B$6)*25),0),""))</f>
        <v/>
      </c>
      <c r="Q698" s="13" t="str">
        <f aca="false">IF($P698="","",IF($P698&gt;=Instellingen!$B$7,"Sterke niche",IF($P698&gt;=Instellingen!$B$8,"Belofte - opvolgen",IF($P698&gt;=Instellingen!$B$9,"Zwak - twijfel","Vermijden"))))</f>
        <v/>
      </c>
      <c r="R698" s="5"/>
      <c r="T698" s="1" t="str">
        <f aca="false">IF($C698="","",IF($P698=_xlfn.MAXIFS($P$3:$P$1000,$B$3:$B$1000,$B698),"★ Cash cow – handmatig onderzoeken",""))</f>
        <v/>
      </c>
    </row>
    <row r="699" customFormat="false" ht="14.25" hidden="false" customHeight="true" outlineLevel="0" collapsed="false">
      <c r="A699" s="4"/>
      <c r="B699" s="5"/>
      <c r="C699" s="5"/>
      <c r="D699" s="5"/>
      <c r="E699" s="6"/>
      <c r="F699" s="7"/>
      <c r="G699" s="8"/>
      <c r="H699" s="7"/>
      <c r="I699" s="7"/>
      <c r="J699" s="6"/>
      <c r="K699" s="9" t="str">
        <f aca="false">IF(OR($J699="",$J699=0),"",$I699/$J699)</f>
        <v/>
      </c>
      <c r="L699" s="9" t="str">
        <f aca="false">IF(OR($E699="",$E699=0),"",$H699/$E699)</f>
        <v/>
      </c>
      <c r="M699" s="10" t="str">
        <f aca="false">IF(OR($L699="",$L699=0),"",($I699/30)/$L699)</f>
        <v/>
      </c>
      <c r="N699" s="8"/>
      <c r="O699" s="11" t="str">
        <f aca="false">IF(OR($I699="",$N699=""),"",($I699/1000)*$N699)</f>
        <v/>
      </c>
      <c r="P699" s="12" t="str">
        <f aca="false">IF($C699="","",IFERROR(ROUND(MIN(25,($N699/Instellingen!$B$3)*25)+MIN(25,($I699/Instellingen!$B$4)*25)+MIN(25,($J699/Instellingen!$B$5)*25)+MIN(25,(IF($M699="",0,$M699)/Instellingen!$B$6)*25),0),""))</f>
        <v/>
      </c>
      <c r="Q699" s="13" t="str">
        <f aca="false">IF($P699="","",IF($P699&gt;=Instellingen!$B$7,"Sterke niche",IF($P699&gt;=Instellingen!$B$8,"Belofte - opvolgen",IF($P699&gt;=Instellingen!$B$9,"Zwak - twijfel","Vermijden"))))</f>
        <v/>
      </c>
      <c r="R699" s="5"/>
      <c r="T699" s="1" t="str">
        <f aca="false">IF($C699="","",IF($P699=_xlfn.MAXIFS($P$3:$P$1000,$B$3:$B$1000,$B699),"★ Cash cow – handmatig onderzoeken",""))</f>
        <v/>
      </c>
    </row>
    <row r="700" customFormat="false" ht="14.25" hidden="false" customHeight="true" outlineLevel="0" collapsed="false">
      <c r="A700" s="4"/>
      <c r="B700" s="5"/>
      <c r="C700" s="5"/>
      <c r="D700" s="5"/>
      <c r="E700" s="6"/>
      <c r="F700" s="7"/>
      <c r="G700" s="8"/>
      <c r="H700" s="7"/>
      <c r="I700" s="7"/>
      <c r="J700" s="6"/>
      <c r="K700" s="9" t="str">
        <f aca="false">IF(OR($J700="",$J700=0),"",$I700/$J700)</f>
        <v/>
      </c>
      <c r="L700" s="9" t="str">
        <f aca="false">IF(OR($E700="",$E700=0),"",$H700/$E700)</f>
        <v/>
      </c>
      <c r="M700" s="10" t="str">
        <f aca="false">IF(OR($L700="",$L700=0),"",($I700/30)/$L700)</f>
        <v/>
      </c>
      <c r="N700" s="8"/>
      <c r="O700" s="11" t="str">
        <f aca="false">IF(OR($I700="",$N700=""),"",($I700/1000)*$N700)</f>
        <v/>
      </c>
      <c r="P700" s="12" t="str">
        <f aca="false">IF($C700="","",IFERROR(ROUND(MIN(25,($N700/Instellingen!$B$3)*25)+MIN(25,($I700/Instellingen!$B$4)*25)+MIN(25,($J700/Instellingen!$B$5)*25)+MIN(25,(IF($M700="",0,$M700)/Instellingen!$B$6)*25),0),""))</f>
        <v/>
      </c>
      <c r="Q700" s="13" t="str">
        <f aca="false">IF($P700="","",IF($P700&gt;=Instellingen!$B$7,"Sterke niche",IF($P700&gt;=Instellingen!$B$8,"Belofte - opvolgen",IF($P700&gt;=Instellingen!$B$9,"Zwak - twijfel","Vermijden"))))</f>
        <v/>
      </c>
      <c r="R700" s="5"/>
      <c r="T700" s="1" t="str">
        <f aca="false">IF($C700="","",IF($P700=_xlfn.MAXIFS($P$3:$P$1000,$B$3:$B$1000,$B700),"★ Cash cow – handmatig onderzoeken",""))</f>
        <v/>
      </c>
    </row>
    <row r="701" customFormat="false" ht="14.25" hidden="false" customHeight="true" outlineLevel="0" collapsed="false">
      <c r="A701" s="4"/>
      <c r="B701" s="5"/>
      <c r="C701" s="5"/>
      <c r="D701" s="5"/>
      <c r="E701" s="6"/>
      <c r="F701" s="7"/>
      <c r="G701" s="8"/>
      <c r="H701" s="7"/>
      <c r="I701" s="7"/>
      <c r="J701" s="6"/>
      <c r="K701" s="9" t="str">
        <f aca="false">IF(OR($J701="",$J701=0),"",$I701/$J701)</f>
        <v/>
      </c>
      <c r="L701" s="9" t="str">
        <f aca="false">IF(OR($E701="",$E701=0),"",$H701/$E701)</f>
        <v/>
      </c>
      <c r="M701" s="10" t="str">
        <f aca="false">IF(OR($L701="",$L701=0),"",($I701/30)/$L701)</f>
        <v/>
      </c>
      <c r="N701" s="8"/>
      <c r="O701" s="11" t="str">
        <f aca="false">IF(OR($I701="",$N701=""),"",($I701/1000)*$N701)</f>
        <v/>
      </c>
      <c r="P701" s="12" t="str">
        <f aca="false">IF($C701="","",IFERROR(ROUND(MIN(25,($N701/Instellingen!$B$3)*25)+MIN(25,($I701/Instellingen!$B$4)*25)+MIN(25,($J701/Instellingen!$B$5)*25)+MIN(25,(IF($M701="",0,$M701)/Instellingen!$B$6)*25),0),""))</f>
        <v/>
      </c>
      <c r="Q701" s="13" t="str">
        <f aca="false">IF($P701="","",IF($P701&gt;=Instellingen!$B$7,"Sterke niche",IF($P701&gt;=Instellingen!$B$8,"Belofte - opvolgen",IF($P701&gt;=Instellingen!$B$9,"Zwak - twijfel","Vermijden"))))</f>
        <v/>
      </c>
      <c r="R701" s="5"/>
      <c r="T701" s="1" t="str">
        <f aca="false">IF($C701="","",IF($P701=_xlfn.MAXIFS($P$3:$P$1000,$B$3:$B$1000,$B701),"★ Cash cow – handmatig onderzoeken",""))</f>
        <v/>
      </c>
    </row>
    <row r="702" customFormat="false" ht="14.25" hidden="false" customHeight="true" outlineLevel="0" collapsed="false">
      <c r="A702" s="4"/>
      <c r="B702" s="5"/>
      <c r="C702" s="5"/>
      <c r="D702" s="5"/>
      <c r="E702" s="6"/>
      <c r="F702" s="7"/>
      <c r="G702" s="8"/>
      <c r="H702" s="7"/>
      <c r="I702" s="7"/>
      <c r="J702" s="6"/>
      <c r="K702" s="9" t="str">
        <f aca="false">IF(OR($J702="",$J702=0),"",$I702/$J702)</f>
        <v/>
      </c>
      <c r="L702" s="9" t="str">
        <f aca="false">IF(OR($E702="",$E702=0),"",$H702/$E702)</f>
        <v/>
      </c>
      <c r="M702" s="10" t="str">
        <f aca="false">IF(OR($L702="",$L702=0),"",($I702/30)/$L702)</f>
        <v/>
      </c>
      <c r="N702" s="8"/>
      <c r="O702" s="11" t="str">
        <f aca="false">IF(OR($I702="",$N702=""),"",($I702/1000)*$N702)</f>
        <v/>
      </c>
      <c r="P702" s="12" t="str">
        <f aca="false">IF($C702="","",IFERROR(ROUND(MIN(25,($N702/Instellingen!$B$3)*25)+MIN(25,($I702/Instellingen!$B$4)*25)+MIN(25,($J702/Instellingen!$B$5)*25)+MIN(25,(IF($M702="",0,$M702)/Instellingen!$B$6)*25),0),""))</f>
        <v/>
      </c>
      <c r="Q702" s="13" t="str">
        <f aca="false">IF($P702="","",IF($P702&gt;=Instellingen!$B$7,"Sterke niche",IF($P702&gt;=Instellingen!$B$8,"Belofte - opvolgen",IF($P702&gt;=Instellingen!$B$9,"Zwak - twijfel","Vermijden"))))</f>
        <v/>
      </c>
      <c r="R702" s="5"/>
      <c r="T702" s="1" t="str">
        <f aca="false">IF($C702="","",IF($P702=_xlfn.MAXIFS($P$3:$P$1000,$B$3:$B$1000,$B702),"★ Cash cow – handmatig onderzoeken",""))</f>
        <v/>
      </c>
    </row>
    <row r="703" customFormat="false" ht="14.25" hidden="false" customHeight="true" outlineLevel="0" collapsed="false">
      <c r="A703" s="4"/>
      <c r="B703" s="5"/>
      <c r="C703" s="5"/>
      <c r="D703" s="5"/>
      <c r="E703" s="6"/>
      <c r="F703" s="7"/>
      <c r="G703" s="8"/>
      <c r="H703" s="7"/>
      <c r="I703" s="7"/>
      <c r="J703" s="6"/>
      <c r="K703" s="9" t="str">
        <f aca="false">IF(OR($J703="",$J703=0),"",$I703/$J703)</f>
        <v/>
      </c>
      <c r="L703" s="9" t="str">
        <f aca="false">IF(OR($E703="",$E703=0),"",$H703/$E703)</f>
        <v/>
      </c>
      <c r="M703" s="10" t="str">
        <f aca="false">IF(OR($L703="",$L703=0),"",($I703/30)/$L703)</f>
        <v/>
      </c>
      <c r="N703" s="8"/>
      <c r="O703" s="11" t="str">
        <f aca="false">IF(OR($I703="",$N703=""),"",($I703/1000)*$N703)</f>
        <v/>
      </c>
      <c r="P703" s="12" t="str">
        <f aca="false">IF($C703="","",IFERROR(ROUND(MIN(25,($N703/Instellingen!$B$3)*25)+MIN(25,($I703/Instellingen!$B$4)*25)+MIN(25,($J703/Instellingen!$B$5)*25)+MIN(25,(IF($M703="",0,$M703)/Instellingen!$B$6)*25),0),""))</f>
        <v/>
      </c>
      <c r="Q703" s="13" t="str">
        <f aca="false">IF($P703="","",IF($P703&gt;=Instellingen!$B$7,"Sterke niche",IF($P703&gt;=Instellingen!$B$8,"Belofte - opvolgen",IF($P703&gt;=Instellingen!$B$9,"Zwak - twijfel","Vermijden"))))</f>
        <v/>
      </c>
      <c r="R703" s="5"/>
      <c r="T703" s="1" t="str">
        <f aca="false">IF($C703="","",IF($P703=_xlfn.MAXIFS($P$3:$P$1000,$B$3:$B$1000,$B703),"★ Cash cow – handmatig onderzoeken",""))</f>
        <v/>
      </c>
    </row>
    <row r="704" customFormat="false" ht="14.25" hidden="false" customHeight="true" outlineLevel="0" collapsed="false">
      <c r="A704" s="4"/>
      <c r="B704" s="5"/>
      <c r="C704" s="5"/>
      <c r="D704" s="5"/>
      <c r="E704" s="6"/>
      <c r="F704" s="7"/>
      <c r="G704" s="8"/>
      <c r="H704" s="7"/>
      <c r="I704" s="7"/>
      <c r="J704" s="6"/>
      <c r="K704" s="9" t="str">
        <f aca="false">IF(OR($J704="",$J704=0),"",$I704/$J704)</f>
        <v/>
      </c>
      <c r="L704" s="9" t="str">
        <f aca="false">IF(OR($E704="",$E704=0),"",$H704/$E704)</f>
        <v/>
      </c>
      <c r="M704" s="10" t="str">
        <f aca="false">IF(OR($L704="",$L704=0),"",($I704/30)/$L704)</f>
        <v/>
      </c>
      <c r="N704" s="8"/>
      <c r="O704" s="11" t="str">
        <f aca="false">IF(OR($I704="",$N704=""),"",($I704/1000)*$N704)</f>
        <v/>
      </c>
      <c r="P704" s="12" t="str">
        <f aca="false">IF($C704="","",IFERROR(ROUND(MIN(25,($N704/Instellingen!$B$3)*25)+MIN(25,($I704/Instellingen!$B$4)*25)+MIN(25,($J704/Instellingen!$B$5)*25)+MIN(25,(IF($M704="",0,$M704)/Instellingen!$B$6)*25),0),""))</f>
        <v/>
      </c>
      <c r="Q704" s="13" t="str">
        <f aca="false">IF($P704="","",IF($P704&gt;=Instellingen!$B$7,"Sterke niche",IF($P704&gt;=Instellingen!$B$8,"Belofte - opvolgen",IF($P704&gt;=Instellingen!$B$9,"Zwak - twijfel","Vermijden"))))</f>
        <v/>
      </c>
      <c r="R704" s="5"/>
      <c r="T704" s="1" t="str">
        <f aca="false">IF($C704="","",IF($P704=_xlfn.MAXIFS($P$3:$P$1000,$B$3:$B$1000,$B704),"★ Cash cow – handmatig onderzoeken",""))</f>
        <v/>
      </c>
    </row>
    <row r="705" customFormat="false" ht="14.25" hidden="false" customHeight="true" outlineLevel="0" collapsed="false">
      <c r="A705" s="4"/>
      <c r="B705" s="5"/>
      <c r="C705" s="5"/>
      <c r="D705" s="5"/>
      <c r="E705" s="6"/>
      <c r="F705" s="7"/>
      <c r="G705" s="8"/>
      <c r="H705" s="7"/>
      <c r="I705" s="7"/>
      <c r="J705" s="6"/>
      <c r="K705" s="9" t="str">
        <f aca="false">IF(OR($J705="",$J705=0),"",$I705/$J705)</f>
        <v/>
      </c>
      <c r="L705" s="9" t="str">
        <f aca="false">IF(OR($E705="",$E705=0),"",$H705/$E705)</f>
        <v/>
      </c>
      <c r="M705" s="10" t="str">
        <f aca="false">IF(OR($L705="",$L705=0),"",($I705/30)/$L705)</f>
        <v/>
      </c>
      <c r="N705" s="8"/>
      <c r="O705" s="11" t="str">
        <f aca="false">IF(OR($I705="",$N705=""),"",($I705/1000)*$N705)</f>
        <v/>
      </c>
      <c r="P705" s="12" t="str">
        <f aca="false">IF($C705="","",IFERROR(ROUND(MIN(25,($N705/Instellingen!$B$3)*25)+MIN(25,($I705/Instellingen!$B$4)*25)+MIN(25,($J705/Instellingen!$B$5)*25)+MIN(25,(IF($M705="",0,$M705)/Instellingen!$B$6)*25),0),""))</f>
        <v/>
      </c>
      <c r="Q705" s="13" t="str">
        <f aca="false">IF($P705="","",IF($P705&gt;=Instellingen!$B$7,"Sterke niche",IF($P705&gt;=Instellingen!$B$8,"Belofte - opvolgen",IF($P705&gt;=Instellingen!$B$9,"Zwak - twijfel","Vermijden"))))</f>
        <v/>
      </c>
      <c r="R705" s="5"/>
      <c r="T705" s="1" t="str">
        <f aca="false">IF($C705="","",IF($P705=_xlfn.MAXIFS($P$3:$P$1000,$B$3:$B$1000,$B705),"★ Cash cow – handmatig onderzoeken",""))</f>
        <v/>
      </c>
    </row>
    <row r="706" customFormat="false" ht="14.25" hidden="false" customHeight="true" outlineLevel="0" collapsed="false">
      <c r="A706" s="4"/>
      <c r="B706" s="5"/>
      <c r="C706" s="5"/>
      <c r="D706" s="5"/>
      <c r="E706" s="6"/>
      <c r="F706" s="7"/>
      <c r="G706" s="8"/>
      <c r="H706" s="7"/>
      <c r="I706" s="7"/>
      <c r="J706" s="6"/>
      <c r="K706" s="9" t="str">
        <f aca="false">IF(OR($J706="",$J706=0),"",$I706/$J706)</f>
        <v/>
      </c>
      <c r="L706" s="9" t="str">
        <f aca="false">IF(OR($E706="",$E706=0),"",$H706/$E706)</f>
        <v/>
      </c>
      <c r="M706" s="10" t="str">
        <f aca="false">IF(OR($L706="",$L706=0),"",($I706/30)/$L706)</f>
        <v/>
      </c>
      <c r="N706" s="8"/>
      <c r="O706" s="11" t="str">
        <f aca="false">IF(OR($I706="",$N706=""),"",($I706/1000)*$N706)</f>
        <v/>
      </c>
      <c r="P706" s="12" t="str">
        <f aca="false">IF($C706="","",IFERROR(ROUND(MIN(25,($N706/Instellingen!$B$3)*25)+MIN(25,($I706/Instellingen!$B$4)*25)+MIN(25,($J706/Instellingen!$B$5)*25)+MIN(25,(IF($M706="",0,$M706)/Instellingen!$B$6)*25),0),""))</f>
        <v/>
      </c>
      <c r="Q706" s="13" t="str">
        <f aca="false">IF($P706="","",IF($P706&gt;=Instellingen!$B$7,"Sterke niche",IF($P706&gt;=Instellingen!$B$8,"Belofte - opvolgen",IF($P706&gt;=Instellingen!$B$9,"Zwak - twijfel","Vermijden"))))</f>
        <v/>
      </c>
      <c r="R706" s="5"/>
      <c r="T706" s="1" t="str">
        <f aca="false">IF($C706="","",IF($P706=_xlfn.MAXIFS($P$3:$P$1000,$B$3:$B$1000,$B706),"★ Cash cow – handmatig onderzoeken",""))</f>
        <v/>
      </c>
    </row>
    <row r="707" customFormat="false" ht="14.25" hidden="false" customHeight="true" outlineLevel="0" collapsed="false">
      <c r="A707" s="4"/>
      <c r="B707" s="5"/>
      <c r="C707" s="5"/>
      <c r="D707" s="5"/>
      <c r="E707" s="6"/>
      <c r="F707" s="7"/>
      <c r="G707" s="8"/>
      <c r="H707" s="7"/>
      <c r="I707" s="7"/>
      <c r="J707" s="6"/>
      <c r="K707" s="9" t="str">
        <f aca="false">IF(OR($J707="",$J707=0),"",$I707/$J707)</f>
        <v/>
      </c>
      <c r="L707" s="9" t="str">
        <f aca="false">IF(OR($E707="",$E707=0),"",$H707/$E707)</f>
        <v/>
      </c>
      <c r="M707" s="10" t="str">
        <f aca="false">IF(OR($L707="",$L707=0),"",($I707/30)/$L707)</f>
        <v/>
      </c>
      <c r="N707" s="8"/>
      <c r="O707" s="11" t="str">
        <f aca="false">IF(OR($I707="",$N707=""),"",($I707/1000)*$N707)</f>
        <v/>
      </c>
      <c r="P707" s="12" t="str">
        <f aca="false">IF($C707="","",IFERROR(ROUND(MIN(25,($N707/Instellingen!$B$3)*25)+MIN(25,($I707/Instellingen!$B$4)*25)+MIN(25,($J707/Instellingen!$B$5)*25)+MIN(25,(IF($M707="",0,$M707)/Instellingen!$B$6)*25),0),""))</f>
        <v/>
      </c>
      <c r="Q707" s="13" t="str">
        <f aca="false">IF($P707="","",IF($P707&gt;=Instellingen!$B$7,"Sterke niche",IF($P707&gt;=Instellingen!$B$8,"Belofte - opvolgen",IF($P707&gt;=Instellingen!$B$9,"Zwak - twijfel","Vermijden"))))</f>
        <v/>
      </c>
      <c r="R707" s="5"/>
      <c r="T707" s="1" t="str">
        <f aca="false">IF($C707="","",IF($P707=_xlfn.MAXIFS($P$3:$P$1000,$B$3:$B$1000,$B707),"★ Cash cow – handmatig onderzoeken",""))</f>
        <v/>
      </c>
    </row>
    <row r="708" customFormat="false" ht="14.25" hidden="false" customHeight="true" outlineLevel="0" collapsed="false">
      <c r="A708" s="4"/>
      <c r="B708" s="5"/>
      <c r="C708" s="5"/>
      <c r="D708" s="5"/>
      <c r="E708" s="6"/>
      <c r="F708" s="7"/>
      <c r="G708" s="8"/>
      <c r="H708" s="7"/>
      <c r="I708" s="7"/>
      <c r="J708" s="6"/>
      <c r="K708" s="9" t="str">
        <f aca="false">IF(OR($J708="",$J708=0),"",$I708/$J708)</f>
        <v/>
      </c>
      <c r="L708" s="9" t="str">
        <f aca="false">IF(OR($E708="",$E708=0),"",$H708/$E708)</f>
        <v/>
      </c>
      <c r="M708" s="10" t="str">
        <f aca="false">IF(OR($L708="",$L708=0),"",($I708/30)/$L708)</f>
        <v/>
      </c>
      <c r="N708" s="8"/>
      <c r="O708" s="11" t="str">
        <f aca="false">IF(OR($I708="",$N708=""),"",($I708/1000)*$N708)</f>
        <v/>
      </c>
      <c r="P708" s="12" t="str">
        <f aca="false">IF($C708="","",IFERROR(ROUND(MIN(25,($N708/Instellingen!$B$3)*25)+MIN(25,($I708/Instellingen!$B$4)*25)+MIN(25,($J708/Instellingen!$B$5)*25)+MIN(25,(IF($M708="",0,$M708)/Instellingen!$B$6)*25),0),""))</f>
        <v/>
      </c>
      <c r="Q708" s="13" t="str">
        <f aca="false">IF($P708="","",IF($P708&gt;=Instellingen!$B$7,"Sterke niche",IF($P708&gt;=Instellingen!$B$8,"Belofte - opvolgen",IF($P708&gt;=Instellingen!$B$9,"Zwak - twijfel","Vermijden"))))</f>
        <v/>
      </c>
      <c r="R708" s="5"/>
      <c r="T708" s="1" t="str">
        <f aca="false">IF($C708="","",IF($P708=_xlfn.MAXIFS($P$3:$P$1000,$B$3:$B$1000,$B708),"★ Cash cow – handmatig onderzoeken",""))</f>
        <v/>
      </c>
    </row>
    <row r="709" customFormat="false" ht="14.25" hidden="false" customHeight="true" outlineLevel="0" collapsed="false">
      <c r="A709" s="4"/>
      <c r="B709" s="5"/>
      <c r="C709" s="5"/>
      <c r="D709" s="5"/>
      <c r="E709" s="6"/>
      <c r="F709" s="7"/>
      <c r="G709" s="8"/>
      <c r="H709" s="7"/>
      <c r="I709" s="7"/>
      <c r="J709" s="6"/>
      <c r="K709" s="9" t="str">
        <f aca="false">IF(OR($J709="",$J709=0),"",$I709/$J709)</f>
        <v/>
      </c>
      <c r="L709" s="9" t="str">
        <f aca="false">IF(OR($E709="",$E709=0),"",$H709/$E709)</f>
        <v/>
      </c>
      <c r="M709" s="10" t="str">
        <f aca="false">IF(OR($L709="",$L709=0),"",($I709/30)/$L709)</f>
        <v/>
      </c>
      <c r="N709" s="8"/>
      <c r="O709" s="11" t="str">
        <f aca="false">IF(OR($I709="",$N709=""),"",($I709/1000)*$N709)</f>
        <v/>
      </c>
      <c r="P709" s="12" t="str">
        <f aca="false">IF($C709="","",IFERROR(ROUND(MIN(25,($N709/Instellingen!$B$3)*25)+MIN(25,($I709/Instellingen!$B$4)*25)+MIN(25,($J709/Instellingen!$B$5)*25)+MIN(25,(IF($M709="",0,$M709)/Instellingen!$B$6)*25),0),""))</f>
        <v/>
      </c>
      <c r="Q709" s="13" t="str">
        <f aca="false">IF($P709="","",IF($P709&gt;=Instellingen!$B$7,"Sterke niche",IF($P709&gt;=Instellingen!$B$8,"Belofte - opvolgen",IF($P709&gt;=Instellingen!$B$9,"Zwak - twijfel","Vermijden"))))</f>
        <v/>
      </c>
      <c r="R709" s="5"/>
      <c r="T709" s="1" t="str">
        <f aca="false">IF($C709="","",IF($P709=_xlfn.MAXIFS($P$3:$P$1000,$B$3:$B$1000,$B709),"★ Cash cow – handmatig onderzoeken",""))</f>
        <v/>
      </c>
    </row>
    <row r="710" customFormat="false" ht="14.25" hidden="false" customHeight="true" outlineLevel="0" collapsed="false">
      <c r="A710" s="4"/>
      <c r="B710" s="5"/>
      <c r="C710" s="5"/>
      <c r="D710" s="5"/>
      <c r="E710" s="6"/>
      <c r="F710" s="7"/>
      <c r="G710" s="8"/>
      <c r="H710" s="7"/>
      <c r="I710" s="7"/>
      <c r="J710" s="6"/>
      <c r="K710" s="9" t="str">
        <f aca="false">IF(OR($J710="",$J710=0),"",$I710/$J710)</f>
        <v/>
      </c>
      <c r="L710" s="9" t="str">
        <f aca="false">IF(OR($E710="",$E710=0),"",$H710/$E710)</f>
        <v/>
      </c>
      <c r="M710" s="10" t="str">
        <f aca="false">IF(OR($L710="",$L710=0),"",($I710/30)/$L710)</f>
        <v/>
      </c>
      <c r="N710" s="8"/>
      <c r="O710" s="11" t="str">
        <f aca="false">IF(OR($I710="",$N710=""),"",($I710/1000)*$N710)</f>
        <v/>
      </c>
      <c r="P710" s="12" t="str">
        <f aca="false">IF($C710="","",IFERROR(ROUND(MIN(25,($N710/Instellingen!$B$3)*25)+MIN(25,($I710/Instellingen!$B$4)*25)+MIN(25,($J710/Instellingen!$B$5)*25)+MIN(25,(IF($M710="",0,$M710)/Instellingen!$B$6)*25),0),""))</f>
        <v/>
      </c>
      <c r="Q710" s="13" t="str">
        <f aca="false">IF($P710="","",IF($P710&gt;=Instellingen!$B$7,"Sterke niche",IF($P710&gt;=Instellingen!$B$8,"Belofte - opvolgen",IF($P710&gt;=Instellingen!$B$9,"Zwak - twijfel","Vermijden"))))</f>
        <v/>
      </c>
      <c r="R710" s="5"/>
      <c r="T710" s="1" t="str">
        <f aca="false">IF($C710="","",IF($P710=_xlfn.MAXIFS($P$3:$P$1000,$B$3:$B$1000,$B710),"★ Cash cow – handmatig onderzoeken",""))</f>
        <v/>
      </c>
    </row>
    <row r="711" customFormat="false" ht="14.25" hidden="false" customHeight="true" outlineLevel="0" collapsed="false">
      <c r="A711" s="4"/>
      <c r="B711" s="5"/>
      <c r="C711" s="5"/>
      <c r="D711" s="5"/>
      <c r="E711" s="6"/>
      <c r="F711" s="7"/>
      <c r="G711" s="8"/>
      <c r="H711" s="7"/>
      <c r="I711" s="7"/>
      <c r="J711" s="6"/>
      <c r="K711" s="9" t="str">
        <f aca="false">IF(OR($J711="",$J711=0),"",$I711/$J711)</f>
        <v/>
      </c>
      <c r="L711" s="9" t="str">
        <f aca="false">IF(OR($E711="",$E711=0),"",$H711/$E711)</f>
        <v/>
      </c>
      <c r="M711" s="10" t="str">
        <f aca="false">IF(OR($L711="",$L711=0),"",($I711/30)/$L711)</f>
        <v/>
      </c>
      <c r="N711" s="8"/>
      <c r="O711" s="11" t="str">
        <f aca="false">IF(OR($I711="",$N711=""),"",($I711/1000)*$N711)</f>
        <v/>
      </c>
      <c r="P711" s="12" t="str">
        <f aca="false">IF($C711="","",IFERROR(ROUND(MIN(25,($N711/Instellingen!$B$3)*25)+MIN(25,($I711/Instellingen!$B$4)*25)+MIN(25,($J711/Instellingen!$B$5)*25)+MIN(25,(IF($M711="",0,$M711)/Instellingen!$B$6)*25),0),""))</f>
        <v/>
      </c>
      <c r="Q711" s="13" t="str">
        <f aca="false">IF($P711="","",IF($P711&gt;=Instellingen!$B$7,"Sterke niche",IF($P711&gt;=Instellingen!$B$8,"Belofte - opvolgen",IF($P711&gt;=Instellingen!$B$9,"Zwak - twijfel","Vermijden"))))</f>
        <v/>
      </c>
      <c r="R711" s="5"/>
      <c r="T711" s="1" t="str">
        <f aca="false">IF($C711="","",IF($P711=_xlfn.MAXIFS($P$3:$P$1000,$B$3:$B$1000,$B711),"★ Cash cow – handmatig onderzoeken",""))</f>
        <v/>
      </c>
    </row>
    <row r="712" customFormat="false" ht="14.25" hidden="false" customHeight="true" outlineLevel="0" collapsed="false">
      <c r="A712" s="4"/>
      <c r="B712" s="5"/>
      <c r="C712" s="5"/>
      <c r="D712" s="5"/>
      <c r="E712" s="6"/>
      <c r="F712" s="7"/>
      <c r="G712" s="8"/>
      <c r="H712" s="7"/>
      <c r="I712" s="7"/>
      <c r="J712" s="6"/>
      <c r="K712" s="9" t="str">
        <f aca="false">IF(OR($J712="",$J712=0),"",$I712/$J712)</f>
        <v/>
      </c>
      <c r="L712" s="9" t="str">
        <f aca="false">IF(OR($E712="",$E712=0),"",$H712/$E712)</f>
        <v/>
      </c>
      <c r="M712" s="10" t="str">
        <f aca="false">IF(OR($L712="",$L712=0),"",($I712/30)/$L712)</f>
        <v/>
      </c>
      <c r="N712" s="8"/>
      <c r="O712" s="11" t="str">
        <f aca="false">IF(OR($I712="",$N712=""),"",($I712/1000)*$N712)</f>
        <v/>
      </c>
      <c r="P712" s="12" t="str">
        <f aca="false">IF($C712="","",IFERROR(ROUND(MIN(25,($N712/Instellingen!$B$3)*25)+MIN(25,($I712/Instellingen!$B$4)*25)+MIN(25,($J712/Instellingen!$B$5)*25)+MIN(25,(IF($M712="",0,$M712)/Instellingen!$B$6)*25),0),""))</f>
        <v/>
      </c>
      <c r="Q712" s="13" t="str">
        <f aca="false">IF($P712="","",IF($P712&gt;=Instellingen!$B$7,"Sterke niche",IF($P712&gt;=Instellingen!$B$8,"Belofte - opvolgen",IF($P712&gt;=Instellingen!$B$9,"Zwak - twijfel","Vermijden"))))</f>
        <v/>
      </c>
      <c r="R712" s="5"/>
      <c r="T712" s="1" t="str">
        <f aca="false">IF($C712="","",IF($P712=_xlfn.MAXIFS($P$3:$P$1000,$B$3:$B$1000,$B712),"★ Cash cow – handmatig onderzoeken",""))</f>
        <v/>
      </c>
    </row>
    <row r="713" customFormat="false" ht="14.25" hidden="false" customHeight="true" outlineLevel="0" collapsed="false">
      <c r="A713" s="4"/>
      <c r="B713" s="5"/>
      <c r="C713" s="5"/>
      <c r="D713" s="5"/>
      <c r="E713" s="6"/>
      <c r="F713" s="7"/>
      <c r="G713" s="8"/>
      <c r="H713" s="7"/>
      <c r="I713" s="7"/>
      <c r="J713" s="6"/>
      <c r="K713" s="9" t="str">
        <f aca="false">IF(OR($J713="",$J713=0),"",$I713/$J713)</f>
        <v/>
      </c>
      <c r="L713" s="9" t="str">
        <f aca="false">IF(OR($E713="",$E713=0),"",$H713/$E713)</f>
        <v/>
      </c>
      <c r="M713" s="10" t="str">
        <f aca="false">IF(OR($L713="",$L713=0),"",($I713/30)/$L713)</f>
        <v/>
      </c>
      <c r="N713" s="8"/>
      <c r="O713" s="11" t="str">
        <f aca="false">IF(OR($I713="",$N713=""),"",($I713/1000)*$N713)</f>
        <v/>
      </c>
      <c r="P713" s="12" t="str">
        <f aca="false">IF($C713="","",IFERROR(ROUND(MIN(25,($N713/Instellingen!$B$3)*25)+MIN(25,($I713/Instellingen!$B$4)*25)+MIN(25,($J713/Instellingen!$B$5)*25)+MIN(25,(IF($M713="",0,$M713)/Instellingen!$B$6)*25),0),""))</f>
        <v/>
      </c>
      <c r="Q713" s="13" t="str">
        <f aca="false">IF($P713="","",IF($P713&gt;=Instellingen!$B$7,"Sterke niche",IF($P713&gt;=Instellingen!$B$8,"Belofte - opvolgen",IF($P713&gt;=Instellingen!$B$9,"Zwak - twijfel","Vermijden"))))</f>
        <v/>
      </c>
      <c r="R713" s="5"/>
      <c r="T713" s="1" t="str">
        <f aca="false">IF($C713="","",IF($P713=_xlfn.MAXIFS($P$3:$P$1000,$B$3:$B$1000,$B713),"★ Cash cow – handmatig onderzoeken",""))</f>
        <v/>
      </c>
    </row>
    <row r="714" customFormat="false" ht="14.25" hidden="false" customHeight="true" outlineLevel="0" collapsed="false">
      <c r="A714" s="4"/>
      <c r="B714" s="5"/>
      <c r="C714" s="5"/>
      <c r="D714" s="5"/>
      <c r="E714" s="6"/>
      <c r="F714" s="7"/>
      <c r="G714" s="8"/>
      <c r="H714" s="7"/>
      <c r="I714" s="7"/>
      <c r="J714" s="6"/>
      <c r="K714" s="9" t="str">
        <f aca="false">IF(OR($J714="",$J714=0),"",$I714/$J714)</f>
        <v/>
      </c>
      <c r="L714" s="9" t="str">
        <f aca="false">IF(OR($E714="",$E714=0),"",$H714/$E714)</f>
        <v/>
      </c>
      <c r="M714" s="10" t="str">
        <f aca="false">IF(OR($L714="",$L714=0),"",($I714/30)/$L714)</f>
        <v/>
      </c>
      <c r="N714" s="8"/>
      <c r="O714" s="11" t="str">
        <f aca="false">IF(OR($I714="",$N714=""),"",($I714/1000)*$N714)</f>
        <v/>
      </c>
      <c r="P714" s="12" t="str">
        <f aca="false">IF($C714="","",IFERROR(ROUND(MIN(25,($N714/Instellingen!$B$3)*25)+MIN(25,($I714/Instellingen!$B$4)*25)+MIN(25,($J714/Instellingen!$B$5)*25)+MIN(25,(IF($M714="",0,$M714)/Instellingen!$B$6)*25),0),""))</f>
        <v/>
      </c>
      <c r="Q714" s="13" t="str">
        <f aca="false">IF($P714="","",IF($P714&gt;=Instellingen!$B$7,"Sterke niche",IF($P714&gt;=Instellingen!$B$8,"Belofte - opvolgen",IF($P714&gt;=Instellingen!$B$9,"Zwak - twijfel","Vermijden"))))</f>
        <v/>
      </c>
      <c r="R714" s="5"/>
      <c r="T714" s="1" t="str">
        <f aca="false">IF($C714="","",IF($P714=_xlfn.MAXIFS($P$3:$P$1000,$B$3:$B$1000,$B714),"★ Cash cow – handmatig onderzoeken",""))</f>
        <v/>
      </c>
    </row>
    <row r="715" customFormat="false" ht="14.25" hidden="false" customHeight="true" outlineLevel="0" collapsed="false">
      <c r="A715" s="4"/>
      <c r="B715" s="5"/>
      <c r="C715" s="5"/>
      <c r="D715" s="5"/>
      <c r="E715" s="6"/>
      <c r="F715" s="7"/>
      <c r="G715" s="8"/>
      <c r="H715" s="7"/>
      <c r="I715" s="7"/>
      <c r="J715" s="6"/>
      <c r="K715" s="9" t="str">
        <f aca="false">IF(OR($J715="",$J715=0),"",$I715/$J715)</f>
        <v/>
      </c>
      <c r="L715" s="9" t="str">
        <f aca="false">IF(OR($E715="",$E715=0),"",$H715/$E715)</f>
        <v/>
      </c>
      <c r="M715" s="10" t="str">
        <f aca="false">IF(OR($L715="",$L715=0),"",($I715/30)/$L715)</f>
        <v/>
      </c>
      <c r="N715" s="8"/>
      <c r="O715" s="11" t="str">
        <f aca="false">IF(OR($I715="",$N715=""),"",($I715/1000)*$N715)</f>
        <v/>
      </c>
      <c r="P715" s="12" t="str">
        <f aca="false">IF($C715="","",IFERROR(ROUND(MIN(25,($N715/Instellingen!$B$3)*25)+MIN(25,($I715/Instellingen!$B$4)*25)+MIN(25,($J715/Instellingen!$B$5)*25)+MIN(25,(IF($M715="",0,$M715)/Instellingen!$B$6)*25),0),""))</f>
        <v/>
      </c>
      <c r="Q715" s="13" t="str">
        <f aca="false">IF($P715="","",IF($P715&gt;=Instellingen!$B$7,"Sterke niche",IF($P715&gt;=Instellingen!$B$8,"Belofte - opvolgen",IF($P715&gt;=Instellingen!$B$9,"Zwak - twijfel","Vermijden"))))</f>
        <v/>
      </c>
      <c r="R715" s="5"/>
      <c r="T715" s="1" t="str">
        <f aca="false">IF($C715="","",IF($P715=_xlfn.MAXIFS($P$3:$P$1000,$B$3:$B$1000,$B715),"★ Cash cow – handmatig onderzoeken",""))</f>
        <v/>
      </c>
    </row>
    <row r="716" customFormat="false" ht="14.25" hidden="false" customHeight="true" outlineLevel="0" collapsed="false">
      <c r="A716" s="4"/>
      <c r="B716" s="5"/>
      <c r="C716" s="5"/>
      <c r="D716" s="5"/>
      <c r="E716" s="6"/>
      <c r="F716" s="7"/>
      <c r="G716" s="8"/>
      <c r="H716" s="7"/>
      <c r="I716" s="7"/>
      <c r="J716" s="6"/>
      <c r="K716" s="9" t="str">
        <f aca="false">IF(OR($J716="",$J716=0),"",$I716/$J716)</f>
        <v/>
      </c>
      <c r="L716" s="9" t="str">
        <f aca="false">IF(OR($E716="",$E716=0),"",$H716/$E716)</f>
        <v/>
      </c>
      <c r="M716" s="10" t="str">
        <f aca="false">IF(OR($L716="",$L716=0),"",($I716/30)/$L716)</f>
        <v/>
      </c>
      <c r="N716" s="8"/>
      <c r="O716" s="11" t="str">
        <f aca="false">IF(OR($I716="",$N716=""),"",($I716/1000)*$N716)</f>
        <v/>
      </c>
      <c r="P716" s="12" t="str">
        <f aca="false">IF($C716="","",IFERROR(ROUND(MIN(25,($N716/Instellingen!$B$3)*25)+MIN(25,($I716/Instellingen!$B$4)*25)+MIN(25,($J716/Instellingen!$B$5)*25)+MIN(25,(IF($M716="",0,$M716)/Instellingen!$B$6)*25),0),""))</f>
        <v/>
      </c>
      <c r="Q716" s="13" t="str">
        <f aca="false">IF($P716="","",IF($P716&gt;=Instellingen!$B$7,"Sterke niche",IF($P716&gt;=Instellingen!$B$8,"Belofte - opvolgen",IF($P716&gt;=Instellingen!$B$9,"Zwak - twijfel","Vermijden"))))</f>
        <v/>
      </c>
      <c r="R716" s="5"/>
      <c r="T716" s="1" t="str">
        <f aca="false">IF($C716="","",IF($P716=_xlfn.MAXIFS($P$3:$P$1000,$B$3:$B$1000,$B716),"★ Cash cow – handmatig onderzoeken",""))</f>
        <v/>
      </c>
    </row>
    <row r="717" customFormat="false" ht="14.25" hidden="false" customHeight="true" outlineLevel="0" collapsed="false">
      <c r="A717" s="4"/>
      <c r="B717" s="5"/>
      <c r="C717" s="5"/>
      <c r="D717" s="5"/>
      <c r="E717" s="6"/>
      <c r="F717" s="7"/>
      <c r="G717" s="8"/>
      <c r="H717" s="7"/>
      <c r="I717" s="7"/>
      <c r="J717" s="6"/>
      <c r="K717" s="9" t="str">
        <f aca="false">IF(OR($J717="",$J717=0),"",$I717/$J717)</f>
        <v/>
      </c>
      <c r="L717" s="9" t="str">
        <f aca="false">IF(OR($E717="",$E717=0),"",$H717/$E717)</f>
        <v/>
      </c>
      <c r="M717" s="10" t="str">
        <f aca="false">IF(OR($L717="",$L717=0),"",($I717/30)/$L717)</f>
        <v/>
      </c>
      <c r="N717" s="8"/>
      <c r="O717" s="11" t="str">
        <f aca="false">IF(OR($I717="",$N717=""),"",($I717/1000)*$N717)</f>
        <v/>
      </c>
      <c r="P717" s="12" t="str">
        <f aca="false">IF($C717="","",IFERROR(ROUND(MIN(25,($N717/Instellingen!$B$3)*25)+MIN(25,($I717/Instellingen!$B$4)*25)+MIN(25,($J717/Instellingen!$B$5)*25)+MIN(25,(IF($M717="",0,$M717)/Instellingen!$B$6)*25),0),""))</f>
        <v/>
      </c>
      <c r="Q717" s="13" t="str">
        <f aca="false">IF($P717="","",IF($P717&gt;=Instellingen!$B$7,"Sterke niche",IF($P717&gt;=Instellingen!$B$8,"Belofte - opvolgen",IF($P717&gt;=Instellingen!$B$9,"Zwak - twijfel","Vermijden"))))</f>
        <v/>
      </c>
      <c r="R717" s="5"/>
      <c r="T717" s="1" t="str">
        <f aca="false">IF($C717="","",IF($P717=_xlfn.MAXIFS($P$3:$P$1000,$B$3:$B$1000,$B717),"★ Cash cow – handmatig onderzoeken",""))</f>
        <v/>
      </c>
    </row>
    <row r="718" customFormat="false" ht="14.25" hidden="false" customHeight="true" outlineLevel="0" collapsed="false">
      <c r="A718" s="4"/>
      <c r="B718" s="5"/>
      <c r="C718" s="5"/>
      <c r="D718" s="5"/>
      <c r="E718" s="6"/>
      <c r="F718" s="7"/>
      <c r="G718" s="8"/>
      <c r="H718" s="7"/>
      <c r="I718" s="7"/>
      <c r="J718" s="6"/>
      <c r="K718" s="9" t="str">
        <f aca="false">IF(OR($J718="",$J718=0),"",$I718/$J718)</f>
        <v/>
      </c>
      <c r="L718" s="9" t="str">
        <f aca="false">IF(OR($E718="",$E718=0),"",$H718/$E718)</f>
        <v/>
      </c>
      <c r="M718" s="10" t="str">
        <f aca="false">IF(OR($L718="",$L718=0),"",($I718/30)/$L718)</f>
        <v/>
      </c>
      <c r="N718" s="8"/>
      <c r="O718" s="11" t="str">
        <f aca="false">IF(OR($I718="",$N718=""),"",($I718/1000)*$N718)</f>
        <v/>
      </c>
      <c r="P718" s="12" t="str">
        <f aca="false">IF($C718="","",IFERROR(ROUND(MIN(25,($N718/Instellingen!$B$3)*25)+MIN(25,($I718/Instellingen!$B$4)*25)+MIN(25,($J718/Instellingen!$B$5)*25)+MIN(25,(IF($M718="",0,$M718)/Instellingen!$B$6)*25),0),""))</f>
        <v/>
      </c>
      <c r="Q718" s="13" t="str">
        <f aca="false">IF($P718="","",IF($P718&gt;=Instellingen!$B$7,"Sterke niche",IF($P718&gt;=Instellingen!$B$8,"Belofte - opvolgen",IF($P718&gt;=Instellingen!$B$9,"Zwak - twijfel","Vermijden"))))</f>
        <v/>
      </c>
      <c r="R718" s="5"/>
      <c r="T718" s="1" t="str">
        <f aca="false">IF($C718="","",IF($P718=_xlfn.MAXIFS($P$3:$P$1000,$B$3:$B$1000,$B718),"★ Cash cow – handmatig onderzoeken",""))</f>
        <v/>
      </c>
    </row>
    <row r="719" customFormat="false" ht="14.25" hidden="false" customHeight="true" outlineLevel="0" collapsed="false">
      <c r="A719" s="4"/>
      <c r="B719" s="5"/>
      <c r="C719" s="5"/>
      <c r="D719" s="5"/>
      <c r="E719" s="6"/>
      <c r="F719" s="7"/>
      <c r="G719" s="8"/>
      <c r="H719" s="7"/>
      <c r="I719" s="7"/>
      <c r="J719" s="6"/>
      <c r="K719" s="9" t="str">
        <f aca="false">IF(OR($J719="",$J719=0),"",$I719/$J719)</f>
        <v/>
      </c>
      <c r="L719" s="9" t="str">
        <f aca="false">IF(OR($E719="",$E719=0),"",$H719/$E719)</f>
        <v/>
      </c>
      <c r="M719" s="10" t="str">
        <f aca="false">IF(OR($L719="",$L719=0),"",($I719/30)/$L719)</f>
        <v/>
      </c>
      <c r="N719" s="8"/>
      <c r="O719" s="11" t="str">
        <f aca="false">IF(OR($I719="",$N719=""),"",($I719/1000)*$N719)</f>
        <v/>
      </c>
      <c r="P719" s="12" t="str">
        <f aca="false">IF($C719="","",IFERROR(ROUND(MIN(25,($N719/Instellingen!$B$3)*25)+MIN(25,($I719/Instellingen!$B$4)*25)+MIN(25,($J719/Instellingen!$B$5)*25)+MIN(25,(IF($M719="",0,$M719)/Instellingen!$B$6)*25),0),""))</f>
        <v/>
      </c>
      <c r="Q719" s="13" t="str">
        <f aca="false">IF($P719="","",IF($P719&gt;=Instellingen!$B$7,"Sterke niche",IF($P719&gt;=Instellingen!$B$8,"Belofte - opvolgen",IF($P719&gt;=Instellingen!$B$9,"Zwak - twijfel","Vermijden"))))</f>
        <v/>
      </c>
      <c r="R719" s="5"/>
      <c r="T719" s="1" t="str">
        <f aca="false">IF($C719="","",IF($P719=_xlfn.MAXIFS($P$3:$P$1000,$B$3:$B$1000,$B719),"★ Cash cow – handmatig onderzoeken",""))</f>
        <v/>
      </c>
    </row>
    <row r="720" customFormat="false" ht="14.25" hidden="false" customHeight="true" outlineLevel="0" collapsed="false">
      <c r="A720" s="4"/>
      <c r="B720" s="5"/>
      <c r="C720" s="5"/>
      <c r="D720" s="5"/>
      <c r="E720" s="6"/>
      <c r="F720" s="7"/>
      <c r="G720" s="8"/>
      <c r="H720" s="7"/>
      <c r="I720" s="7"/>
      <c r="J720" s="6"/>
      <c r="K720" s="9" t="str">
        <f aca="false">IF(OR($J720="",$J720=0),"",$I720/$J720)</f>
        <v/>
      </c>
      <c r="L720" s="9" t="str">
        <f aca="false">IF(OR($E720="",$E720=0),"",$H720/$E720)</f>
        <v/>
      </c>
      <c r="M720" s="10" t="str">
        <f aca="false">IF(OR($L720="",$L720=0),"",($I720/30)/$L720)</f>
        <v/>
      </c>
      <c r="N720" s="8"/>
      <c r="O720" s="11" t="str">
        <f aca="false">IF(OR($I720="",$N720=""),"",($I720/1000)*$N720)</f>
        <v/>
      </c>
      <c r="P720" s="12" t="str">
        <f aca="false">IF($C720="","",IFERROR(ROUND(MIN(25,($N720/Instellingen!$B$3)*25)+MIN(25,($I720/Instellingen!$B$4)*25)+MIN(25,($J720/Instellingen!$B$5)*25)+MIN(25,(IF($M720="",0,$M720)/Instellingen!$B$6)*25),0),""))</f>
        <v/>
      </c>
      <c r="Q720" s="13" t="str">
        <f aca="false">IF($P720="","",IF($P720&gt;=Instellingen!$B$7,"Sterke niche",IF($P720&gt;=Instellingen!$B$8,"Belofte - opvolgen",IF($P720&gt;=Instellingen!$B$9,"Zwak - twijfel","Vermijden"))))</f>
        <v/>
      </c>
      <c r="R720" s="5"/>
      <c r="T720" s="1" t="str">
        <f aca="false">IF($C720="","",IF($P720=_xlfn.MAXIFS($P$3:$P$1000,$B$3:$B$1000,$B720),"★ Cash cow – handmatig onderzoeken",""))</f>
        <v/>
      </c>
    </row>
    <row r="721" customFormat="false" ht="14.25" hidden="false" customHeight="true" outlineLevel="0" collapsed="false">
      <c r="A721" s="4"/>
      <c r="B721" s="5"/>
      <c r="C721" s="5"/>
      <c r="D721" s="5"/>
      <c r="E721" s="6"/>
      <c r="F721" s="7"/>
      <c r="G721" s="8"/>
      <c r="H721" s="7"/>
      <c r="I721" s="7"/>
      <c r="J721" s="6"/>
      <c r="K721" s="9" t="str">
        <f aca="false">IF(OR($J721="",$J721=0),"",$I721/$J721)</f>
        <v/>
      </c>
      <c r="L721" s="9" t="str">
        <f aca="false">IF(OR($E721="",$E721=0),"",$H721/$E721)</f>
        <v/>
      </c>
      <c r="M721" s="10" t="str">
        <f aca="false">IF(OR($L721="",$L721=0),"",($I721/30)/$L721)</f>
        <v/>
      </c>
      <c r="N721" s="8"/>
      <c r="O721" s="11" t="str">
        <f aca="false">IF(OR($I721="",$N721=""),"",($I721/1000)*$N721)</f>
        <v/>
      </c>
      <c r="P721" s="12" t="str">
        <f aca="false">IF($C721="","",IFERROR(ROUND(MIN(25,($N721/Instellingen!$B$3)*25)+MIN(25,($I721/Instellingen!$B$4)*25)+MIN(25,($J721/Instellingen!$B$5)*25)+MIN(25,(IF($M721="",0,$M721)/Instellingen!$B$6)*25),0),""))</f>
        <v/>
      </c>
      <c r="Q721" s="13" t="str">
        <f aca="false">IF($P721="","",IF($P721&gt;=Instellingen!$B$7,"Sterke niche",IF($P721&gt;=Instellingen!$B$8,"Belofte - opvolgen",IF($P721&gt;=Instellingen!$B$9,"Zwak - twijfel","Vermijden"))))</f>
        <v/>
      </c>
      <c r="R721" s="5"/>
      <c r="T721" s="1" t="str">
        <f aca="false">IF($C721="","",IF($P721=_xlfn.MAXIFS($P$3:$P$1000,$B$3:$B$1000,$B721),"★ Cash cow – handmatig onderzoeken",""))</f>
        <v/>
      </c>
    </row>
    <row r="722" customFormat="false" ht="14.25" hidden="false" customHeight="true" outlineLevel="0" collapsed="false">
      <c r="A722" s="4"/>
      <c r="B722" s="5"/>
      <c r="C722" s="5"/>
      <c r="D722" s="5"/>
      <c r="E722" s="6"/>
      <c r="F722" s="7"/>
      <c r="G722" s="8"/>
      <c r="H722" s="7"/>
      <c r="I722" s="7"/>
      <c r="J722" s="6"/>
      <c r="K722" s="9" t="str">
        <f aca="false">IF(OR($J722="",$J722=0),"",$I722/$J722)</f>
        <v/>
      </c>
      <c r="L722" s="9" t="str">
        <f aca="false">IF(OR($E722="",$E722=0),"",$H722/$E722)</f>
        <v/>
      </c>
      <c r="M722" s="10" t="str">
        <f aca="false">IF(OR($L722="",$L722=0),"",($I722/30)/$L722)</f>
        <v/>
      </c>
      <c r="N722" s="8"/>
      <c r="O722" s="11" t="str">
        <f aca="false">IF(OR($I722="",$N722=""),"",($I722/1000)*$N722)</f>
        <v/>
      </c>
      <c r="P722" s="12" t="str">
        <f aca="false">IF($C722="","",IFERROR(ROUND(MIN(25,($N722/Instellingen!$B$3)*25)+MIN(25,($I722/Instellingen!$B$4)*25)+MIN(25,($J722/Instellingen!$B$5)*25)+MIN(25,(IF($M722="",0,$M722)/Instellingen!$B$6)*25),0),""))</f>
        <v/>
      </c>
      <c r="Q722" s="13" t="str">
        <f aca="false">IF($P722="","",IF($P722&gt;=Instellingen!$B$7,"Sterke niche",IF($P722&gt;=Instellingen!$B$8,"Belofte - opvolgen",IF($P722&gt;=Instellingen!$B$9,"Zwak - twijfel","Vermijden"))))</f>
        <v/>
      </c>
      <c r="R722" s="5"/>
      <c r="T722" s="1" t="str">
        <f aca="false">IF($C722="","",IF($P722=_xlfn.MAXIFS($P$3:$P$1000,$B$3:$B$1000,$B722),"★ Cash cow – handmatig onderzoeken",""))</f>
        <v/>
      </c>
    </row>
    <row r="723" customFormat="false" ht="14.25" hidden="false" customHeight="true" outlineLevel="0" collapsed="false">
      <c r="A723" s="4"/>
      <c r="B723" s="5"/>
      <c r="C723" s="5"/>
      <c r="D723" s="5"/>
      <c r="E723" s="6"/>
      <c r="F723" s="7"/>
      <c r="G723" s="8"/>
      <c r="H723" s="7"/>
      <c r="I723" s="7"/>
      <c r="J723" s="6"/>
      <c r="K723" s="9" t="str">
        <f aca="false">IF(OR($J723="",$J723=0),"",$I723/$J723)</f>
        <v/>
      </c>
      <c r="L723" s="9" t="str">
        <f aca="false">IF(OR($E723="",$E723=0),"",$H723/$E723)</f>
        <v/>
      </c>
      <c r="M723" s="10" t="str">
        <f aca="false">IF(OR($L723="",$L723=0),"",($I723/30)/$L723)</f>
        <v/>
      </c>
      <c r="N723" s="8"/>
      <c r="O723" s="11" t="str">
        <f aca="false">IF(OR($I723="",$N723=""),"",($I723/1000)*$N723)</f>
        <v/>
      </c>
      <c r="P723" s="12" t="str">
        <f aca="false">IF($C723="","",IFERROR(ROUND(MIN(25,($N723/Instellingen!$B$3)*25)+MIN(25,($I723/Instellingen!$B$4)*25)+MIN(25,($J723/Instellingen!$B$5)*25)+MIN(25,(IF($M723="",0,$M723)/Instellingen!$B$6)*25),0),""))</f>
        <v/>
      </c>
      <c r="Q723" s="13" t="str">
        <f aca="false">IF($P723="","",IF($P723&gt;=Instellingen!$B$7,"Sterke niche",IF($P723&gt;=Instellingen!$B$8,"Belofte - opvolgen",IF($P723&gt;=Instellingen!$B$9,"Zwak - twijfel","Vermijden"))))</f>
        <v/>
      </c>
      <c r="R723" s="5"/>
      <c r="T723" s="1" t="str">
        <f aca="false">IF($C723="","",IF($P723=_xlfn.MAXIFS($P$3:$P$1000,$B$3:$B$1000,$B723),"★ Cash cow – handmatig onderzoeken",""))</f>
        <v/>
      </c>
    </row>
    <row r="724" customFormat="false" ht="14.25" hidden="false" customHeight="true" outlineLevel="0" collapsed="false">
      <c r="A724" s="4"/>
      <c r="B724" s="5"/>
      <c r="C724" s="5"/>
      <c r="D724" s="5"/>
      <c r="E724" s="6"/>
      <c r="F724" s="7"/>
      <c r="G724" s="8"/>
      <c r="H724" s="7"/>
      <c r="I724" s="7"/>
      <c r="J724" s="6"/>
      <c r="K724" s="9" t="str">
        <f aca="false">IF(OR($J724="",$J724=0),"",$I724/$J724)</f>
        <v/>
      </c>
      <c r="L724" s="9" t="str">
        <f aca="false">IF(OR($E724="",$E724=0),"",$H724/$E724)</f>
        <v/>
      </c>
      <c r="M724" s="10" t="str">
        <f aca="false">IF(OR($L724="",$L724=0),"",($I724/30)/$L724)</f>
        <v/>
      </c>
      <c r="N724" s="8"/>
      <c r="O724" s="11" t="str">
        <f aca="false">IF(OR($I724="",$N724=""),"",($I724/1000)*$N724)</f>
        <v/>
      </c>
      <c r="P724" s="12" t="str">
        <f aca="false">IF($C724="","",IFERROR(ROUND(MIN(25,($N724/Instellingen!$B$3)*25)+MIN(25,($I724/Instellingen!$B$4)*25)+MIN(25,($J724/Instellingen!$B$5)*25)+MIN(25,(IF($M724="",0,$M724)/Instellingen!$B$6)*25),0),""))</f>
        <v/>
      </c>
      <c r="Q724" s="13" t="str">
        <f aca="false">IF($P724="","",IF($P724&gt;=Instellingen!$B$7,"Sterke niche",IF($P724&gt;=Instellingen!$B$8,"Belofte - opvolgen",IF($P724&gt;=Instellingen!$B$9,"Zwak - twijfel","Vermijden"))))</f>
        <v/>
      </c>
      <c r="R724" s="5"/>
      <c r="T724" s="1" t="str">
        <f aca="false">IF($C724="","",IF($P724=_xlfn.MAXIFS($P$3:$P$1000,$B$3:$B$1000,$B724),"★ Cash cow – handmatig onderzoeken",""))</f>
        <v/>
      </c>
    </row>
    <row r="725" customFormat="false" ht="14.25" hidden="false" customHeight="true" outlineLevel="0" collapsed="false">
      <c r="A725" s="4"/>
      <c r="B725" s="5"/>
      <c r="C725" s="5"/>
      <c r="D725" s="5"/>
      <c r="E725" s="6"/>
      <c r="F725" s="7"/>
      <c r="G725" s="8"/>
      <c r="H725" s="7"/>
      <c r="I725" s="7"/>
      <c r="J725" s="6"/>
      <c r="K725" s="9" t="str">
        <f aca="false">IF(OR($J725="",$J725=0),"",$I725/$J725)</f>
        <v/>
      </c>
      <c r="L725" s="9" t="str">
        <f aca="false">IF(OR($E725="",$E725=0),"",$H725/$E725)</f>
        <v/>
      </c>
      <c r="M725" s="10" t="str">
        <f aca="false">IF(OR($L725="",$L725=0),"",($I725/30)/$L725)</f>
        <v/>
      </c>
      <c r="N725" s="8"/>
      <c r="O725" s="11" t="str">
        <f aca="false">IF(OR($I725="",$N725=""),"",($I725/1000)*$N725)</f>
        <v/>
      </c>
      <c r="P725" s="12" t="str">
        <f aca="false">IF($C725="","",IFERROR(ROUND(MIN(25,($N725/Instellingen!$B$3)*25)+MIN(25,($I725/Instellingen!$B$4)*25)+MIN(25,($J725/Instellingen!$B$5)*25)+MIN(25,(IF($M725="",0,$M725)/Instellingen!$B$6)*25),0),""))</f>
        <v/>
      </c>
      <c r="Q725" s="13" t="str">
        <f aca="false">IF($P725="","",IF($P725&gt;=Instellingen!$B$7,"Sterke niche",IF($P725&gt;=Instellingen!$B$8,"Belofte - opvolgen",IF($P725&gt;=Instellingen!$B$9,"Zwak - twijfel","Vermijden"))))</f>
        <v/>
      </c>
      <c r="R725" s="5"/>
      <c r="T725" s="1" t="str">
        <f aca="false">IF($C725="","",IF($P725=_xlfn.MAXIFS($P$3:$P$1000,$B$3:$B$1000,$B725),"★ Cash cow – handmatig onderzoeken",""))</f>
        <v/>
      </c>
    </row>
    <row r="726" customFormat="false" ht="14.25" hidden="false" customHeight="true" outlineLevel="0" collapsed="false">
      <c r="A726" s="4"/>
      <c r="B726" s="5"/>
      <c r="C726" s="5"/>
      <c r="D726" s="5"/>
      <c r="E726" s="6"/>
      <c r="F726" s="7"/>
      <c r="G726" s="8"/>
      <c r="H726" s="7"/>
      <c r="I726" s="7"/>
      <c r="J726" s="6"/>
      <c r="K726" s="9" t="str">
        <f aca="false">IF(OR($J726="",$J726=0),"",$I726/$J726)</f>
        <v/>
      </c>
      <c r="L726" s="9" t="str">
        <f aca="false">IF(OR($E726="",$E726=0),"",$H726/$E726)</f>
        <v/>
      </c>
      <c r="M726" s="10" t="str">
        <f aca="false">IF(OR($L726="",$L726=0),"",($I726/30)/$L726)</f>
        <v/>
      </c>
      <c r="N726" s="8"/>
      <c r="O726" s="11" t="str">
        <f aca="false">IF(OR($I726="",$N726=""),"",($I726/1000)*$N726)</f>
        <v/>
      </c>
      <c r="P726" s="12" t="str">
        <f aca="false">IF($C726="","",IFERROR(ROUND(MIN(25,($N726/Instellingen!$B$3)*25)+MIN(25,($I726/Instellingen!$B$4)*25)+MIN(25,($J726/Instellingen!$B$5)*25)+MIN(25,(IF($M726="",0,$M726)/Instellingen!$B$6)*25),0),""))</f>
        <v/>
      </c>
      <c r="Q726" s="13" t="str">
        <f aca="false">IF($P726="","",IF($P726&gt;=Instellingen!$B$7,"Sterke niche",IF($P726&gt;=Instellingen!$B$8,"Belofte - opvolgen",IF($P726&gt;=Instellingen!$B$9,"Zwak - twijfel","Vermijden"))))</f>
        <v/>
      </c>
      <c r="R726" s="5"/>
      <c r="T726" s="1" t="str">
        <f aca="false">IF($C726="","",IF($P726=_xlfn.MAXIFS($P$3:$P$1000,$B$3:$B$1000,$B726),"★ Cash cow – handmatig onderzoeken",""))</f>
        <v/>
      </c>
    </row>
    <row r="727" customFormat="false" ht="14.25" hidden="false" customHeight="true" outlineLevel="0" collapsed="false">
      <c r="A727" s="4"/>
      <c r="B727" s="5"/>
      <c r="C727" s="5"/>
      <c r="D727" s="5"/>
      <c r="E727" s="6"/>
      <c r="F727" s="7"/>
      <c r="G727" s="8"/>
      <c r="H727" s="7"/>
      <c r="I727" s="7"/>
      <c r="J727" s="6"/>
      <c r="K727" s="9" t="str">
        <f aca="false">IF(OR($J727="",$J727=0),"",$I727/$J727)</f>
        <v/>
      </c>
      <c r="L727" s="9" t="str">
        <f aca="false">IF(OR($E727="",$E727=0),"",$H727/$E727)</f>
        <v/>
      </c>
      <c r="M727" s="10" t="str">
        <f aca="false">IF(OR($L727="",$L727=0),"",($I727/30)/$L727)</f>
        <v/>
      </c>
      <c r="N727" s="8"/>
      <c r="O727" s="11" t="str">
        <f aca="false">IF(OR($I727="",$N727=""),"",($I727/1000)*$N727)</f>
        <v/>
      </c>
      <c r="P727" s="12" t="str">
        <f aca="false">IF($C727="","",IFERROR(ROUND(MIN(25,($N727/Instellingen!$B$3)*25)+MIN(25,($I727/Instellingen!$B$4)*25)+MIN(25,($J727/Instellingen!$B$5)*25)+MIN(25,(IF($M727="",0,$M727)/Instellingen!$B$6)*25),0),""))</f>
        <v/>
      </c>
      <c r="Q727" s="13" t="str">
        <f aca="false">IF($P727="","",IF($P727&gt;=Instellingen!$B$7,"Sterke niche",IF($P727&gt;=Instellingen!$B$8,"Belofte - opvolgen",IF($P727&gt;=Instellingen!$B$9,"Zwak - twijfel","Vermijden"))))</f>
        <v/>
      </c>
      <c r="R727" s="5"/>
      <c r="T727" s="1" t="str">
        <f aca="false">IF($C727="","",IF($P727=_xlfn.MAXIFS($P$3:$P$1000,$B$3:$B$1000,$B727),"★ Cash cow – handmatig onderzoeken",""))</f>
        <v/>
      </c>
    </row>
    <row r="728" customFormat="false" ht="14.25" hidden="false" customHeight="true" outlineLevel="0" collapsed="false">
      <c r="A728" s="4"/>
      <c r="B728" s="5"/>
      <c r="C728" s="5"/>
      <c r="D728" s="5"/>
      <c r="E728" s="6"/>
      <c r="F728" s="7"/>
      <c r="G728" s="8"/>
      <c r="H728" s="7"/>
      <c r="I728" s="7"/>
      <c r="J728" s="6"/>
      <c r="K728" s="9" t="str">
        <f aca="false">IF(OR($J728="",$J728=0),"",$I728/$J728)</f>
        <v/>
      </c>
      <c r="L728" s="9" t="str">
        <f aca="false">IF(OR($E728="",$E728=0),"",$H728/$E728)</f>
        <v/>
      </c>
      <c r="M728" s="10" t="str">
        <f aca="false">IF(OR($L728="",$L728=0),"",($I728/30)/$L728)</f>
        <v/>
      </c>
      <c r="N728" s="8"/>
      <c r="O728" s="11" t="str">
        <f aca="false">IF(OR($I728="",$N728=""),"",($I728/1000)*$N728)</f>
        <v/>
      </c>
      <c r="P728" s="12" t="str">
        <f aca="false">IF($C728="","",IFERROR(ROUND(MIN(25,($N728/Instellingen!$B$3)*25)+MIN(25,($I728/Instellingen!$B$4)*25)+MIN(25,($J728/Instellingen!$B$5)*25)+MIN(25,(IF($M728="",0,$M728)/Instellingen!$B$6)*25),0),""))</f>
        <v/>
      </c>
      <c r="Q728" s="13" t="str">
        <f aca="false">IF($P728="","",IF($P728&gt;=Instellingen!$B$7,"Sterke niche",IF($P728&gt;=Instellingen!$B$8,"Belofte - opvolgen",IF($P728&gt;=Instellingen!$B$9,"Zwak - twijfel","Vermijden"))))</f>
        <v/>
      </c>
      <c r="R728" s="5"/>
      <c r="T728" s="1" t="str">
        <f aca="false">IF($C728="","",IF($P728=_xlfn.MAXIFS($P$3:$P$1000,$B$3:$B$1000,$B728),"★ Cash cow – handmatig onderzoeken",""))</f>
        <v/>
      </c>
    </row>
    <row r="729" customFormat="false" ht="14.25" hidden="false" customHeight="true" outlineLevel="0" collapsed="false">
      <c r="A729" s="4"/>
      <c r="B729" s="5"/>
      <c r="C729" s="5"/>
      <c r="D729" s="5"/>
      <c r="E729" s="6"/>
      <c r="F729" s="7"/>
      <c r="G729" s="8"/>
      <c r="H729" s="7"/>
      <c r="I729" s="7"/>
      <c r="J729" s="6"/>
      <c r="K729" s="9" t="str">
        <f aca="false">IF(OR($J729="",$J729=0),"",$I729/$J729)</f>
        <v/>
      </c>
      <c r="L729" s="9" t="str">
        <f aca="false">IF(OR($E729="",$E729=0),"",$H729/$E729)</f>
        <v/>
      </c>
      <c r="M729" s="10" t="str">
        <f aca="false">IF(OR($L729="",$L729=0),"",($I729/30)/$L729)</f>
        <v/>
      </c>
      <c r="N729" s="8"/>
      <c r="O729" s="11" t="str">
        <f aca="false">IF(OR($I729="",$N729=""),"",($I729/1000)*$N729)</f>
        <v/>
      </c>
      <c r="P729" s="12" t="str">
        <f aca="false">IF($C729="","",IFERROR(ROUND(MIN(25,($N729/Instellingen!$B$3)*25)+MIN(25,($I729/Instellingen!$B$4)*25)+MIN(25,($J729/Instellingen!$B$5)*25)+MIN(25,(IF($M729="",0,$M729)/Instellingen!$B$6)*25),0),""))</f>
        <v/>
      </c>
      <c r="Q729" s="13" t="str">
        <f aca="false">IF($P729="","",IF($P729&gt;=Instellingen!$B$7,"Sterke niche",IF($P729&gt;=Instellingen!$B$8,"Belofte - opvolgen",IF($P729&gt;=Instellingen!$B$9,"Zwak - twijfel","Vermijden"))))</f>
        <v/>
      </c>
      <c r="R729" s="5"/>
      <c r="T729" s="1" t="str">
        <f aca="false">IF($C729="","",IF($P729=_xlfn.MAXIFS($P$3:$P$1000,$B$3:$B$1000,$B729),"★ Cash cow – handmatig onderzoeken",""))</f>
        <v/>
      </c>
    </row>
    <row r="730" customFormat="false" ht="14.25" hidden="false" customHeight="true" outlineLevel="0" collapsed="false">
      <c r="A730" s="4"/>
      <c r="B730" s="5"/>
      <c r="C730" s="5"/>
      <c r="D730" s="5"/>
      <c r="E730" s="6"/>
      <c r="F730" s="7"/>
      <c r="G730" s="8"/>
      <c r="H730" s="7"/>
      <c r="I730" s="7"/>
      <c r="J730" s="6"/>
      <c r="K730" s="9" t="str">
        <f aca="false">IF(OR($J730="",$J730=0),"",$I730/$J730)</f>
        <v/>
      </c>
      <c r="L730" s="9" t="str">
        <f aca="false">IF(OR($E730="",$E730=0),"",$H730/$E730)</f>
        <v/>
      </c>
      <c r="M730" s="10" t="str">
        <f aca="false">IF(OR($L730="",$L730=0),"",($I730/30)/$L730)</f>
        <v/>
      </c>
      <c r="N730" s="8"/>
      <c r="O730" s="11" t="str">
        <f aca="false">IF(OR($I730="",$N730=""),"",($I730/1000)*$N730)</f>
        <v/>
      </c>
      <c r="P730" s="12" t="str">
        <f aca="false">IF($C730="","",IFERROR(ROUND(MIN(25,($N730/Instellingen!$B$3)*25)+MIN(25,($I730/Instellingen!$B$4)*25)+MIN(25,($J730/Instellingen!$B$5)*25)+MIN(25,(IF($M730="",0,$M730)/Instellingen!$B$6)*25),0),""))</f>
        <v/>
      </c>
      <c r="Q730" s="13" t="str">
        <f aca="false">IF($P730="","",IF($P730&gt;=Instellingen!$B$7,"Sterke niche",IF($P730&gt;=Instellingen!$B$8,"Belofte - opvolgen",IF($P730&gt;=Instellingen!$B$9,"Zwak - twijfel","Vermijden"))))</f>
        <v/>
      </c>
      <c r="R730" s="5"/>
      <c r="T730" s="1" t="str">
        <f aca="false">IF($C730="","",IF($P730=_xlfn.MAXIFS($P$3:$P$1000,$B$3:$B$1000,$B730),"★ Cash cow – handmatig onderzoeken",""))</f>
        <v/>
      </c>
    </row>
    <row r="731" customFormat="false" ht="14.25" hidden="false" customHeight="true" outlineLevel="0" collapsed="false">
      <c r="A731" s="4"/>
      <c r="B731" s="5"/>
      <c r="C731" s="5"/>
      <c r="D731" s="5"/>
      <c r="E731" s="6"/>
      <c r="F731" s="7"/>
      <c r="G731" s="8"/>
      <c r="H731" s="7"/>
      <c r="I731" s="7"/>
      <c r="J731" s="6"/>
      <c r="K731" s="9" t="str">
        <f aca="false">IF(OR($J731="",$J731=0),"",$I731/$J731)</f>
        <v/>
      </c>
      <c r="L731" s="9" t="str">
        <f aca="false">IF(OR($E731="",$E731=0),"",$H731/$E731)</f>
        <v/>
      </c>
      <c r="M731" s="10" t="str">
        <f aca="false">IF(OR($L731="",$L731=0),"",($I731/30)/$L731)</f>
        <v/>
      </c>
      <c r="N731" s="8"/>
      <c r="O731" s="11" t="str">
        <f aca="false">IF(OR($I731="",$N731=""),"",($I731/1000)*$N731)</f>
        <v/>
      </c>
      <c r="P731" s="12" t="str">
        <f aca="false">IF($C731="","",IFERROR(ROUND(MIN(25,($N731/Instellingen!$B$3)*25)+MIN(25,($I731/Instellingen!$B$4)*25)+MIN(25,($J731/Instellingen!$B$5)*25)+MIN(25,(IF($M731="",0,$M731)/Instellingen!$B$6)*25),0),""))</f>
        <v/>
      </c>
      <c r="Q731" s="13" t="str">
        <f aca="false">IF($P731="","",IF($P731&gt;=Instellingen!$B$7,"Sterke niche",IF($P731&gt;=Instellingen!$B$8,"Belofte - opvolgen",IF($P731&gt;=Instellingen!$B$9,"Zwak - twijfel","Vermijden"))))</f>
        <v/>
      </c>
      <c r="R731" s="5"/>
      <c r="T731" s="1" t="str">
        <f aca="false">IF($C731="","",IF($P731=_xlfn.MAXIFS($P$3:$P$1000,$B$3:$B$1000,$B731),"★ Cash cow – handmatig onderzoeken",""))</f>
        <v/>
      </c>
    </row>
    <row r="732" customFormat="false" ht="14.25" hidden="false" customHeight="true" outlineLevel="0" collapsed="false">
      <c r="A732" s="4"/>
      <c r="B732" s="5"/>
      <c r="C732" s="5"/>
      <c r="D732" s="5"/>
      <c r="E732" s="6"/>
      <c r="F732" s="7"/>
      <c r="G732" s="8"/>
      <c r="H732" s="7"/>
      <c r="I732" s="7"/>
      <c r="J732" s="6"/>
      <c r="K732" s="9" t="str">
        <f aca="false">IF(OR($J732="",$J732=0),"",$I732/$J732)</f>
        <v/>
      </c>
      <c r="L732" s="9" t="str">
        <f aca="false">IF(OR($E732="",$E732=0),"",$H732/$E732)</f>
        <v/>
      </c>
      <c r="M732" s="10" t="str">
        <f aca="false">IF(OR($L732="",$L732=0),"",($I732/30)/$L732)</f>
        <v/>
      </c>
      <c r="N732" s="8"/>
      <c r="O732" s="11" t="str">
        <f aca="false">IF(OR($I732="",$N732=""),"",($I732/1000)*$N732)</f>
        <v/>
      </c>
      <c r="P732" s="12" t="str">
        <f aca="false">IF($C732="","",IFERROR(ROUND(MIN(25,($N732/Instellingen!$B$3)*25)+MIN(25,($I732/Instellingen!$B$4)*25)+MIN(25,($J732/Instellingen!$B$5)*25)+MIN(25,(IF($M732="",0,$M732)/Instellingen!$B$6)*25),0),""))</f>
        <v/>
      </c>
      <c r="Q732" s="13" t="str">
        <f aca="false">IF($P732="","",IF($P732&gt;=Instellingen!$B$7,"Sterke niche",IF($P732&gt;=Instellingen!$B$8,"Belofte - opvolgen",IF($P732&gt;=Instellingen!$B$9,"Zwak - twijfel","Vermijden"))))</f>
        <v/>
      </c>
      <c r="R732" s="5"/>
      <c r="T732" s="1" t="str">
        <f aca="false">IF($C732="","",IF($P732=_xlfn.MAXIFS($P$3:$P$1000,$B$3:$B$1000,$B732),"★ Cash cow – handmatig onderzoeken",""))</f>
        <v/>
      </c>
    </row>
    <row r="733" customFormat="false" ht="14.25" hidden="false" customHeight="true" outlineLevel="0" collapsed="false">
      <c r="A733" s="4"/>
      <c r="B733" s="5"/>
      <c r="C733" s="5"/>
      <c r="D733" s="5"/>
      <c r="E733" s="6"/>
      <c r="F733" s="7"/>
      <c r="G733" s="8"/>
      <c r="H733" s="7"/>
      <c r="I733" s="7"/>
      <c r="J733" s="6"/>
      <c r="K733" s="9" t="str">
        <f aca="false">IF(OR($J733="",$J733=0),"",$I733/$J733)</f>
        <v/>
      </c>
      <c r="L733" s="9" t="str">
        <f aca="false">IF(OR($E733="",$E733=0),"",$H733/$E733)</f>
        <v/>
      </c>
      <c r="M733" s="10" t="str">
        <f aca="false">IF(OR($L733="",$L733=0),"",($I733/30)/$L733)</f>
        <v/>
      </c>
      <c r="N733" s="8"/>
      <c r="O733" s="11" t="str">
        <f aca="false">IF(OR($I733="",$N733=""),"",($I733/1000)*$N733)</f>
        <v/>
      </c>
      <c r="P733" s="12" t="str">
        <f aca="false">IF($C733="","",IFERROR(ROUND(MIN(25,($N733/Instellingen!$B$3)*25)+MIN(25,($I733/Instellingen!$B$4)*25)+MIN(25,($J733/Instellingen!$B$5)*25)+MIN(25,(IF($M733="",0,$M733)/Instellingen!$B$6)*25),0),""))</f>
        <v/>
      </c>
      <c r="Q733" s="13" t="str">
        <f aca="false">IF($P733="","",IF($P733&gt;=Instellingen!$B$7,"Sterke niche",IF($P733&gt;=Instellingen!$B$8,"Belofte - opvolgen",IF($P733&gt;=Instellingen!$B$9,"Zwak - twijfel","Vermijden"))))</f>
        <v/>
      </c>
      <c r="R733" s="5"/>
      <c r="T733" s="1" t="str">
        <f aca="false">IF($C733="","",IF($P733=_xlfn.MAXIFS($P$3:$P$1000,$B$3:$B$1000,$B733),"★ Cash cow – handmatig onderzoeken",""))</f>
        <v/>
      </c>
    </row>
    <row r="734" customFormat="false" ht="14.25" hidden="false" customHeight="true" outlineLevel="0" collapsed="false">
      <c r="A734" s="4"/>
      <c r="B734" s="5"/>
      <c r="C734" s="5"/>
      <c r="D734" s="5"/>
      <c r="E734" s="6"/>
      <c r="F734" s="7"/>
      <c r="G734" s="8"/>
      <c r="H734" s="7"/>
      <c r="I734" s="7"/>
      <c r="J734" s="6"/>
      <c r="K734" s="9" t="str">
        <f aca="false">IF(OR($J734="",$J734=0),"",$I734/$J734)</f>
        <v/>
      </c>
      <c r="L734" s="9" t="str">
        <f aca="false">IF(OR($E734="",$E734=0),"",$H734/$E734)</f>
        <v/>
      </c>
      <c r="M734" s="10" t="str">
        <f aca="false">IF(OR($L734="",$L734=0),"",($I734/30)/$L734)</f>
        <v/>
      </c>
      <c r="N734" s="8"/>
      <c r="O734" s="11" t="str">
        <f aca="false">IF(OR($I734="",$N734=""),"",($I734/1000)*$N734)</f>
        <v/>
      </c>
      <c r="P734" s="12" t="str">
        <f aca="false">IF($C734="","",IFERROR(ROUND(MIN(25,($N734/Instellingen!$B$3)*25)+MIN(25,($I734/Instellingen!$B$4)*25)+MIN(25,($J734/Instellingen!$B$5)*25)+MIN(25,(IF($M734="",0,$M734)/Instellingen!$B$6)*25),0),""))</f>
        <v/>
      </c>
      <c r="Q734" s="13" t="str">
        <f aca="false">IF($P734="","",IF($P734&gt;=Instellingen!$B$7,"Sterke niche",IF($P734&gt;=Instellingen!$B$8,"Belofte - opvolgen",IF($P734&gt;=Instellingen!$B$9,"Zwak - twijfel","Vermijden"))))</f>
        <v/>
      </c>
      <c r="R734" s="5"/>
      <c r="T734" s="1" t="str">
        <f aca="false">IF($C734="","",IF($P734=_xlfn.MAXIFS($P$3:$P$1000,$B$3:$B$1000,$B734),"★ Cash cow – handmatig onderzoeken",""))</f>
        <v/>
      </c>
    </row>
    <row r="735" customFormat="false" ht="14.25" hidden="false" customHeight="true" outlineLevel="0" collapsed="false">
      <c r="A735" s="4"/>
      <c r="B735" s="5"/>
      <c r="C735" s="5"/>
      <c r="D735" s="5"/>
      <c r="E735" s="6"/>
      <c r="F735" s="7"/>
      <c r="G735" s="8"/>
      <c r="H735" s="7"/>
      <c r="I735" s="7"/>
      <c r="J735" s="6"/>
      <c r="K735" s="9" t="str">
        <f aca="false">IF(OR($J735="",$J735=0),"",$I735/$J735)</f>
        <v/>
      </c>
      <c r="L735" s="9" t="str">
        <f aca="false">IF(OR($E735="",$E735=0),"",$H735/$E735)</f>
        <v/>
      </c>
      <c r="M735" s="10" t="str">
        <f aca="false">IF(OR($L735="",$L735=0),"",($I735/30)/$L735)</f>
        <v/>
      </c>
      <c r="N735" s="8"/>
      <c r="O735" s="11" t="str">
        <f aca="false">IF(OR($I735="",$N735=""),"",($I735/1000)*$N735)</f>
        <v/>
      </c>
      <c r="P735" s="12" t="str">
        <f aca="false">IF($C735="","",IFERROR(ROUND(MIN(25,($N735/Instellingen!$B$3)*25)+MIN(25,($I735/Instellingen!$B$4)*25)+MIN(25,($J735/Instellingen!$B$5)*25)+MIN(25,(IF($M735="",0,$M735)/Instellingen!$B$6)*25),0),""))</f>
        <v/>
      </c>
      <c r="Q735" s="13" t="str">
        <f aca="false">IF($P735="","",IF($P735&gt;=Instellingen!$B$7,"Sterke niche",IF($P735&gt;=Instellingen!$B$8,"Belofte - opvolgen",IF($P735&gt;=Instellingen!$B$9,"Zwak - twijfel","Vermijden"))))</f>
        <v/>
      </c>
      <c r="R735" s="5"/>
      <c r="T735" s="1" t="str">
        <f aca="false">IF($C735="","",IF($P735=_xlfn.MAXIFS($P$3:$P$1000,$B$3:$B$1000,$B735),"★ Cash cow – handmatig onderzoeken",""))</f>
        <v/>
      </c>
    </row>
    <row r="736" customFormat="false" ht="14.25" hidden="false" customHeight="true" outlineLevel="0" collapsed="false">
      <c r="A736" s="4"/>
      <c r="B736" s="5"/>
      <c r="C736" s="5"/>
      <c r="D736" s="5"/>
      <c r="E736" s="6"/>
      <c r="F736" s="7"/>
      <c r="G736" s="8"/>
      <c r="H736" s="7"/>
      <c r="I736" s="7"/>
      <c r="J736" s="6"/>
      <c r="K736" s="9" t="str">
        <f aca="false">IF(OR($J736="",$J736=0),"",$I736/$J736)</f>
        <v/>
      </c>
      <c r="L736" s="9" t="str">
        <f aca="false">IF(OR($E736="",$E736=0),"",$H736/$E736)</f>
        <v/>
      </c>
      <c r="M736" s="10" t="str">
        <f aca="false">IF(OR($L736="",$L736=0),"",($I736/30)/$L736)</f>
        <v/>
      </c>
      <c r="N736" s="8"/>
      <c r="O736" s="11" t="str">
        <f aca="false">IF(OR($I736="",$N736=""),"",($I736/1000)*$N736)</f>
        <v/>
      </c>
      <c r="P736" s="12" t="str">
        <f aca="false">IF($C736="","",IFERROR(ROUND(MIN(25,($N736/Instellingen!$B$3)*25)+MIN(25,($I736/Instellingen!$B$4)*25)+MIN(25,($J736/Instellingen!$B$5)*25)+MIN(25,(IF($M736="",0,$M736)/Instellingen!$B$6)*25),0),""))</f>
        <v/>
      </c>
      <c r="Q736" s="13" t="str">
        <f aca="false">IF($P736="","",IF($P736&gt;=Instellingen!$B$7,"Sterke niche",IF($P736&gt;=Instellingen!$B$8,"Belofte - opvolgen",IF($P736&gt;=Instellingen!$B$9,"Zwak - twijfel","Vermijden"))))</f>
        <v/>
      </c>
      <c r="R736" s="5"/>
      <c r="T736" s="1" t="str">
        <f aca="false">IF($C736="","",IF($P736=_xlfn.MAXIFS($P$3:$P$1000,$B$3:$B$1000,$B736),"★ Cash cow – handmatig onderzoeken",""))</f>
        <v/>
      </c>
    </row>
    <row r="737" customFormat="false" ht="14.25" hidden="false" customHeight="true" outlineLevel="0" collapsed="false">
      <c r="A737" s="4"/>
      <c r="B737" s="5"/>
      <c r="C737" s="5"/>
      <c r="D737" s="5"/>
      <c r="E737" s="6"/>
      <c r="F737" s="7"/>
      <c r="G737" s="8"/>
      <c r="H737" s="7"/>
      <c r="I737" s="7"/>
      <c r="J737" s="6"/>
      <c r="K737" s="9" t="str">
        <f aca="false">IF(OR($J737="",$J737=0),"",$I737/$J737)</f>
        <v/>
      </c>
      <c r="L737" s="9" t="str">
        <f aca="false">IF(OR($E737="",$E737=0),"",$H737/$E737)</f>
        <v/>
      </c>
      <c r="M737" s="10" t="str">
        <f aca="false">IF(OR($L737="",$L737=0),"",($I737/30)/$L737)</f>
        <v/>
      </c>
      <c r="N737" s="8"/>
      <c r="O737" s="11" t="str">
        <f aca="false">IF(OR($I737="",$N737=""),"",($I737/1000)*$N737)</f>
        <v/>
      </c>
      <c r="P737" s="12" t="str">
        <f aca="false">IF($C737="","",IFERROR(ROUND(MIN(25,($N737/Instellingen!$B$3)*25)+MIN(25,($I737/Instellingen!$B$4)*25)+MIN(25,($J737/Instellingen!$B$5)*25)+MIN(25,(IF($M737="",0,$M737)/Instellingen!$B$6)*25),0),""))</f>
        <v/>
      </c>
      <c r="Q737" s="13" t="str">
        <f aca="false">IF($P737="","",IF($P737&gt;=Instellingen!$B$7,"Sterke niche",IF($P737&gt;=Instellingen!$B$8,"Belofte - opvolgen",IF($P737&gt;=Instellingen!$B$9,"Zwak - twijfel","Vermijden"))))</f>
        <v/>
      </c>
      <c r="R737" s="5"/>
      <c r="T737" s="1" t="str">
        <f aca="false">IF($C737="","",IF($P737=_xlfn.MAXIFS($P$3:$P$1000,$B$3:$B$1000,$B737),"★ Cash cow – handmatig onderzoeken",""))</f>
        <v/>
      </c>
    </row>
    <row r="738" customFormat="false" ht="14.25" hidden="false" customHeight="true" outlineLevel="0" collapsed="false">
      <c r="A738" s="4"/>
      <c r="B738" s="5"/>
      <c r="C738" s="5"/>
      <c r="D738" s="5"/>
      <c r="E738" s="6"/>
      <c r="F738" s="7"/>
      <c r="G738" s="8"/>
      <c r="H738" s="7"/>
      <c r="I738" s="7"/>
      <c r="J738" s="6"/>
      <c r="K738" s="9" t="str">
        <f aca="false">IF(OR($J738="",$J738=0),"",$I738/$J738)</f>
        <v/>
      </c>
      <c r="L738" s="9" t="str">
        <f aca="false">IF(OR($E738="",$E738=0),"",$H738/$E738)</f>
        <v/>
      </c>
      <c r="M738" s="10" t="str">
        <f aca="false">IF(OR($L738="",$L738=0),"",($I738/30)/$L738)</f>
        <v/>
      </c>
      <c r="N738" s="8"/>
      <c r="O738" s="11" t="str">
        <f aca="false">IF(OR($I738="",$N738=""),"",($I738/1000)*$N738)</f>
        <v/>
      </c>
      <c r="P738" s="12" t="str">
        <f aca="false">IF($C738="","",IFERROR(ROUND(MIN(25,($N738/Instellingen!$B$3)*25)+MIN(25,($I738/Instellingen!$B$4)*25)+MIN(25,($J738/Instellingen!$B$5)*25)+MIN(25,(IF($M738="",0,$M738)/Instellingen!$B$6)*25),0),""))</f>
        <v/>
      </c>
      <c r="Q738" s="13" t="str">
        <f aca="false">IF($P738="","",IF($P738&gt;=Instellingen!$B$7,"Sterke niche",IF($P738&gt;=Instellingen!$B$8,"Belofte - opvolgen",IF($P738&gt;=Instellingen!$B$9,"Zwak - twijfel","Vermijden"))))</f>
        <v/>
      </c>
      <c r="R738" s="5"/>
      <c r="T738" s="1" t="str">
        <f aca="false">IF($C738="","",IF($P738=_xlfn.MAXIFS($P$3:$P$1000,$B$3:$B$1000,$B738),"★ Cash cow – handmatig onderzoeken",""))</f>
        <v/>
      </c>
    </row>
    <row r="739" customFormat="false" ht="14.25" hidden="false" customHeight="true" outlineLevel="0" collapsed="false">
      <c r="A739" s="4"/>
      <c r="B739" s="5"/>
      <c r="C739" s="5"/>
      <c r="D739" s="5"/>
      <c r="E739" s="6"/>
      <c r="F739" s="7"/>
      <c r="G739" s="8"/>
      <c r="H739" s="7"/>
      <c r="I739" s="7"/>
      <c r="J739" s="6"/>
      <c r="K739" s="9" t="str">
        <f aca="false">IF(OR($J739="",$J739=0),"",$I739/$J739)</f>
        <v/>
      </c>
      <c r="L739" s="9" t="str">
        <f aca="false">IF(OR($E739="",$E739=0),"",$H739/$E739)</f>
        <v/>
      </c>
      <c r="M739" s="10" t="str">
        <f aca="false">IF(OR($L739="",$L739=0),"",($I739/30)/$L739)</f>
        <v/>
      </c>
      <c r="N739" s="8"/>
      <c r="O739" s="11" t="str">
        <f aca="false">IF(OR($I739="",$N739=""),"",($I739/1000)*$N739)</f>
        <v/>
      </c>
      <c r="P739" s="12" t="str">
        <f aca="false">IF($C739="","",IFERROR(ROUND(MIN(25,($N739/Instellingen!$B$3)*25)+MIN(25,($I739/Instellingen!$B$4)*25)+MIN(25,($J739/Instellingen!$B$5)*25)+MIN(25,(IF($M739="",0,$M739)/Instellingen!$B$6)*25),0),""))</f>
        <v/>
      </c>
      <c r="Q739" s="13" t="str">
        <f aca="false">IF($P739="","",IF($P739&gt;=Instellingen!$B$7,"Sterke niche",IF($P739&gt;=Instellingen!$B$8,"Belofte - opvolgen",IF($P739&gt;=Instellingen!$B$9,"Zwak - twijfel","Vermijden"))))</f>
        <v/>
      </c>
      <c r="R739" s="5"/>
      <c r="T739" s="1" t="str">
        <f aca="false">IF($C739="","",IF($P739=_xlfn.MAXIFS($P$3:$P$1000,$B$3:$B$1000,$B739),"★ Cash cow – handmatig onderzoeken",""))</f>
        <v/>
      </c>
    </row>
    <row r="740" customFormat="false" ht="14.25" hidden="false" customHeight="true" outlineLevel="0" collapsed="false">
      <c r="A740" s="4"/>
      <c r="B740" s="5"/>
      <c r="C740" s="5"/>
      <c r="D740" s="5"/>
      <c r="E740" s="6"/>
      <c r="F740" s="7"/>
      <c r="G740" s="8"/>
      <c r="H740" s="7"/>
      <c r="I740" s="7"/>
      <c r="J740" s="6"/>
      <c r="K740" s="9" t="str">
        <f aca="false">IF(OR($J740="",$J740=0),"",$I740/$J740)</f>
        <v/>
      </c>
      <c r="L740" s="9" t="str">
        <f aca="false">IF(OR($E740="",$E740=0),"",$H740/$E740)</f>
        <v/>
      </c>
      <c r="M740" s="10" t="str">
        <f aca="false">IF(OR($L740="",$L740=0),"",($I740/30)/$L740)</f>
        <v/>
      </c>
      <c r="N740" s="8"/>
      <c r="O740" s="11" t="str">
        <f aca="false">IF(OR($I740="",$N740=""),"",($I740/1000)*$N740)</f>
        <v/>
      </c>
      <c r="P740" s="12" t="str">
        <f aca="false">IF($C740="","",IFERROR(ROUND(MIN(25,($N740/Instellingen!$B$3)*25)+MIN(25,($I740/Instellingen!$B$4)*25)+MIN(25,($J740/Instellingen!$B$5)*25)+MIN(25,(IF($M740="",0,$M740)/Instellingen!$B$6)*25),0),""))</f>
        <v/>
      </c>
      <c r="Q740" s="13" t="str">
        <f aca="false">IF($P740="","",IF($P740&gt;=Instellingen!$B$7,"Sterke niche",IF($P740&gt;=Instellingen!$B$8,"Belofte - opvolgen",IF($P740&gt;=Instellingen!$B$9,"Zwak - twijfel","Vermijden"))))</f>
        <v/>
      </c>
      <c r="R740" s="5"/>
      <c r="T740" s="1" t="str">
        <f aca="false">IF($C740="","",IF($P740=_xlfn.MAXIFS($P$3:$P$1000,$B$3:$B$1000,$B740),"★ Cash cow – handmatig onderzoeken",""))</f>
        <v/>
      </c>
    </row>
    <row r="741" customFormat="false" ht="14.25" hidden="false" customHeight="true" outlineLevel="0" collapsed="false">
      <c r="A741" s="4"/>
      <c r="B741" s="5"/>
      <c r="C741" s="5"/>
      <c r="D741" s="5"/>
      <c r="E741" s="6"/>
      <c r="F741" s="7"/>
      <c r="G741" s="8"/>
      <c r="H741" s="7"/>
      <c r="I741" s="7"/>
      <c r="J741" s="6"/>
      <c r="K741" s="9" t="str">
        <f aca="false">IF(OR($J741="",$J741=0),"",$I741/$J741)</f>
        <v/>
      </c>
      <c r="L741" s="9" t="str">
        <f aca="false">IF(OR($E741="",$E741=0),"",$H741/$E741)</f>
        <v/>
      </c>
      <c r="M741" s="10" t="str">
        <f aca="false">IF(OR($L741="",$L741=0),"",($I741/30)/$L741)</f>
        <v/>
      </c>
      <c r="N741" s="8"/>
      <c r="O741" s="11" t="str">
        <f aca="false">IF(OR($I741="",$N741=""),"",($I741/1000)*$N741)</f>
        <v/>
      </c>
      <c r="P741" s="12" t="str">
        <f aca="false">IF($C741="","",IFERROR(ROUND(MIN(25,($N741/Instellingen!$B$3)*25)+MIN(25,($I741/Instellingen!$B$4)*25)+MIN(25,($J741/Instellingen!$B$5)*25)+MIN(25,(IF($M741="",0,$M741)/Instellingen!$B$6)*25),0),""))</f>
        <v/>
      </c>
      <c r="Q741" s="13" t="str">
        <f aca="false">IF($P741="","",IF($P741&gt;=Instellingen!$B$7,"Sterke niche",IF($P741&gt;=Instellingen!$B$8,"Belofte - opvolgen",IF($P741&gt;=Instellingen!$B$9,"Zwak - twijfel","Vermijden"))))</f>
        <v/>
      </c>
      <c r="R741" s="5"/>
      <c r="T741" s="1" t="str">
        <f aca="false">IF($C741="","",IF($P741=_xlfn.MAXIFS($P$3:$P$1000,$B$3:$B$1000,$B741),"★ Cash cow – handmatig onderzoeken",""))</f>
        <v/>
      </c>
    </row>
    <row r="742" customFormat="false" ht="14.25" hidden="false" customHeight="true" outlineLevel="0" collapsed="false">
      <c r="A742" s="4"/>
      <c r="B742" s="5"/>
      <c r="C742" s="5"/>
      <c r="D742" s="5"/>
      <c r="E742" s="6"/>
      <c r="F742" s="7"/>
      <c r="G742" s="8"/>
      <c r="H742" s="7"/>
      <c r="I742" s="7"/>
      <c r="J742" s="6"/>
      <c r="K742" s="9" t="str">
        <f aca="false">IF(OR($J742="",$J742=0),"",$I742/$J742)</f>
        <v/>
      </c>
      <c r="L742" s="9" t="str">
        <f aca="false">IF(OR($E742="",$E742=0),"",$H742/$E742)</f>
        <v/>
      </c>
      <c r="M742" s="10" t="str">
        <f aca="false">IF(OR($L742="",$L742=0),"",($I742/30)/$L742)</f>
        <v/>
      </c>
      <c r="N742" s="8"/>
      <c r="O742" s="11" t="str">
        <f aca="false">IF(OR($I742="",$N742=""),"",($I742/1000)*$N742)</f>
        <v/>
      </c>
      <c r="P742" s="12" t="str">
        <f aca="false">IF($C742="","",IFERROR(ROUND(MIN(25,($N742/Instellingen!$B$3)*25)+MIN(25,($I742/Instellingen!$B$4)*25)+MIN(25,($J742/Instellingen!$B$5)*25)+MIN(25,(IF($M742="",0,$M742)/Instellingen!$B$6)*25),0),""))</f>
        <v/>
      </c>
      <c r="Q742" s="13" t="str">
        <f aca="false">IF($P742="","",IF($P742&gt;=Instellingen!$B$7,"Sterke niche",IF($P742&gt;=Instellingen!$B$8,"Belofte - opvolgen",IF($P742&gt;=Instellingen!$B$9,"Zwak - twijfel","Vermijden"))))</f>
        <v/>
      </c>
      <c r="R742" s="5"/>
      <c r="T742" s="1" t="str">
        <f aca="false">IF($C742="","",IF($P742=_xlfn.MAXIFS($P$3:$P$1000,$B$3:$B$1000,$B742),"★ Cash cow – handmatig onderzoeken",""))</f>
        <v/>
      </c>
    </row>
    <row r="743" customFormat="false" ht="14.25" hidden="false" customHeight="true" outlineLevel="0" collapsed="false">
      <c r="A743" s="4"/>
      <c r="B743" s="5"/>
      <c r="C743" s="5"/>
      <c r="D743" s="5"/>
      <c r="E743" s="6"/>
      <c r="F743" s="7"/>
      <c r="G743" s="8"/>
      <c r="H743" s="7"/>
      <c r="I743" s="7"/>
      <c r="J743" s="6"/>
      <c r="K743" s="9" t="str">
        <f aca="false">IF(OR($J743="",$J743=0),"",$I743/$J743)</f>
        <v/>
      </c>
      <c r="L743" s="9" t="str">
        <f aca="false">IF(OR($E743="",$E743=0),"",$H743/$E743)</f>
        <v/>
      </c>
      <c r="M743" s="10" t="str">
        <f aca="false">IF(OR($L743="",$L743=0),"",($I743/30)/$L743)</f>
        <v/>
      </c>
      <c r="N743" s="8"/>
      <c r="O743" s="11" t="str">
        <f aca="false">IF(OR($I743="",$N743=""),"",($I743/1000)*$N743)</f>
        <v/>
      </c>
      <c r="P743" s="12" t="str">
        <f aca="false">IF($C743="","",IFERROR(ROUND(MIN(25,($N743/Instellingen!$B$3)*25)+MIN(25,($I743/Instellingen!$B$4)*25)+MIN(25,($J743/Instellingen!$B$5)*25)+MIN(25,(IF($M743="",0,$M743)/Instellingen!$B$6)*25),0),""))</f>
        <v/>
      </c>
      <c r="Q743" s="13" t="str">
        <f aca="false">IF($P743="","",IF($P743&gt;=Instellingen!$B$7,"Sterke niche",IF($P743&gt;=Instellingen!$B$8,"Belofte - opvolgen",IF($P743&gt;=Instellingen!$B$9,"Zwak - twijfel","Vermijden"))))</f>
        <v/>
      </c>
      <c r="R743" s="5"/>
      <c r="T743" s="1" t="str">
        <f aca="false">IF($C743="","",IF($P743=_xlfn.MAXIFS($P$3:$P$1000,$B$3:$B$1000,$B743),"★ Cash cow – handmatig onderzoeken",""))</f>
        <v/>
      </c>
    </row>
    <row r="744" customFormat="false" ht="14.25" hidden="false" customHeight="true" outlineLevel="0" collapsed="false">
      <c r="A744" s="4"/>
      <c r="B744" s="5"/>
      <c r="C744" s="5"/>
      <c r="D744" s="5"/>
      <c r="E744" s="6"/>
      <c r="F744" s="7"/>
      <c r="G744" s="8"/>
      <c r="H744" s="7"/>
      <c r="I744" s="7"/>
      <c r="J744" s="6"/>
      <c r="K744" s="9" t="str">
        <f aca="false">IF(OR($J744="",$J744=0),"",$I744/$J744)</f>
        <v/>
      </c>
      <c r="L744" s="9" t="str">
        <f aca="false">IF(OR($E744="",$E744=0),"",$H744/$E744)</f>
        <v/>
      </c>
      <c r="M744" s="10" t="str">
        <f aca="false">IF(OR($L744="",$L744=0),"",($I744/30)/$L744)</f>
        <v/>
      </c>
      <c r="N744" s="8"/>
      <c r="O744" s="11" t="str">
        <f aca="false">IF(OR($I744="",$N744=""),"",($I744/1000)*$N744)</f>
        <v/>
      </c>
      <c r="P744" s="12" t="str">
        <f aca="false">IF($C744="","",IFERROR(ROUND(MIN(25,($N744/Instellingen!$B$3)*25)+MIN(25,($I744/Instellingen!$B$4)*25)+MIN(25,($J744/Instellingen!$B$5)*25)+MIN(25,(IF($M744="",0,$M744)/Instellingen!$B$6)*25),0),""))</f>
        <v/>
      </c>
      <c r="Q744" s="13" t="str">
        <f aca="false">IF($P744="","",IF($P744&gt;=Instellingen!$B$7,"Sterke niche",IF($P744&gt;=Instellingen!$B$8,"Belofte - opvolgen",IF($P744&gt;=Instellingen!$B$9,"Zwak - twijfel","Vermijden"))))</f>
        <v/>
      </c>
      <c r="R744" s="5"/>
      <c r="T744" s="1" t="str">
        <f aca="false">IF($C744="","",IF($P744=_xlfn.MAXIFS($P$3:$P$1000,$B$3:$B$1000,$B744),"★ Cash cow – handmatig onderzoeken",""))</f>
        <v/>
      </c>
    </row>
    <row r="745" customFormat="false" ht="14.25" hidden="false" customHeight="true" outlineLevel="0" collapsed="false">
      <c r="A745" s="4"/>
      <c r="B745" s="5"/>
      <c r="C745" s="5"/>
      <c r="D745" s="5"/>
      <c r="E745" s="6"/>
      <c r="F745" s="7"/>
      <c r="G745" s="8"/>
      <c r="H745" s="7"/>
      <c r="I745" s="7"/>
      <c r="J745" s="6"/>
      <c r="K745" s="9" t="str">
        <f aca="false">IF(OR($J745="",$J745=0),"",$I745/$J745)</f>
        <v/>
      </c>
      <c r="L745" s="9" t="str">
        <f aca="false">IF(OR($E745="",$E745=0),"",$H745/$E745)</f>
        <v/>
      </c>
      <c r="M745" s="10" t="str">
        <f aca="false">IF(OR($L745="",$L745=0),"",($I745/30)/$L745)</f>
        <v/>
      </c>
      <c r="N745" s="8"/>
      <c r="O745" s="11" t="str">
        <f aca="false">IF(OR($I745="",$N745=""),"",($I745/1000)*$N745)</f>
        <v/>
      </c>
      <c r="P745" s="12" t="str">
        <f aca="false">IF($C745="","",IFERROR(ROUND(MIN(25,($N745/Instellingen!$B$3)*25)+MIN(25,($I745/Instellingen!$B$4)*25)+MIN(25,($J745/Instellingen!$B$5)*25)+MIN(25,(IF($M745="",0,$M745)/Instellingen!$B$6)*25),0),""))</f>
        <v/>
      </c>
      <c r="Q745" s="13" t="str">
        <f aca="false">IF($P745="","",IF($P745&gt;=Instellingen!$B$7,"Sterke niche",IF($P745&gt;=Instellingen!$B$8,"Belofte - opvolgen",IF($P745&gt;=Instellingen!$B$9,"Zwak - twijfel","Vermijden"))))</f>
        <v/>
      </c>
      <c r="R745" s="5"/>
      <c r="T745" s="1" t="str">
        <f aca="false">IF($C745="","",IF($P745=_xlfn.MAXIFS($P$3:$P$1000,$B$3:$B$1000,$B745),"★ Cash cow – handmatig onderzoeken",""))</f>
        <v/>
      </c>
    </row>
    <row r="746" customFormat="false" ht="14.25" hidden="false" customHeight="true" outlineLevel="0" collapsed="false">
      <c r="A746" s="4"/>
      <c r="B746" s="5"/>
      <c r="C746" s="5"/>
      <c r="D746" s="5"/>
      <c r="E746" s="6"/>
      <c r="F746" s="7"/>
      <c r="G746" s="8"/>
      <c r="H746" s="7"/>
      <c r="I746" s="7"/>
      <c r="J746" s="6"/>
      <c r="K746" s="9" t="str">
        <f aca="false">IF(OR($J746="",$J746=0),"",$I746/$J746)</f>
        <v/>
      </c>
      <c r="L746" s="9" t="str">
        <f aca="false">IF(OR($E746="",$E746=0),"",$H746/$E746)</f>
        <v/>
      </c>
      <c r="M746" s="10" t="str">
        <f aca="false">IF(OR($L746="",$L746=0),"",($I746/30)/$L746)</f>
        <v/>
      </c>
      <c r="N746" s="8"/>
      <c r="O746" s="11" t="str">
        <f aca="false">IF(OR($I746="",$N746=""),"",($I746/1000)*$N746)</f>
        <v/>
      </c>
      <c r="P746" s="12" t="str">
        <f aca="false">IF($C746="","",IFERROR(ROUND(MIN(25,($N746/Instellingen!$B$3)*25)+MIN(25,($I746/Instellingen!$B$4)*25)+MIN(25,($J746/Instellingen!$B$5)*25)+MIN(25,(IF($M746="",0,$M746)/Instellingen!$B$6)*25),0),""))</f>
        <v/>
      </c>
      <c r="Q746" s="13" t="str">
        <f aca="false">IF($P746="","",IF($P746&gt;=Instellingen!$B$7,"Sterke niche",IF($P746&gt;=Instellingen!$B$8,"Belofte - opvolgen",IF($P746&gt;=Instellingen!$B$9,"Zwak - twijfel","Vermijden"))))</f>
        <v/>
      </c>
      <c r="R746" s="5"/>
      <c r="T746" s="1" t="str">
        <f aca="false">IF($C746="","",IF($P746=_xlfn.MAXIFS($P$3:$P$1000,$B$3:$B$1000,$B746),"★ Cash cow – handmatig onderzoeken",""))</f>
        <v/>
      </c>
    </row>
    <row r="747" customFormat="false" ht="14.25" hidden="false" customHeight="true" outlineLevel="0" collapsed="false">
      <c r="A747" s="4"/>
      <c r="B747" s="5"/>
      <c r="C747" s="5"/>
      <c r="D747" s="5"/>
      <c r="E747" s="6"/>
      <c r="F747" s="7"/>
      <c r="G747" s="8"/>
      <c r="H747" s="7"/>
      <c r="I747" s="7"/>
      <c r="J747" s="6"/>
      <c r="K747" s="9" t="str">
        <f aca="false">IF(OR($J747="",$J747=0),"",$I747/$J747)</f>
        <v/>
      </c>
      <c r="L747" s="9" t="str">
        <f aca="false">IF(OR($E747="",$E747=0),"",$H747/$E747)</f>
        <v/>
      </c>
      <c r="M747" s="10" t="str">
        <f aca="false">IF(OR($L747="",$L747=0),"",($I747/30)/$L747)</f>
        <v/>
      </c>
      <c r="N747" s="8"/>
      <c r="O747" s="11" t="str">
        <f aca="false">IF(OR($I747="",$N747=""),"",($I747/1000)*$N747)</f>
        <v/>
      </c>
      <c r="P747" s="12" t="str">
        <f aca="false">IF($C747="","",IFERROR(ROUND(MIN(25,($N747/Instellingen!$B$3)*25)+MIN(25,($I747/Instellingen!$B$4)*25)+MIN(25,($J747/Instellingen!$B$5)*25)+MIN(25,(IF($M747="",0,$M747)/Instellingen!$B$6)*25),0),""))</f>
        <v/>
      </c>
      <c r="Q747" s="13" t="str">
        <f aca="false">IF($P747="","",IF($P747&gt;=Instellingen!$B$7,"Sterke niche",IF($P747&gt;=Instellingen!$B$8,"Belofte - opvolgen",IF($P747&gt;=Instellingen!$B$9,"Zwak - twijfel","Vermijden"))))</f>
        <v/>
      </c>
      <c r="R747" s="5"/>
      <c r="T747" s="1" t="str">
        <f aca="false">IF($C747="","",IF($P747=_xlfn.MAXIFS($P$3:$P$1000,$B$3:$B$1000,$B747),"★ Cash cow – handmatig onderzoeken",""))</f>
        <v/>
      </c>
    </row>
    <row r="748" customFormat="false" ht="14.25" hidden="false" customHeight="true" outlineLevel="0" collapsed="false">
      <c r="A748" s="4"/>
      <c r="B748" s="5"/>
      <c r="C748" s="5"/>
      <c r="D748" s="5"/>
      <c r="E748" s="6"/>
      <c r="F748" s="7"/>
      <c r="G748" s="8"/>
      <c r="H748" s="7"/>
      <c r="I748" s="7"/>
      <c r="J748" s="6"/>
      <c r="K748" s="9" t="str">
        <f aca="false">IF(OR($J748="",$J748=0),"",$I748/$J748)</f>
        <v/>
      </c>
      <c r="L748" s="9" t="str">
        <f aca="false">IF(OR($E748="",$E748=0),"",$H748/$E748)</f>
        <v/>
      </c>
      <c r="M748" s="10" t="str">
        <f aca="false">IF(OR($L748="",$L748=0),"",($I748/30)/$L748)</f>
        <v/>
      </c>
      <c r="N748" s="8"/>
      <c r="O748" s="11" t="str">
        <f aca="false">IF(OR($I748="",$N748=""),"",($I748/1000)*$N748)</f>
        <v/>
      </c>
      <c r="P748" s="12" t="str">
        <f aca="false">IF($C748="","",IFERROR(ROUND(MIN(25,($N748/Instellingen!$B$3)*25)+MIN(25,($I748/Instellingen!$B$4)*25)+MIN(25,($J748/Instellingen!$B$5)*25)+MIN(25,(IF($M748="",0,$M748)/Instellingen!$B$6)*25),0),""))</f>
        <v/>
      </c>
      <c r="Q748" s="13" t="str">
        <f aca="false">IF($P748="","",IF($P748&gt;=Instellingen!$B$7,"Sterke niche",IF($P748&gt;=Instellingen!$B$8,"Belofte - opvolgen",IF($P748&gt;=Instellingen!$B$9,"Zwak - twijfel","Vermijden"))))</f>
        <v/>
      </c>
      <c r="R748" s="5"/>
      <c r="T748" s="1" t="str">
        <f aca="false">IF($C748="","",IF($P748=_xlfn.MAXIFS($P$3:$P$1000,$B$3:$B$1000,$B748),"★ Cash cow – handmatig onderzoeken",""))</f>
        <v/>
      </c>
    </row>
    <row r="749" customFormat="false" ht="14.25" hidden="false" customHeight="true" outlineLevel="0" collapsed="false">
      <c r="A749" s="4"/>
      <c r="B749" s="5"/>
      <c r="C749" s="5"/>
      <c r="D749" s="5"/>
      <c r="E749" s="6"/>
      <c r="F749" s="7"/>
      <c r="G749" s="8"/>
      <c r="H749" s="7"/>
      <c r="I749" s="7"/>
      <c r="J749" s="6"/>
      <c r="K749" s="9" t="str">
        <f aca="false">IF(OR($J749="",$J749=0),"",$I749/$J749)</f>
        <v/>
      </c>
      <c r="L749" s="9" t="str">
        <f aca="false">IF(OR($E749="",$E749=0),"",$H749/$E749)</f>
        <v/>
      </c>
      <c r="M749" s="10" t="str">
        <f aca="false">IF(OR($L749="",$L749=0),"",($I749/30)/$L749)</f>
        <v/>
      </c>
      <c r="N749" s="8"/>
      <c r="O749" s="11" t="str">
        <f aca="false">IF(OR($I749="",$N749=""),"",($I749/1000)*$N749)</f>
        <v/>
      </c>
      <c r="P749" s="12" t="str">
        <f aca="false">IF($C749="","",IFERROR(ROUND(MIN(25,($N749/Instellingen!$B$3)*25)+MIN(25,($I749/Instellingen!$B$4)*25)+MIN(25,($J749/Instellingen!$B$5)*25)+MIN(25,(IF($M749="",0,$M749)/Instellingen!$B$6)*25),0),""))</f>
        <v/>
      </c>
      <c r="Q749" s="13" t="str">
        <f aca="false">IF($P749="","",IF($P749&gt;=Instellingen!$B$7,"Sterke niche",IF($P749&gt;=Instellingen!$B$8,"Belofte - opvolgen",IF($P749&gt;=Instellingen!$B$9,"Zwak - twijfel","Vermijden"))))</f>
        <v/>
      </c>
      <c r="R749" s="5"/>
      <c r="T749" s="1" t="str">
        <f aca="false">IF($C749="","",IF($P749=_xlfn.MAXIFS($P$3:$P$1000,$B$3:$B$1000,$B749),"★ Cash cow – handmatig onderzoeken",""))</f>
        <v/>
      </c>
    </row>
    <row r="750" customFormat="false" ht="14.25" hidden="false" customHeight="true" outlineLevel="0" collapsed="false">
      <c r="A750" s="4"/>
      <c r="B750" s="5"/>
      <c r="C750" s="5"/>
      <c r="D750" s="5"/>
      <c r="E750" s="6"/>
      <c r="F750" s="7"/>
      <c r="G750" s="8"/>
      <c r="H750" s="7"/>
      <c r="I750" s="7"/>
      <c r="J750" s="6"/>
      <c r="K750" s="9" t="str">
        <f aca="false">IF(OR($J750="",$J750=0),"",$I750/$J750)</f>
        <v/>
      </c>
      <c r="L750" s="9" t="str">
        <f aca="false">IF(OR($E750="",$E750=0),"",$H750/$E750)</f>
        <v/>
      </c>
      <c r="M750" s="10" t="str">
        <f aca="false">IF(OR($L750="",$L750=0),"",($I750/30)/$L750)</f>
        <v/>
      </c>
      <c r="N750" s="8"/>
      <c r="O750" s="11" t="str">
        <f aca="false">IF(OR($I750="",$N750=""),"",($I750/1000)*$N750)</f>
        <v/>
      </c>
      <c r="P750" s="12" t="str">
        <f aca="false">IF($C750="","",IFERROR(ROUND(MIN(25,($N750/Instellingen!$B$3)*25)+MIN(25,($I750/Instellingen!$B$4)*25)+MIN(25,($J750/Instellingen!$B$5)*25)+MIN(25,(IF($M750="",0,$M750)/Instellingen!$B$6)*25),0),""))</f>
        <v/>
      </c>
      <c r="Q750" s="13" t="str">
        <f aca="false">IF($P750="","",IF($P750&gt;=Instellingen!$B$7,"Sterke niche",IF($P750&gt;=Instellingen!$B$8,"Belofte - opvolgen",IF($P750&gt;=Instellingen!$B$9,"Zwak - twijfel","Vermijden"))))</f>
        <v/>
      </c>
      <c r="R750" s="5"/>
      <c r="T750" s="1" t="str">
        <f aca="false">IF($C750="","",IF($P750=_xlfn.MAXIFS($P$3:$P$1000,$B$3:$B$1000,$B750),"★ Cash cow – handmatig onderzoeken",""))</f>
        <v/>
      </c>
    </row>
    <row r="751" customFormat="false" ht="14.25" hidden="false" customHeight="true" outlineLevel="0" collapsed="false">
      <c r="A751" s="4"/>
      <c r="B751" s="5"/>
      <c r="C751" s="5"/>
      <c r="D751" s="5"/>
      <c r="E751" s="6"/>
      <c r="F751" s="7"/>
      <c r="G751" s="8"/>
      <c r="H751" s="7"/>
      <c r="I751" s="7"/>
      <c r="J751" s="6"/>
      <c r="K751" s="9" t="str">
        <f aca="false">IF(OR($J751="",$J751=0),"",$I751/$J751)</f>
        <v/>
      </c>
      <c r="L751" s="9" t="str">
        <f aca="false">IF(OR($E751="",$E751=0),"",$H751/$E751)</f>
        <v/>
      </c>
      <c r="M751" s="10" t="str">
        <f aca="false">IF(OR($L751="",$L751=0),"",($I751/30)/$L751)</f>
        <v/>
      </c>
      <c r="N751" s="8"/>
      <c r="O751" s="11" t="str">
        <f aca="false">IF(OR($I751="",$N751=""),"",($I751/1000)*$N751)</f>
        <v/>
      </c>
      <c r="P751" s="12" t="str">
        <f aca="false">IF($C751="","",IFERROR(ROUND(MIN(25,($N751/Instellingen!$B$3)*25)+MIN(25,($I751/Instellingen!$B$4)*25)+MIN(25,($J751/Instellingen!$B$5)*25)+MIN(25,(IF($M751="",0,$M751)/Instellingen!$B$6)*25),0),""))</f>
        <v/>
      </c>
      <c r="Q751" s="13" t="str">
        <f aca="false">IF($P751="","",IF($P751&gt;=Instellingen!$B$7,"Sterke niche",IF($P751&gt;=Instellingen!$B$8,"Belofte - opvolgen",IF($P751&gt;=Instellingen!$B$9,"Zwak - twijfel","Vermijden"))))</f>
        <v/>
      </c>
      <c r="R751" s="5"/>
      <c r="T751" s="1" t="str">
        <f aca="false">IF($C751="","",IF($P751=_xlfn.MAXIFS($P$3:$P$1000,$B$3:$B$1000,$B751),"★ Cash cow – handmatig onderzoeken",""))</f>
        <v/>
      </c>
    </row>
    <row r="752" customFormat="false" ht="14.25" hidden="false" customHeight="true" outlineLevel="0" collapsed="false">
      <c r="A752" s="4"/>
      <c r="B752" s="5"/>
      <c r="C752" s="5"/>
      <c r="D752" s="5"/>
      <c r="E752" s="6"/>
      <c r="F752" s="7"/>
      <c r="G752" s="8"/>
      <c r="H752" s="7"/>
      <c r="I752" s="7"/>
      <c r="J752" s="6"/>
      <c r="K752" s="9" t="str">
        <f aca="false">IF(OR($J752="",$J752=0),"",$I752/$J752)</f>
        <v/>
      </c>
      <c r="L752" s="9" t="str">
        <f aca="false">IF(OR($E752="",$E752=0),"",$H752/$E752)</f>
        <v/>
      </c>
      <c r="M752" s="10" t="str">
        <f aca="false">IF(OR($L752="",$L752=0),"",($I752/30)/$L752)</f>
        <v/>
      </c>
      <c r="N752" s="8"/>
      <c r="O752" s="11" t="str">
        <f aca="false">IF(OR($I752="",$N752=""),"",($I752/1000)*$N752)</f>
        <v/>
      </c>
      <c r="P752" s="12" t="str">
        <f aca="false">IF($C752="","",IFERROR(ROUND(MIN(25,($N752/Instellingen!$B$3)*25)+MIN(25,($I752/Instellingen!$B$4)*25)+MIN(25,($J752/Instellingen!$B$5)*25)+MIN(25,(IF($M752="",0,$M752)/Instellingen!$B$6)*25),0),""))</f>
        <v/>
      </c>
      <c r="Q752" s="13" t="str">
        <f aca="false">IF($P752="","",IF($P752&gt;=Instellingen!$B$7,"Sterke niche",IF($P752&gt;=Instellingen!$B$8,"Belofte - opvolgen",IF($P752&gt;=Instellingen!$B$9,"Zwak - twijfel","Vermijden"))))</f>
        <v/>
      </c>
      <c r="R752" s="5"/>
      <c r="T752" s="1" t="str">
        <f aca="false">IF($C752="","",IF($P752=_xlfn.MAXIFS($P$3:$P$1000,$B$3:$B$1000,$B752),"★ Cash cow – handmatig onderzoeken",""))</f>
        <v/>
      </c>
    </row>
    <row r="753" customFormat="false" ht="14.25" hidden="false" customHeight="true" outlineLevel="0" collapsed="false">
      <c r="A753" s="4"/>
      <c r="B753" s="5"/>
      <c r="C753" s="5"/>
      <c r="D753" s="5"/>
      <c r="E753" s="6"/>
      <c r="F753" s="7"/>
      <c r="G753" s="8"/>
      <c r="H753" s="7"/>
      <c r="I753" s="7"/>
      <c r="J753" s="6"/>
      <c r="K753" s="9" t="str">
        <f aca="false">IF(OR($J753="",$J753=0),"",$I753/$J753)</f>
        <v/>
      </c>
      <c r="L753" s="9" t="str">
        <f aca="false">IF(OR($E753="",$E753=0),"",$H753/$E753)</f>
        <v/>
      </c>
      <c r="M753" s="10" t="str">
        <f aca="false">IF(OR($L753="",$L753=0),"",($I753/30)/$L753)</f>
        <v/>
      </c>
      <c r="N753" s="8"/>
      <c r="O753" s="11" t="str">
        <f aca="false">IF(OR($I753="",$N753=""),"",($I753/1000)*$N753)</f>
        <v/>
      </c>
      <c r="P753" s="12" t="str">
        <f aca="false">IF($C753="","",IFERROR(ROUND(MIN(25,($N753/Instellingen!$B$3)*25)+MIN(25,($I753/Instellingen!$B$4)*25)+MIN(25,($J753/Instellingen!$B$5)*25)+MIN(25,(IF($M753="",0,$M753)/Instellingen!$B$6)*25),0),""))</f>
        <v/>
      </c>
      <c r="Q753" s="13" t="str">
        <f aca="false">IF($P753="","",IF($P753&gt;=Instellingen!$B$7,"Sterke niche",IF($P753&gt;=Instellingen!$B$8,"Belofte - opvolgen",IF($P753&gt;=Instellingen!$B$9,"Zwak - twijfel","Vermijden"))))</f>
        <v/>
      </c>
      <c r="R753" s="5"/>
      <c r="T753" s="1" t="str">
        <f aca="false">IF($C753="","",IF($P753=_xlfn.MAXIFS($P$3:$P$1000,$B$3:$B$1000,$B753),"★ Cash cow – handmatig onderzoeken",""))</f>
        <v/>
      </c>
    </row>
    <row r="754" customFormat="false" ht="14.25" hidden="false" customHeight="true" outlineLevel="0" collapsed="false">
      <c r="A754" s="4"/>
      <c r="B754" s="5"/>
      <c r="C754" s="5"/>
      <c r="D754" s="5"/>
      <c r="E754" s="6"/>
      <c r="F754" s="7"/>
      <c r="G754" s="8"/>
      <c r="H754" s="7"/>
      <c r="I754" s="7"/>
      <c r="J754" s="6"/>
      <c r="K754" s="9" t="str">
        <f aca="false">IF(OR($J754="",$J754=0),"",$I754/$J754)</f>
        <v/>
      </c>
      <c r="L754" s="9" t="str">
        <f aca="false">IF(OR($E754="",$E754=0),"",$H754/$E754)</f>
        <v/>
      </c>
      <c r="M754" s="10" t="str">
        <f aca="false">IF(OR($L754="",$L754=0),"",($I754/30)/$L754)</f>
        <v/>
      </c>
      <c r="N754" s="8"/>
      <c r="O754" s="11" t="str">
        <f aca="false">IF(OR($I754="",$N754=""),"",($I754/1000)*$N754)</f>
        <v/>
      </c>
      <c r="P754" s="12" t="str">
        <f aca="false">IF($C754="","",IFERROR(ROUND(MIN(25,($N754/Instellingen!$B$3)*25)+MIN(25,($I754/Instellingen!$B$4)*25)+MIN(25,($J754/Instellingen!$B$5)*25)+MIN(25,(IF($M754="",0,$M754)/Instellingen!$B$6)*25),0),""))</f>
        <v/>
      </c>
      <c r="Q754" s="13" t="str">
        <f aca="false">IF($P754="","",IF($P754&gt;=Instellingen!$B$7,"Sterke niche",IF($P754&gt;=Instellingen!$B$8,"Belofte - opvolgen",IF($P754&gt;=Instellingen!$B$9,"Zwak - twijfel","Vermijden"))))</f>
        <v/>
      </c>
      <c r="R754" s="5"/>
      <c r="T754" s="1" t="str">
        <f aca="false">IF($C754="","",IF($P754=_xlfn.MAXIFS($P$3:$P$1000,$B$3:$B$1000,$B754),"★ Cash cow – handmatig onderzoeken",""))</f>
        <v/>
      </c>
    </row>
    <row r="755" customFormat="false" ht="14.25" hidden="false" customHeight="true" outlineLevel="0" collapsed="false">
      <c r="A755" s="4"/>
      <c r="B755" s="5"/>
      <c r="C755" s="5"/>
      <c r="D755" s="5"/>
      <c r="E755" s="6"/>
      <c r="F755" s="7"/>
      <c r="G755" s="8"/>
      <c r="H755" s="7"/>
      <c r="I755" s="7"/>
      <c r="J755" s="6"/>
      <c r="K755" s="9" t="str">
        <f aca="false">IF(OR($J755="",$J755=0),"",$I755/$J755)</f>
        <v/>
      </c>
      <c r="L755" s="9" t="str">
        <f aca="false">IF(OR($E755="",$E755=0),"",$H755/$E755)</f>
        <v/>
      </c>
      <c r="M755" s="10" t="str">
        <f aca="false">IF(OR($L755="",$L755=0),"",($I755/30)/$L755)</f>
        <v/>
      </c>
      <c r="N755" s="8"/>
      <c r="O755" s="11" t="str">
        <f aca="false">IF(OR($I755="",$N755=""),"",($I755/1000)*$N755)</f>
        <v/>
      </c>
      <c r="P755" s="12" t="str">
        <f aca="false">IF($C755="","",IFERROR(ROUND(MIN(25,($N755/Instellingen!$B$3)*25)+MIN(25,($I755/Instellingen!$B$4)*25)+MIN(25,($J755/Instellingen!$B$5)*25)+MIN(25,(IF($M755="",0,$M755)/Instellingen!$B$6)*25),0),""))</f>
        <v/>
      </c>
      <c r="Q755" s="13" t="str">
        <f aca="false">IF($P755="","",IF($P755&gt;=Instellingen!$B$7,"Sterke niche",IF($P755&gt;=Instellingen!$B$8,"Belofte - opvolgen",IF($P755&gt;=Instellingen!$B$9,"Zwak - twijfel","Vermijden"))))</f>
        <v/>
      </c>
      <c r="R755" s="5"/>
      <c r="T755" s="1" t="str">
        <f aca="false">IF($C755="","",IF($P755=_xlfn.MAXIFS($P$3:$P$1000,$B$3:$B$1000,$B755),"★ Cash cow – handmatig onderzoeken",""))</f>
        <v/>
      </c>
    </row>
    <row r="756" customFormat="false" ht="14.25" hidden="false" customHeight="true" outlineLevel="0" collapsed="false">
      <c r="A756" s="4"/>
      <c r="B756" s="5"/>
      <c r="C756" s="5"/>
      <c r="D756" s="5"/>
      <c r="E756" s="6"/>
      <c r="F756" s="7"/>
      <c r="G756" s="8"/>
      <c r="H756" s="7"/>
      <c r="I756" s="7"/>
      <c r="J756" s="6"/>
      <c r="K756" s="9" t="str">
        <f aca="false">IF(OR($J756="",$J756=0),"",$I756/$J756)</f>
        <v/>
      </c>
      <c r="L756" s="9" t="str">
        <f aca="false">IF(OR($E756="",$E756=0),"",$H756/$E756)</f>
        <v/>
      </c>
      <c r="M756" s="10" t="str">
        <f aca="false">IF(OR($L756="",$L756=0),"",($I756/30)/$L756)</f>
        <v/>
      </c>
      <c r="N756" s="8"/>
      <c r="O756" s="11" t="str">
        <f aca="false">IF(OR($I756="",$N756=""),"",($I756/1000)*$N756)</f>
        <v/>
      </c>
      <c r="P756" s="12" t="str">
        <f aca="false">IF($C756="","",IFERROR(ROUND(MIN(25,($N756/Instellingen!$B$3)*25)+MIN(25,($I756/Instellingen!$B$4)*25)+MIN(25,($J756/Instellingen!$B$5)*25)+MIN(25,(IF($M756="",0,$M756)/Instellingen!$B$6)*25),0),""))</f>
        <v/>
      </c>
      <c r="Q756" s="13" t="str">
        <f aca="false">IF($P756="","",IF($P756&gt;=Instellingen!$B$7,"Sterke niche",IF($P756&gt;=Instellingen!$B$8,"Belofte - opvolgen",IF($P756&gt;=Instellingen!$B$9,"Zwak - twijfel","Vermijden"))))</f>
        <v/>
      </c>
      <c r="R756" s="5"/>
      <c r="T756" s="1" t="str">
        <f aca="false">IF($C756="","",IF($P756=_xlfn.MAXIFS($P$3:$P$1000,$B$3:$B$1000,$B756),"★ Cash cow – handmatig onderzoeken",""))</f>
        <v/>
      </c>
    </row>
    <row r="757" customFormat="false" ht="14.25" hidden="false" customHeight="true" outlineLevel="0" collapsed="false">
      <c r="A757" s="4"/>
      <c r="B757" s="5"/>
      <c r="C757" s="5"/>
      <c r="D757" s="5"/>
      <c r="E757" s="6"/>
      <c r="F757" s="7"/>
      <c r="G757" s="8"/>
      <c r="H757" s="7"/>
      <c r="I757" s="7"/>
      <c r="J757" s="6"/>
      <c r="K757" s="9" t="str">
        <f aca="false">IF(OR($J757="",$J757=0),"",$I757/$J757)</f>
        <v/>
      </c>
      <c r="L757" s="9" t="str">
        <f aca="false">IF(OR($E757="",$E757=0),"",$H757/$E757)</f>
        <v/>
      </c>
      <c r="M757" s="10" t="str">
        <f aca="false">IF(OR($L757="",$L757=0),"",($I757/30)/$L757)</f>
        <v/>
      </c>
      <c r="N757" s="8"/>
      <c r="O757" s="11" t="str">
        <f aca="false">IF(OR($I757="",$N757=""),"",($I757/1000)*$N757)</f>
        <v/>
      </c>
      <c r="P757" s="12" t="str">
        <f aca="false">IF($C757="","",IFERROR(ROUND(MIN(25,($N757/Instellingen!$B$3)*25)+MIN(25,($I757/Instellingen!$B$4)*25)+MIN(25,($J757/Instellingen!$B$5)*25)+MIN(25,(IF($M757="",0,$M757)/Instellingen!$B$6)*25),0),""))</f>
        <v/>
      </c>
      <c r="Q757" s="13" t="str">
        <f aca="false">IF($P757="","",IF($P757&gt;=Instellingen!$B$7,"Sterke niche",IF($P757&gt;=Instellingen!$B$8,"Belofte - opvolgen",IF($P757&gt;=Instellingen!$B$9,"Zwak - twijfel","Vermijden"))))</f>
        <v/>
      </c>
      <c r="R757" s="5"/>
      <c r="T757" s="1" t="str">
        <f aca="false">IF($C757="","",IF($P757=_xlfn.MAXIFS($P$3:$P$1000,$B$3:$B$1000,$B757),"★ Cash cow – handmatig onderzoeken",""))</f>
        <v/>
      </c>
    </row>
    <row r="758" customFormat="false" ht="14.25" hidden="false" customHeight="true" outlineLevel="0" collapsed="false">
      <c r="A758" s="4"/>
      <c r="B758" s="5"/>
      <c r="C758" s="5"/>
      <c r="D758" s="5"/>
      <c r="E758" s="6"/>
      <c r="F758" s="7"/>
      <c r="G758" s="8"/>
      <c r="H758" s="7"/>
      <c r="I758" s="7"/>
      <c r="J758" s="6"/>
      <c r="K758" s="9" t="str">
        <f aca="false">IF(OR($J758="",$J758=0),"",$I758/$J758)</f>
        <v/>
      </c>
      <c r="L758" s="9" t="str">
        <f aca="false">IF(OR($E758="",$E758=0),"",$H758/$E758)</f>
        <v/>
      </c>
      <c r="M758" s="10" t="str">
        <f aca="false">IF(OR($L758="",$L758=0),"",($I758/30)/$L758)</f>
        <v/>
      </c>
      <c r="N758" s="8"/>
      <c r="O758" s="11" t="str">
        <f aca="false">IF(OR($I758="",$N758=""),"",($I758/1000)*$N758)</f>
        <v/>
      </c>
      <c r="P758" s="12" t="str">
        <f aca="false">IF($C758="","",IFERROR(ROUND(MIN(25,($N758/Instellingen!$B$3)*25)+MIN(25,($I758/Instellingen!$B$4)*25)+MIN(25,($J758/Instellingen!$B$5)*25)+MIN(25,(IF($M758="",0,$M758)/Instellingen!$B$6)*25),0),""))</f>
        <v/>
      </c>
      <c r="Q758" s="13" t="str">
        <f aca="false">IF($P758="","",IF($P758&gt;=Instellingen!$B$7,"Sterke niche",IF($P758&gt;=Instellingen!$B$8,"Belofte - opvolgen",IF($P758&gt;=Instellingen!$B$9,"Zwak - twijfel","Vermijden"))))</f>
        <v/>
      </c>
      <c r="R758" s="5"/>
      <c r="T758" s="1" t="str">
        <f aca="false">IF($C758="","",IF($P758=_xlfn.MAXIFS($P$3:$P$1000,$B$3:$B$1000,$B758),"★ Cash cow – handmatig onderzoeken",""))</f>
        <v/>
      </c>
    </row>
    <row r="759" customFormat="false" ht="14.25" hidden="false" customHeight="true" outlineLevel="0" collapsed="false">
      <c r="A759" s="4"/>
      <c r="B759" s="5"/>
      <c r="C759" s="5"/>
      <c r="D759" s="5"/>
      <c r="E759" s="6"/>
      <c r="F759" s="7"/>
      <c r="G759" s="8"/>
      <c r="H759" s="7"/>
      <c r="I759" s="7"/>
      <c r="J759" s="6"/>
      <c r="K759" s="9" t="str">
        <f aca="false">IF(OR($J759="",$J759=0),"",$I759/$J759)</f>
        <v/>
      </c>
      <c r="L759" s="9" t="str">
        <f aca="false">IF(OR($E759="",$E759=0),"",$H759/$E759)</f>
        <v/>
      </c>
      <c r="M759" s="10" t="str">
        <f aca="false">IF(OR($L759="",$L759=0),"",($I759/30)/$L759)</f>
        <v/>
      </c>
      <c r="N759" s="8"/>
      <c r="O759" s="11" t="str">
        <f aca="false">IF(OR($I759="",$N759=""),"",($I759/1000)*$N759)</f>
        <v/>
      </c>
      <c r="P759" s="12" t="str">
        <f aca="false">IF($C759="","",IFERROR(ROUND(MIN(25,($N759/Instellingen!$B$3)*25)+MIN(25,($I759/Instellingen!$B$4)*25)+MIN(25,($J759/Instellingen!$B$5)*25)+MIN(25,(IF($M759="",0,$M759)/Instellingen!$B$6)*25),0),""))</f>
        <v/>
      </c>
      <c r="Q759" s="13" t="str">
        <f aca="false">IF($P759="","",IF($P759&gt;=Instellingen!$B$7,"Sterke niche",IF($P759&gt;=Instellingen!$B$8,"Belofte - opvolgen",IF($P759&gt;=Instellingen!$B$9,"Zwak - twijfel","Vermijden"))))</f>
        <v/>
      </c>
      <c r="R759" s="5"/>
      <c r="T759" s="1" t="str">
        <f aca="false">IF($C759="","",IF($P759=_xlfn.MAXIFS($P$3:$P$1000,$B$3:$B$1000,$B759),"★ Cash cow – handmatig onderzoeken",""))</f>
        <v/>
      </c>
    </row>
    <row r="760" customFormat="false" ht="14.25" hidden="false" customHeight="true" outlineLevel="0" collapsed="false">
      <c r="A760" s="4"/>
      <c r="B760" s="5"/>
      <c r="C760" s="5"/>
      <c r="D760" s="5"/>
      <c r="E760" s="6"/>
      <c r="F760" s="7"/>
      <c r="G760" s="8"/>
      <c r="H760" s="7"/>
      <c r="I760" s="7"/>
      <c r="J760" s="6"/>
      <c r="K760" s="9" t="str">
        <f aca="false">IF(OR($J760="",$J760=0),"",$I760/$J760)</f>
        <v/>
      </c>
      <c r="L760" s="9" t="str">
        <f aca="false">IF(OR($E760="",$E760=0),"",$H760/$E760)</f>
        <v/>
      </c>
      <c r="M760" s="10" t="str">
        <f aca="false">IF(OR($L760="",$L760=0),"",($I760/30)/$L760)</f>
        <v/>
      </c>
      <c r="N760" s="8"/>
      <c r="O760" s="11" t="str">
        <f aca="false">IF(OR($I760="",$N760=""),"",($I760/1000)*$N760)</f>
        <v/>
      </c>
      <c r="P760" s="12" t="str">
        <f aca="false">IF($C760="","",IFERROR(ROUND(MIN(25,($N760/Instellingen!$B$3)*25)+MIN(25,($I760/Instellingen!$B$4)*25)+MIN(25,($J760/Instellingen!$B$5)*25)+MIN(25,(IF($M760="",0,$M760)/Instellingen!$B$6)*25),0),""))</f>
        <v/>
      </c>
      <c r="Q760" s="13" t="str">
        <f aca="false">IF($P760="","",IF($P760&gt;=Instellingen!$B$7,"Sterke niche",IF($P760&gt;=Instellingen!$B$8,"Belofte - opvolgen",IF($P760&gt;=Instellingen!$B$9,"Zwak - twijfel","Vermijden"))))</f>
        <v/>
      </c>
      <c r="R760" s="5"/>
      <c r="T760" s="1" t="str">
        <f aca="false">IF($C760="","",IF($P760=_xlfn.MAXIFS($P$3:$P$1000,$B$3:$B$1000,$B760),"★ Cash cow – handmatig onderzoeken",""))</f>
        <v/>
      </c>
    </row>
    <row r="761" customFormat="false" ht="14.25" hidden="false" customHeight="true" outlineLevel="0" collapsed="false">
      <c r="A761" s="4"/>
      <c r="B761" s="5"/>
      <c r="C761" s="5"/>
      <c r="D761" s="5"/>
      <c r="E761" s="6"/>
      <c r="F761" s="7"/>
      <c r="G761" s="8"/>
      <c r="H761" s="7"/>
      <c r="I761" s="7"/>
      <c r="J761" s="6"/>
      <c r="K761" s="9" t="str">
        <f aca="false">IF(OR($J761="",$J761=0),"",$I761/$J761)</f>
        <v/>
      </c>
      <c r="L761" s="9" t="str">
        <f aca="false">IF(OR($E761="",$E761=0),"",$H761/$E761)</f>
        <v/>
      </c>
      <c r="M761" s="10" t="str">
        <f aca="false">IF(OR($L761="",$L761=0),"",($I761/30)/$L761)</f>
        <v/>
      </c>
      <c r="N761" s="8"/>
      <c r="O761" s="11" t="str">
        <f aca="false">IF(OR($I761="",$N761=""),"",($I761/1000)*$N761)</f>
        <v/>
      </c>
      <c r="P761" s="12" t="str">
        <f aca="false">IF($C761="","",IFERROR(ROUND(MIN(25,($N761/Instellingen!$B$3)*25)+MIN(25,($I761/Instellingen!$B$4)*25)+MIN(25,($J761/Instellingen!$B$5)*25)+MIN(25,(IF($M761="",0,$M761)/Instellingen!$B$6)*25),0),""))</f>
        <v/>
      </c>
      <c r="Q761" s="13" t="str">
        <f aca="false">IF($P761="","",IF($P761&gt;=Instellingen!$B$7,"Sterke niche",IF($P761&gt;=Instellingen!$B$8,"Belofte - opvolgen",IF($P761&gt;=Instellingen!$B$9,"Zwak - twijfel","Vermijden"))))</f>
        <v/>
      </c>
      <c r="R761" s="5"/>
      <c r="T761" s="1" t="str">
        <f aca="false">IF($C761="","",IF($P761=_xlfn.MAXIFS($P$3:$P$1000,$B$3:$B$1000,$B761),"★ Cash cow – handmatig onderzoeken",""))</f>
        <v/>
      </c>
    </row>
    <row r="762" customFormat="false" ht="14.25" hidden="false" customHeight="true" outlineLevel="0" collapsed="false">
      <c r="A762" s="4"/>
      <c r="B762" s="5"/>
      <c r="C762" s="5"/>
      <c r="D762" s="5"/>
      <c r="E762" s="6"/>
      <c r="F762" s="7"/>
      <c r="G762" s="8"/>
      <c r="H762" s="7"/>
      <c r="I762" s="7"/>
      <c r="J762" s="6"/>
      <c r="K762" s="9" t="str">
        <f aca="false">IF(OR($J762="",$J762=0),"",$I762/$J762)</f>
        <v/>
      </c>
      <c r="L762" s="9" t="str">
        <f aca="false">IF(OR($E762="",$E762=0),"",$H762/$E762)</f>
        <v/>
      </c>
      <c r="M762" s="10" t="str">
        <f aca="false">IF(OR($L762="",$L762=0),"",($I762/30)/$L762)</f>
        <v/>
      </c>
      <c r="N762" s="8"/>
      <c r="O762" s="11" t="str">
        <f aca="false">IF(OR($I762="",$N762=""),"",($I762/1000)*$N762)</f>
        <v/>
      </c>
      <c r="P762" s="12" t="str">
        <f aca="false">IF($C762="","",IFERROR(ROUND(MIN(25,($N762/Instellingen!$B$3)*25)+MIN(25,($I762/Instellingen!$B$4)*25)+MIN(25,($J762/Instellingen!$B$5)*25)+MIN(25,(IF($M762="",0,$M762)/Instellingen!$B$6)*25),0),""))</f>
        <v/>
      </c>
      <c r="Q762" s="13" t="str">
        <f aca="false">IF($P762="","",IF($P762&gt;=Instellingen!$B$7,"Sterke niche",IF($P762&gt;=Instellingen!$B$8,"Belofte - opvolgen",IF($P762&gt;=Instellingen!$B$9,"Zwak - twijfel","Vermijden"))))</f>
        <v/>
      </c>
      <c r="R762" s="5"/>
      <c r="T762" s="1" t="str">
        <f aca="false">IF($C762="","",IF($P762=_xlfn.MAXIFS($P$3:$P$1000,$B$3:$B$1000,$B762),"★ Cash cow – handmatig onderzoeken",""))</f>
        <v/>
      </c>
    </row>
    <row r="763" customFormat="false" ht="14.25" hidden="false" customHeight="true" outlineLevel="0" collapsed="false">
      <c r="A763" s="4"/>
      <c r="B763" s="5"/>
      <c r="C763" s="5"/>
      <c r="D763" s="5"/>
      <c r="E763" s="6"/>
      <c r="F763" s="7"/>
      <c r="G763" s="8"/>
      <c r="H763" s="7"/>
      <c r="I763" s="7"/>
      <c r="J763" s="6"/>
      <c r="K763" s="9" t="str">
        <f aca="false">IF(OR($J763="",$J763=0),"",$I763/$J763)</f>
        <v/>
      </c>
      <c r="L763" s="9" t="str">
        <f aca="false">IF(OR($E763="",$E763=0),"",$H763/$E763)</f>
        <v/>
      </c>
      <c r="M763" s="10" t="str">
        <f aca="false">IF(OR($L763="",$L763=0),"",($I763/30)/$L763)</f>
        <v/>
      </c>
      <c r="N763" s="8"/>
      <c r="O763" s="11" t="str">
        <f aca="false">IF(OR($I763="",$N763=""),"",($I763/1000)*$N763)</f>
        <v/>
      </c>
      <c r="P763" s="12" t="str">
        <f aca="false">IF($C763="","",IFERROR(ROUND(MIN(25,($N763/Instellingen!$B$3)*25)+MIN(25,($I763/Instellingen!$B$4)*25)+MIN(25,($J763/Instellingen!$B$5)*25)+MIN(25,(IF($M763="",0,$M763)/Instellingen!$B$6)*25),0),""))</f>
        <v/>
      </c>
      <c r="Q763" s="13" t="str">
        <f aca="false">IF($P763="","",IF($P763&gt;=Instellingen!$B$7,"Sterke niche",IF($P763&gt;=Instellingen!$B$8,"Belofte - opvolgen",IF($P763&gt;=Instellingen!$B$9,"Zwak - twijfel","Vermijden"))))</f>
        <v/>
      </c>
      <c r="R763" s="5"/>
      <c r="T763" s="1" t="str">
        <f aca="false">IF($C763="","",IF($P763=_xlfn.MAXIFS($P$3:$P$1000,$B$3:$B$1000,$B763),"★ Cash cow – handmatig onderzoeken",""))</f>
        <v/>
      </c>
    </row>
    <row r="764" customFormat="false" ht="14.25" hidden="false" customHeight="true" outlineLevel="0" collapsed="false">
      <c r="A764" s="4"/>
      <c r="B764" s="5"/>
      <c r="C764" s="5"/>
      <c r="D764" s="5"/>
      <c r="E764" s="6"/>
      <c r="F764" s="7"/>
      <c r="G764" s="8"/>
      <c r="H764" s="7"/>
      <c r="I764" s="7"/>
      <c r="J764" s="6"/>
      <c r="K764" s="9" t="str">
        <f aca="false">IF(OR($J764="",$J764=0),"",$I764/$J764)</f>
        <v/>
      </c>
      <c r="L764" s="9" t="str">
        <f aca="false">IF(OR($E764="",$E764=0),"",$H764/$E764)</f>
        <v/>
      </c>
      <c r="M764" s="10" t="str">
        <f aca="false">IF(OR($L764="",$L764=0),"",($I764/30)/$L764)</f>
        <v/>
      </c>
      <c r="N764" s="8"/>
      <c r="O764" s="11" t="str">
        <f aca="false">IF(OR($I764="",$N764=""),"",($I764/1000)*$N764)</f>
        <v/>
      </c>
      <c r="P764" s="12" t="str">
        <f aca="false">IF($C764="","",IFERROR(ROUND(MIN(25,($N764/Instellingen!$B$3)*25)+MIN(25,($I764/Instellingen!$B$4)*25)+MIN(25,($J764/Instellingen!$B$5)*25)+MIN(25,(IF($M764="",0,$M764)/Instellingen!$B$6)*25),0),""))</f>
        <v/>
      </c>
      <c r="Q764" s="13" t="str">
        <f aca="false">IF($P764="","",IF($P764&gt;=Instellingen!$B$7,"Sterke niche",IF($P764&gt;=Instellingen!$B$8,"Belofte - opvolgen",IF($P764&gt;=Instellingen!$B$9,"Zwak - twijfel","Vermijden"))))</f>
        <v/>
      </c>
      <c r="R764" s="5"/>
      <c r="T764" s="1" t="str">
        <f aca="false">IF($C764="","",IF($P764=_xlfn.MAXIFS($P$3:$P$1000,$B$3:$B$1000,$B764),"★ Cash cow – handmatig onderzoeken",""))</f>
        <v/>
      </c>
    </row>
    <row r="765" customFormat="false" ht="14.25" hidden="false" customHeight="true" outlineLevel="0" collapsed="false">
      <c r="A765" s="4"/>
      <c r="B765" s="5"/>
      <c r="C765" s="5"/>
      <c r="D765" s="5"/>
      <c r="E765" s="6"/>
      <c r="F765" s="7"/>
      <c r="G765" s="8"/>
      <c r="H765" s="7"/>
      <c r="I765" s="7"/>
      <c r="J765" s="6"/>
      <c r="K765" s="9" t="str">
        <f aca="false">IF(OR($J765="",$J765=0),"",$I765/$J765)</f>
        <v/>
      </c>
      <c r="L765" s="9" t="str">
        <f aca="false">IF(OR($E765="",$E765=0),"",$H765/$E765)</f>
        <v/>
      </c>
      <c r="M765" s="10" t="str">
        <f aca="false">IF(OR($L765="",$L765=0),"",($I765/30)/$L765)</f>
        <v/>
      </c>
      <c r="N765" s="8"/>
      <c r="O765" s="11" t="str">
        <f aca="false">IF(OR($I765="",$N765=""),"",($I765/1000)*$N765)</f>
        <v/>
      </c>
      <c r="P765" s="12" t="str">
        <f aca="false">IF($C765="","",IFERROR(ROUND(MIN(25,($N765/Instellingen!$B$3)*25)+MIN(25,($I765/Instellingen!$B$4)*25)+MIN(25,($J765/Instellingen!$B$5)*25)+MIN(25,(IF($M765="",0,$M765)/Instellingen!$B$6)*25),0),""))</f>
        <v/>
      </c>
      <c r="Q765" s="13" t="str">
        <f aca="false">IF($P765="","",IF($P765&gt;=Instellingen!$B$7,"Sterke niche",IF($P765&gt;=Instellingen!$B$8,"Belofte - opvolgen",IF($P765&gt;=Instellingen!$B$9,"Zwak - twijfel","Vermijden"))))</f>
        <v/>
      </c>
      <c r="R765" s="5"/>
      <c r="T765" s="1" t="str">
        <f aca="false">IF($C765="","",IF($P765=_xlfn.MAXIFS($P$3:$P$1000,$B$3:$B$1000,$B765),"★ Cash cow – handmatig onderzoeken",""))</f>
        <v/>
      </c>
    </row>
    <row r="766" customFormat="false" ht="14.25" hidden="false" customHeight="true" outlineLevel="0" collapsed="false">
      <c r="A766" s="4"/>
      <c r="B766" s="5"/>
      <c r="C766" s="5"/>
      <c r="D766" s="5"/>
      <c r="E766" s="6"/>
      <c r="F766" s="7"/>
      <c r="G766" s="8"/>
      <c r="H766" s="7"/>
      <c r="I766" s="7"/>
      <c r="J766" s="6"/>
      <c r="K766" s="9" t="str">
        <f aca="false">IF(OR($J766="",$J766=0),"",$I766/$J766)</f>
        <v/>
      </c>
      <c r="L766" s="9" t="str">
        <f aca="false">IF(OR($E766="",$E766=0),"",$H766/$E766)</f>
        <v/>
      </c>
      <c r="M766" s="10" t="str">
        <f aca="false">IF(OR($L766="",$L766=0),"",($I766/30)/$L766)</f>
        <v/>
      </c>
      <c r="N766" s="8"/>
      <c r="O766" s="11" t="str">
        <f aca="false">IF(OR($I766="",$N766=""),"",($I766/1000)*$N766)</f>
        <v/>
      </c>
      <c r="P766" s="12" t="str">
        <f aca="false">IF($C766="","",IFERROR(ROUND(MIN(25,($N766/Instellingen!$B$3)*25)+MIN(25,($I766/Instellingen!$B$4)*25)+MIN(25,($J766/Instellingen!$B$5)*25)+MIN(25,(IF($M766="",0,$M766)/Instellingen!$B$6)*25),0),""))</f>
        <v/>
      </c>
      <c r="Q766" s="13" t="str">
        <f aca="false">IF($P766="","",IF($P766&gt;=Instellingen!$B$7,"Sterke niche",IF($P766&gt;=Instellingen!$B$8,"Belofte - opvolgen",IF($P766&gt;=Instellingen!$B$9,"Zwak - twijfel","Vermijden"))))</f>
        <v/>
      </c>
      <c r="R766" s="5"/>
      <c r="T766" s="1" t="str">
        <f aca="false">IF($C766="","",IF($P766=_xlfn.MAXIFS($P$3:$P$1000,$B$3:$B$1000,$B766),"★ Cash cow – handmatig onderzoeken",""))</f>
        <v/>
      </c>
    </row>
    <row r="767" customFormat="false" ht="14.25" hidden="false" customHeight="true" outlineLevel="0" collapsed="false">
      <c r="A767" s="4"/>
      <c r="B767" s="5"/>
      <c r="C767" s="5"/>
      <c r="D767" s="5"/>
      <c r="E767" s="6"/>
      <c r="F767" s="7"/>
      <c r="G767" s="8"/>
      <c r="H767" s="7"/>
      <c r="I767" s="7"/>
      <c r="J767" s="6"/>
      <c r="K767" s="9" t="str">
        <f aca="false">IF(OR($J767="",$J767=0),"",$I767/$J767)</f>
        <v/>
      </c>
      <c r="L767" s="9" t="str">
        <f aca="false">IF(OR($E767="",$E767=0),"",$H767/$E767)</f>
        <v/>
      </c>
      <c r="M767" s="10" t="str">
        <f aca="false">IF(OR($L767="",$L767=0),"",($I767/30)/$L767)</f>
        <v/>
      </c>
      <c r="N767" s="8"/>
      <c r="O767" s="11" t="str">
        <f aca="false">IF(OR($I767="",$N767=""),"",($I767/1000)*$N767)</f>
        <v/>
      </c>
      <c r="P767" s="12" t="str">
        <f aca="false">IF($C767="","",IFERROR(ROUND(MIN(25,($N767/Instellingen!$B$3)*25)+MIN(25,($I767/Instellingen!$B$4)*25)+MIN(25,($J767/Instellingen!$B$5)*25)+MIN(25,(IF($M767="",0,$M767)/Instellingen!$B$6)*25),0),""))</f>
        <v/>
      </c>
      <c r="Q767" s="13" t="str">
        <f aca="false">IF($P767="","",IF($P767&gt;=Instellingen!$B$7,"Sterke niche",IF($P767&gt;=Instellingen!$B$8,"Belofte - opvolgen",IF($P767&gt;=Instellingen!$B$9,"Zwak - twijfel","Vermijden"))))</f>
        <v/>
      </c>
      <c r="R767" s="5"/>
      <c r="T767" s="1" t="str">
        <f aca="false">IF($C767="","",IF($P767=_xlfn.MAXIFS($P$3:$P$1000,$B$3:$B$1000,$B767),"★ Cash cow – handmatig onderzoeken",""))</f>
        <v/>
      </c>
    </row>
    <row r="768" customFormat="false" ht="14.25" hidden="false" customHeight="true" outlineLevel="0" collapsed="false">
      <c r="A768" s="4"/>
      <c r="B768" s="5"/>
      <c r="C768" s="5"/>
      <c r="D768" s="5"/>
      <c r="E768" s="6"/>
      <c r="F768" s="7"/>
      <c r="G768" s="8"/>
      <c r="H768" s="7"/>
      <c r="I768" s="7"/>
      <c r="J768" s="6"/>
      <c r="K768" s="9" t="str">
        <f aca="false">IF(OR($J768="",$J768=0),"",$I768/$J768)</f>
        <v/>
      </c>
      <c r="L768" s="9" t="str">
        <f aca="false">IF(OR($E768="",$E768=0),"",$H768/$E768)</f>
        <v/>
      </c>
      <c r="M768" s="10" t="str">
        <f aca="false">IF(OR($L768="",$L768=0),"",($I768/30)/$L768)</f>
        <v/>
      </c>
      <c r="N768" s="8"/>
      <c r="O768" s="11" t="str">
        <f aca="false">IF(OR($I768="",$N768=""),"",($I768/1000)*$N768)</f>
        <v/>
      </c>
      <c r="P768" s="12" t="str">
        <f aca="false">IF($C768="","",IFERROR(ROUND(MIN(25,($N768/Instellingen!$B$3)*25)+MIN(25,($I768/Instellingen!$B$4)*25)+MIN(25,($J768/Instellingen!$B$5)*25)+MIN(25,(IF($M768="",0,$M768)/Instellingen!$B$6)*25),0),""))</f>
        <v/>
      </c>
      <c r="Q768" s="13" t="str">
        <f aca="false">IF($P768="","",IF($P768&gt;=Instellingen!$B$7,"Sterke niche",IF($P768&gt;=Instellingen!$B$8,"Belofte - opvolgen",IF($P768&gt;=Instellingen!$B$9,"Zwak - twijfel","Vermijden"))))</f>
        <v/>
      </c>
      <c r="R768" s="5"/>
      <c r="T768" s="1" t="str">
        <f aca="false">IF($C768="","",IF($P768=_xlfn.MAXIFS($P$3:$P$1000,$B$3:$B$1000,$B768),"★ Cash cow – handmatig onderzoeken",""))</f>
        <v/>
      </c>
    </row>
    <row r="769" customFormat="false" ht="14.25" hidden="false" customHeight="true" outlineLevel="0" collapsed="false">
      <c r="A769" s="4"/>
      <c r="B769" s="5"/>
      <c r="C769" s="5"/>
      <c r="D769" s="5"/>
      <c r="E769" s="6"/>
      <c r="F769" s="7"/>
      <c r="G769" s="8"/>
      <c r="H769" s="7"/>
      <c r="I769" s="7"/>
      <c r="J769" s="6"/>
      <c r="K769" s="9" t="str">
        <f aca="false">IF(OR($J769="",$J769=0),"",$I769/$J769)</f>
        <v/>
      </c>
      <c r="L769" s="9" t="str">
        <f aca="false">IF(OR($E769="",$E769=0),"",$H769/$E769)</f>
        <v/>
      </c>
      <c r="M769" s="10" t="str">
        <f aca="false">IF(OR($L769="",$L769=0),"",($I769/30)/$L769)</f>
        <v/>
      </c>
      <c r="N769" s="8"/>
      <c r="O769" s="11" t="str">
        <f aca="false">IF(OR($I769="",$N769=""),"",($I769/1000)*$N769)</f>
        <v/>
      </c>
      <c r="P769" s="12" t="str">
        <f aca="false">IF($C769="","",IFERROR(ROUND(MIN(25,($N769/Instellingen!$B$3)*25)+MIN(25,($I769/Instellingen!$B$4)*25)+MIN(25,($J769/Instellingen!$B$5)*25)+MIN(25,(IF($M769="",0,$M769)/Instellingen!$B$6)*25),0),""))</f>
        <v/>
      </c>
      <c r="Q769" s="13" t="str">
        <f aca="false">IF($P769="","",IF($P769&gt;=Instellingen!$B$7,"Sterke niche",IF($P769&gt;=Instellingen!$B$8,"Belofte - opvolgen",IF($P769&gt;=Instellingen!$B$9,"Zwak - twijfel","Vermijden"))))</f>
        <v/>
      </c>
      <c r="R769" s="5"/>
      <c r="T769" s="1" t="str">
        <f aca="false">IF($C769="","",IF($P769=_xlfn.MAXIFS($P$3:$P$1000,$B$3:$B$1000,$B769),"★ Cash cow – handmatig onderzoeken",""))</f>
        <v/>
      </c>
    </row>
    <row r="770" customFormat="false" ht="14.25" hidden="false" customHeight="true" outlineLevel="0" collapsed="false">
      <c r="A770" s="4"/>
      <c r="B770" s="5"/>
      <c r="C770" s="5"/>
      <c r="D770" s="5"/>
      <c r="E770" s="6"/>
      <c r="F770" s="7"/>
      <c r="G770" s="8"/>
      <c r="H770" s="7"/>
      <c r="I770" s="7"/>
      <c r="J770" s="6"/>
      <c r="K770" s="9" t="str">
        <f aca="false">IF(OR($J770="",$J770=0),"",$I770/$J770)</f>
        <v/>
      </c>
      <c r="L770" s="9" t="str">
        <f aca="false">IF(OR($E770="",$E770=0),"",$H770/$E770)</f>
        <v/>
      </c>
      <c r="M770" s="10" t="str">
        <f aca="false">IF(OR($L770="",$L770=0),"",($I770/30)/$L770)</f>
        <v/>
      </c>
      <c r="N770" s="8"/>
      <c r="O770" s="11" t="str">
        <f aca="false">IF(OR($I770="",$N770=""),"",($I770/1000)*$N770)</f>
        <v/>
      </c>
      <c r="P770" s="12" t="str">
        <f aca="false">IF($C770="","",IFERROR(ROUND(MIN(25,($N770/Instellingen!$B$3)*25)+MIN(25,($I770/Instellingen!$B$4)*25)+MIN(25,($J770/Instellingen!$B$5)*25)+MIN(25,(IF($M770="",0,$M770)/Instellingen!$B$6)*25),0),""))</f>
        <v/>
      </c>
      <c r="Q770" s="13" t="str">
        <f aca="false">IF($P770="","",IF($P770&gt;=Instellingen!$B$7,"Sterke niche",IF($P770&gt;=Instellingen!$B$8,"Belofte - opvolgen",IF($P770&gt;=Instellingen!$B$9,"Zwak - twijfel","Vermijden"))))</f>
        <v/>
      </c>
      <c r="R770" s="5"/>
      <c r="T770" s="1" t="str">
        <f aca="false">IF($C770="","",IF($P770=_xlfn.MAXIFS($P$3:$P$1000,$B$3:$B$1000,$B770),"★ Cash cow – handmatig onderzoeken",""))</f>
        <v/>
      </c>
    </row>
    <row r="771" customFormat="false" ht="14.25" hidden="false" customHeight="true" outlineLevel="0" collapsed="false">
      <c r="A771" s="4"/>
      <c r="B771" s="5"/>
      <c r="C771" s="5"/>
      <c r="D771" s="5"/>
      <c r="E771" s="6"/>
      <c r="F771" s="7"/>
      <c r="G771" s="8"/>
      <c r="H771" s="7"/>
      <c r="I771" s="7"/>
      <c r="J771" s="6"/>
      <c r="K771" s="9" t="str">
        <f aca="false">IF(OR($J771="",$J771=0),"",$I771/$J771)</f>
        <v/>
      </c>
      <c r="L771" s="9" t="str">
        <f aca="false">IF(OR($E771="",$E771=0),"",$H771/$E771)</f>
        <v/>
      </c>
      <c r="M771" s="10" t="str">
        <f aca="false">IF(OR($L771="",$L771=0),"",($I771/30)/$L771)</f>
        <v/>
      </c>
      <c r="N771" s="8"/>
      <c r="O771" s="11" t="str">
        <f aca="false">IF(OR($I771="",$N771=""),"",($I771/1000)*$N771)</f>
        <v/>
      </c>
      <c r="P771" s="12" t="str">
        <f aca="false">IF($C771="","",IFERROR(ROUND(MIN(25,($N771/Instellingen!$B$3)*25)+MIN(25,($I771/Instellingen!$B$4)*25)+MIN(25,($J771/Instellingen!$B$5)*25)+MIN(25,(IF($M771="",0,$M771)/Instellingen!$B$6)*25),0),""))</f>
        <v/>
      </c>
      <c r="Q771" s="13" t="str">
        <f aca="false">IF($P771="","",IF($P771&gt;=Instellingen!$B$7,"Sterke niche",IF($P771&gt;=Instellingen!$B$8,"Belofte - opvolgen",IF($P771&gt;=Instellingen!$B$9,"Zwak - twijfel","Vermijden"))))</f>
        <v/>
      </c>
      <c r="R771" s="5"/>
      <c r="T771" s="1" t="str">
        <f aca="false">IF($C771="","",IF($P771=_xlfn.MAXIFS($P$3:$P$1000,$B$3:$B$1000,$B771),"★ Cash cow – handmatig onderzoeken",""))</f>
        <v/>
      </c>
    </row>
    <row r="772" customFormat="false" ht="14.25" hidden="false" customHeight="true" outlineLevel="0" collapsed="false">
      <c r="A772" s="4"/>
      <c r="B772" s="5"/>
      <c r="C772" s="5"/>
      <c r="D772" s="5"/>
      <c r="E772" s="6"/>
      <c r="F772" s="7"/>
      <c r="G772" s="8"/>
      <c r="H772" s="7"/>
      <c r="I772" s="7"/>
      <c r="J772" s="6"/>
      <c r="K772" s="9" t="str">
        <f aca="false">IF(OR($J772="",$J772=0),"",$I772/$J772)</f>
        <v/>
      </c>
      <c r="L772" s="9" t="str">
        <f aca="false">IF(OR($E772="",$E772=0),"",$H772/$E772)</f>
        <v/>
      </c>
      <c r="M772" s="10" t="str">
        <f aca="false">IF(OR($L772="",$L772=0),"",($I772/30)/$L772)</f>
        <v/>
      </c>
      <c r="N772" s="8"/>
      <c r="O772" s="11" t="str">
        <f aca="false">IF(OR($I772="",$N772=""),"",($I772/1000)*$N772)</f>
        <v/>
      </c>
      <c r="P772" s="12" t="str">
        <f aca="false">IF($C772="","",IFERROR(ROUND(MIN(25,($N772/Instellingen!$B$3)*25)+MIN(25,($I772/Instellingen!$B$4)*25)+MIN(25,($J772/Instellingen!$B$5)*25)+MIN(25,(IF($M772="",0,$M772)/Instellingen!$B$6)*25),0),""))</f>
        <v/>
      </c>
      <c r="Q772" s="13" t="str">
        <f aca="false">IF($P772="","",IF($P772&gt;=Instellingen!$B$7,"Sterke niche",IF($P772&gt;=Instellingen!$B$8,"Belofte - opvolgen",IF($P772&gt;=Instellingen!$B$9,"Zwak - twijfel","Vermijden"))))</f>
        <v/>
      </c>
      <c r="R772" s="5"/>
      <c r="T772" s="1" t="str">
        <f aca="false">IF($C772="","",IF($P772=_xlfn.MAXIFS($P$3:$P$1000,$B$3:$B$1000,$B772),"★ Cash cow – handmatig onderzoeken",""))</f>
        <v/>
      </c>
    </row>
    <row r="773" customFormat="false" ht="14.25" hidden="false" customHeight="true" outlineLevel="0" collapsed="false">
      <c r="A773" s="4"/>
      <c r="B773" s="5"/>
      <c r="C773" s="5"/>
      <c r="D773" s="5"/>
      <c r="E773" s="6"/>
      <c r="F773" s="7"/>
      <c r="G773" s="8"/>
      <c r="H773" s="7"/>
      <c r="I773" s="7"/>
      <c r="J773" s="6"/>
      <c r="K773" s="9" t="str">
        <f aca="false">IF(OR($J773="",$J773=0),"",$I773/$J773)</f>
        <v/>
      </c>
      <c r="L773" s="9" t="str">
        <f aca="false">IF(OR($E773="",$E773=0),"",$H773/$E773)</f>
        <v/>
      </c>
      <c r="M773" s="10" t="str">
        <f aca="false">IF(OR($L773="",$L773=0),"",($I773/30)/$L773)</f>
        <v/>
      </c>
      <c r="N773" s="8"/>
      <c r="O773" s="11" t="str">
        <f aca="false">IF(OR($I773="",$N773=""),"",($I773/1000)*$N773)</f>
        <v/>
      </c>
      <c r="P773" s="12" t="str">
        <f aca="false">IF($C773="","",IFERROR(ROUND(MIN(25,($N773/Instellingen!$B$3)*25)+MIN(25,($I773/Instellingen!$B$4)*25)+MIN(25,($J773/Instellingen!$B$5)*25)+MIN(25,(IF($M773="",0,$M773)/Instellingen!$B$6)*25),0),""))</f>
        <v/>
      </c>
      <c r="Q773" s="13" t="str">
        <f aca="false">IF($P773="","",IF($P773&gt;=Instellingen!$B$7,"Sterke niche",IF($P773&gt;=Instellingen!$B$8,"Belofte - opvolgen",IF($P773&gt;=Instellingen!$B$9,"Zwak - twijfel","Vermijden"))))</f>
        <v/>
      </c>
      <c r="R773" s="5"/>
      <c r="T773" s="1" t="str">
        <f aca="false">IF($C773="","",IF($P773=_xlfn.MAXIFS($P$3:$P$1000,$B$3:$B$1000,$B773),"★ Cash cow – handmatig onderzoeken",""))</f>
        <v/>
      </c>
    </row>
    <row r="774" customFormat="false" ht="14.25" hidden="false" customHeight="true" outlineLevel="0" collapsed="false">
      <c r="A774" s="4"/>
      <c r="B774" s="5"/>
      <c r="C774" s="5"/>
      <c r="D774" s="5"/>
      <c r="E774" s="6"/>
      <c r="F774" s="7"/>
      <c r="G774" s="8"/>
      <c r="H774" s="7"/>
      <c r="I774" s="7"/>
      <c r="J774" s="6"/>
      <c r="K774" s="9" t="str">
        <f aca="false">IF(OR($J774="",$J774=0),"",$I774/$J774)</f>
        <v/>
      </c>
      <c r="L774" s="9" t="str">
        <f aca="false">IF(OR($E774="",$E774=0),"",$H774/$E774)</f>
        <v/>
      </c>
      <c r="M774" s="10" t="str">
        <f aca="false">IF(OR($L774="",$L774=0),"",($I774/30)/$L774)</f>
        <v/>
      </c>
      <c r="N774" s="8"/>
      <c r="O774" s="11" t="str">
        <f aca="false">IF(OR($I774="",$N774=""),"",($I774/1000)*$N774)</f>
        <v/>
      </c>
      <c r="P774" s="12" t="str">
        <f aca="false">IF($C774="","",IFERROR(ROUND(MIN(25,($N774/Instellingen!$B$3)*25)+MIN(25,($I774/Instellingen!$B$4)*25)+MIN(25,($J774/Instellingen!$B$5)*25)+MIN(25,(IF($M774="",0,$M774)/Instellingen!$B$6)*25),0),""))</f>
        <v/>
      </c>
      <c r="Q774" s="13" t="str">
        <f aca="false">IF($P774="","",IF($P774&gt;=Instellingen!$B$7,"Sterke niche",IF($P774&gt;=Instellingen!$B$8,"Belofte - opvolgen",IF($P774&gt;=Instellingen!$B$9,"Zwak - twijfel","Vermijden"))))</f>
        <v/>
      </c>
      <c r="R774" s="5"/>
      <c r="T774" s="1" t="str">
        <f aca="false">IF($C774="","",IF($P774=_xlfn.MAXIFS($P$3:$P$1000,$B$3:$B$1000,$B774),"★ Cash cow – handmatig onderzoeken",""))</f>
        <v/>
      </c>
    </row>
    <row r="775" customFormat="false" ht="14.25" hidden="false" customHeight="true" outlineLevel="0" collapsed="false">
      <c r="A775" s="4"/>
      <c r="B775" s="5"/>
      <c r="C775" s="5"/>
      <c r="D775" s="5"/>
      <c r="E775" s="6"/>
      <c r="F775" s="7"/>
      <c r="G775" s="8"/>
      <c r="H775" s="7"/>
      <c r="I775" s="7"/>
      <c r="J775" s="6"/>
      <c r="K775" s="9" t="str">
        <f aca="false">IF(OR($J775="",$J775=0),"",$I775/$J775)</f>
        <v/>
      </c>
      <c r="L775" s="9" t="str">
        <f aca="false">IF(OR($E775="",$E775=0),"",$H775/$E775)</f>
        <v/>
      </c>
      <c r="M775" s="10" t="str">
        <f aca="false">IF(OR($L775="",$L775=0),"",($I775/30)/$L775)</f>
        <v/>
      </c>
      <c r="N775" s="8"/>
      <c r="O775" s="11" t="str">
        <f aca="false">IF(OR($I775="",$N775=""),"",($I775/1000)*$N775)</f>
        <v/>
      </c>
      <c r="P775" s="12" t="str">
        <f aca="false">IF($C775="","",IFERROR(ROUND(MIN(25,($N775/Instellingen!$B$3)*25)+MIN(25,($I775/Instellingen!$B$4)*25)+MIN(25,($J775/Instellingen!$B$5)*25)+MIN(25,(IF($M775="",0,$M775)/Instellingen!$B$6)*25),0),""))</f>
        <v/>
      </c>
      <c r="Q775" s="13" t="str">
        <f aca="false">IF($P775="","",IF($P775&gt;=Instellingen!$B$7,"Sterke niche",IF($P775&gt;=Instellingen!$B$8,"Belofte - opvolgen",IF($P775&gt;=Instellingen!$B$9,"Zwak - twijfel","Vermijden"))))</f>
        <v/>
      </c>
      <c r="R775" s="5"/>
      <c r="T775" s="1" t="str">
        <f aca="false">IF($C775="","",IF($P775=_xlfn.MAXIFS($P$3:$P$1000,$B$3:$B$1000,$B775),"★ Cash cow – handmatig onderzoeken",""))</f>
        <v/>
      </c>
    </row>
    <row r="776" customFormat="false" ht="14.25" hidden="false" customHeight="true" outlineLevel="0" collapsed="false">
      <c r="A776" s="4"/>
      <c r="B776" s="5"/>
      <c r="C776" s="5"/>
      <c r="D776" s="5"/>
      <c r="E776" s="6"/>
      <c r="F776" s="7"/>
      <c r="G776" s="8"/>
      <c r="H776" s="7"/>
      <c r="I776" s="7"/>
      <c r="J776" s="6"/>
      <c r="K776" s="9" t="str">
        <f aca="false">IF(OR($J776="",$J776=0),"",$I776/$J776)</f>
        <v/>
      </c>
      <c r="L776" s="9" t="str">
        <f aca="false">IF(OR($E776="",$E776=0),"",$H776/$E776)</f>
        <v/>
      </c>
      <c r="M776" s="10" t="str">
        <f aca="false">IF(OR($L776="",$L776=0),"",($I776/30)/$L776)</f>
        <v/>
      </c>
      <c r="N776" s="8"/>
      <c r="O776" s="11" t="str">
        <f aca="false">IF(OR($I776="",$N776=""),"",($I776/1000)*$N776)</f>
        <v/>
      </c>
      <c r="P776" s="12" t="str">
        <f aca="false">IF($C776="","",IFERROR(ROUND(MIN(25,($N776/Instellingen!$B$3)*25)+MIN(25,($I776/Instellingen!$B$4)*25)+MIN(25,($J776/Instellingen!$B$5)*25)+MIN(25,(IF($M776="",0,$M776)/Instellingen!$B$6)*25),0),""))</f>
        <v/>
      </c>
      <c r="Q776" s="13" t="str">
        <f aca="false">IF($P776="","",IF($P776&gt;=Instellingen!$B$7,"Sterke niche",IF($P776&gt;=Instellingen!$B$8,"Belofte - opvolgen",IF($P776&gt;=Instellingen!$B$9,"Zwak - twijfel","Vermijden"))))</f>
        <v/>
      </c>
      <c r="R776" s="5"/>
      <c r="T776" s="1" t="str">
        <f aca="false">IF($C776="","",IF($P776=_xlfn.MAXIFS($P$3:$P$1000,$B$3:$B$1000,$B776),"★ Cash cow – handmatig onderzoeken",""))</f>
        <v/>
      </c>
    </row>
    <row r="777" customFormat="false" ht="14.25" hidden="false" customHeight="true" outlineLevel="0" collapsed="false">
      <c r="A777" s="4"/>
      <c r="B777" s="5"/>
      <c r="C777" s="5"/>
      <c r="D777" s="5"/>
      <c r="E777" s="6"/>
      <c r="F777" s="7"/>
      <c r="G777" s="8"/>
      <c r="H777" s="7"/>
      <c r="I777" s="7"/>
      <c r="J777" s="6"/>
      <c r="K777" s="9" t="str">
        <f aca="false">IF(OR($J777="",$J777=0),"",$I777/$J777)</f>
        <v/>
      </c>
      <c r="L777" s="9" t="str">
        <f aca="false">IF(OR($E777="",$E777=0),"",$H777/$E777)</f>
        <v/>
      </c>
      <c r="M777" s="10" t="str">
        <f aca="false">IF(OR($L777="",$L777=0),"",($I777/30)/$L777)</f>
        <v/>
      </c>
      <c r="N777" s="8"/>
      <c r="O777" s="11" t="str">
        <f aca="false">IF(OR($I777="",$N777=""),"",($I777/1000)*$N777)</f>
        <v/>
      </c>
      <c r="P777" s="12" t="str">
        <f aca="false">IF($C777="","",IFERROR(ROUND(MIN(25,($N777/Instellingen!$B$3)*25)+MIN(25,($I777/Instellingen!$B$4)*25)+MIN(25,($J777/Instellingen!$B$5)*25)+MIN(25,(IF($M777="",0,$M777)/Instellingen!$B$6)*25),0),""))</f>
        <v/>
      </c>
      <c r="Q777" s="13" t="str">
        <f aca="false">IF($P777="","",IF($P777&gt;=Instellingen!$B$7,"Sterke niche",IF($P777&gt;=Instellingen!$B$8,"Belofte - opvolgen",IF($P777&gt;=Instellingen!$B$9,"Zwak - twijfel","Vermijden"))))</f>
        <v/>
      </c>
      <c r="R777" s="5"/>
      <c r="T777" s="1" t="str">
        <f aca="false">IF($C777="","",IF($P777=_xlfn.MAXIFS($P$3:$P$1000,$B$3:$B$1000,$B777),"★ Cash cow – handmatig onderzoeken",""))</f>
        <v/>
      </c>
    </row>
    <row r="778" customFormat="false" ht="14.25" hidden="false" customHeight="true" outlineLevel="0" collapsed="false">
      <c r="A778" s="4"/>
      <c r="B778" s="5"/>
      <c r="C778" s="5"/>
      <c r="D778" s="5"/>
      <c r="E778" s="6"/>
      <c r="F778" s="7"/>
      <c r="G778" s="8"/>
      <c r="H778" s="7"/>
      <c r="I778" s="7"/>
      <c r="J778" s="6"/>
      <c r="K778" s="9" t="str">
        <f aca="false">IF(OR($J778="",$J778=0),"",$I778/$J778)</f>
        <v/>
      </c>
      <c r="L778" s="9" t="str">
        <f aca="false">IF(OR($E778="",$E778=0),"",$H778/$E778)</f>
        <v/>
      </c>
      <c r="M778" s="10" t="str">
        <f aca="false">IF(OR($L778="",$L778=0),"",($I778/30)/$L778)</f>
        <v/>
      </c>
      <c r="N778" s="8"/>
      <c r="O778" s="11" t="str">
        <f aca="false">IF(OR($I778="",$N778=""),"",($I778/1000)*$N778)</f>
        <v/>
      </c>
      <c r="P778" s="12" t="str">
        <f aca="false">IF($C778="","",IFERROR(ROUND(MIN(25,($N778/Instellingen!$B$3)*25)+MIN(25,($I778/Instellingen!$B$4)*25)+MIN(25,($J778/Instellingen!$B$5)*25)+MIN(25,(IF($M778="",0,$M778)/Instellingen!$B$6)*25),0),""))</f>
        <v/>
      </c>
      <c r="Q778" s="13" t="str">
        <f aca="false">IF($P778="","",IF($P778&gt;=Instellingen!$B$7,"Sterke niche",IF($P778&gt;=Instellingen!$B$8,"Belofte - opvolgen",IF($P778&gt;=Instellingen!$B$9,"Zwak - twijfel","Vermijden"))))</f>
        <v/>
      </c>
      <c r="R778" s="5"/>
      <c r="T778" s="1" t="str">
        <f aca="false">IF($C778="","",IF($P778=_xlfn.MAXIFS($P$3:$P$1000,$B$3:$B$1000,$B778),"★ Cash cow – handmatig onderzoeken",""))</f>
        <v/>
      </c>
    </row>
    <row r="779" customFormat="false" ht="14.25" hidden="false" customHeight="true" outlineLevel="0" collapsed="false">
      <c r="A779" s="4"/>
      <c r="B779" s="5"/>
      <c r="C779" s="5"/>
      <c r="D779" s="5"/>
      <c r="E779" s="6"/>
      <c r="F779" s="7"/>
      <c r="G779" s="8"/>
      <c r="H779" s="7"/>
      <c r="I779" s="7"/>
      <c r="J779" s="6"/>
      <c r="K779" s="9" t="str">
        <f aca="false">IF(OR($J779="",$J779=0),"",$I779/$J779)</f>
        <v/>
      </c>
      <c r="L779" s="9" t="str">
        <f aca="false">IF(OR($E779="",$E779=0),"",$H779/$E779)</f>
        <v/>
      </c>
      <c r="M779" s="10" t="str">
        <f aca="false">IF(OR($L779="",$L779=0),"",($I779/30)/$L779)</f>
        <v/>
      </c>
      <c r="N779" s="8"/>
      <c r="O779" s="11" t="str">
        <f aca="false">IF(OR($I779="",$N779=""),"",($I779/1000)*$N779)</f>
        <v/>
      </c>
      <c r="P779" s="12" t="str">
        <f aca="false">IF($C779="","",IFERROR(ROUND(MIN(25,($N779/Instellingen!$B$3)*25)+MIN(25,($I779/Instellingen!$B$4)*25)+MIN(25,($J779/Instellingen!$B$5)*25)+MIN(25,(IF($M779="",0,$M779)/Instellingen!$B$6)*25),0),""))</f>
        <v/>
      </c>
      <c r="Q779" s="13" t="str">
        <f aca="false">IF($P779="","",IF($P779&gt;=Instellingen!$B$7,"Sterke niche",IF($P779&gt;=Instellingen!$B$8,"Belofte - opvolgen",IF($P779&gt;=Instellingen!$B$9,"Zwak - twijfel","Vermijden"))))</f>
        <v/>
      </c>
      <c r="R779" s="5"/>
      <c r="T779" s="1" t="str">
        <f aca="false">IF($C779="","",IF($P779=_xlfn.MAXIFS($P$3:$P$1000,$B$3:$B$1000,$B779),"★ Cash cow – handmatig onderzoeken",""))</f>
        <v/>
      </c>
    </row>
    <row r="780" customFormat="false" ht="14.25" hidden="false" customHeight="true" outlineLevel="0" collapsed="false">
      <c r="A780" s="4"/>
      <c r="B780" s="5"/>
      <c r="C780" s="5"/>
      <c r="D780" s="5"/>
      <c r="E780" s="6"/>
      <c r="F780" s="7"/>
      <c r="G780" s="8"/>
      <c r="H780" s="7"/>
      <c r="I780" s="7"/>
      <c r="J780" s="6"/>
      <c r="K780" s="9" t="str">
        <f aca="false">IF(OR($J780="",$J780=0),"",$I780/$J780)</f>
        <v/>
      </c>
      <c r="L780" s="9" t="str">
        <f aca="false">IF(OR($E780="",$E780=0),"",$H780/$E780)</f>
        <v/>
      </c>
      <c r="M780" s="10" t="str">
        <f aca="false">IF(OR($L780="",$L780=0),"",($I780/30)/$L780)</f>
        <v/>
      </c>
      <c r="N780" s="8"/>
      <c r="O780" s="11" t="str">
        <f aca="false">IF(OR($I780="",$N780=""),"",($I780/1000)*$N780)</f>
        <v/>
      </c>
      <c r="P780" s="12" t="str">
        <f aca="false">IF($C780="","",IFERROR(ROUND(MIN(25,($N780/Instellingen!$B$3)*25)+MIN(25,($I780/Instellingen!$B$4)*25)+MIN(25,($J780/Instellingen!$B$5)*25)+MIN(25,(IF($M780="",0,$M780)/Instellingen!$B$6)*25),0),""))</f>
        <v/>
      </c>
      <c r="Q780" s="13" t="str">
        <f aca="false">IF($P780="","",IF($P780&gt;=Instellingen!$B$7,"Sterke niche",IF($P780&gt;=Instellingen!$B$8,"Belofte - opvolgen",IF($P780&gt;=Instellingen!$B$9,"Zwak - twijfel","Vermijden"))))</f>
        <v/>
      </c>
      <c r="R780" s="5"/>
      <c r="T780" s="1" t="str">
        <f aca="false">IF($C780="","",IF($P780=_xlfn.MAXIFS($P$3:$P$1000,$B$3:$B$1000,$B780),"★ Cash cow – handmatig onderzoeken",""))</f>
        <v/>
      </c>
    </row>
    <row r="781" customFormat="false" ht="14.25" hidden="false" customHeight="true" outlineLevel="0" collapsed="false">
      <c r="A781" s="4"/>
      <c r="B781" s="5"/>
      <c r="C781" s="5"/>
      <c r="D781" s="5"/>
      <c r="E781" s="6"/>
      <c r="F781" s="7"/>
      <c r="G781" s="8"/>
      <c r="H781" s="7"/>
      <c r="I781" s="7"/>
      <c r="J781" s="6"/>
      <c r="K781" s="9" t="str">
        <f aca="false">IF(OR($J781="",$J781=0),"",$I781/$J781)</f>
        <v/>
      </c>
      <c r="L781" s="9" t="str">
        <f aca="false">IF(OR($E781="",$E781=0),"",$H781/$E781)</f>
        <v/>
      </c>
      <c r="M781" s="10" t="str">
        <f aca="false">IF(OR($L781="",$L781=0),"",($I781/30)/$L781)</f>
        <v/>
      </c>
      <c r="N781" s="8"/>
      <c r="O781" s="11" t="str">
        <f aca="false">IF(OR($I781="",$N781=""),"",($I781/1000)*$N781)</f>
        <v/>
      </c>
      <c r="P781" s="12" t="str">
        <f aca="false">IF($C781="","",IFERROR(ROUND(MIN(25,($N781/Instellingen!$B$3)*25)+MIN(25,($I781/Instellingen!$B$4)*25)+MIN(25,($J781/Instellingen!$B$5)*25)+MIN(25,(IF($M781="",0,$M781)/Instellingen!$B$6)*25),0),""))</f>
        <v/>
      </c>
      <c r="Q781" s="13" t="str">
        <f aca="false">IF($P781="","",IF($P781&gt;=Instellingen!$B$7,"Sterke niche",IF($P781&gt;=Instellingen!$B$8,"Belofte - opvolgen",IF($P781&gt;=Instellingen!$B$9,"Zwak - twijfel","Vermijden"))))</f>
        <v/>
      </c>
      <c r="R781" s="5"/>
      <c r="T781" s="1" t="str">
        <f aca="false">IF($C781="","",IF($P781=_xlfn.MAXIFS($P$3:$P$1000,$B$3:$B$1000,$B781),"★ Cash cow – handmatig onderzoeken",""))</f>
        <v/>
      </c>
    </row>
    <row r="782" customFormat="false" ht="14.25" hidden="false" customHeight="true" outlineLevel="0" collapsed="false">
      <c r="A782" s="4"/>
      <c r="B782" s="5"/>
      <c r="C782" s="5"/>
      <c r="D782" s="5"/>
      <c r="E782" s="6"/>
      <c r="F782" s="7"/>
      <c r="G782" s="8"/>
      <c r="H782" s="7"/>
      <c r="I782" s="7"/>
      <c r="J782" s="6"/>
      <c r="K782" s="9" t="str">
        <f aca="false">IF(OR($J782="",$J782=0),"",$I782/$J782)</f>
        <v/>
      </c>
      <c r="L782" s="9" t="str">
        <f aca="false">IF(OR($E782="",$E782=0),"",$H782/$E782)</f>
        <v/>
      </c>
      <c r="M782" s="10" t="str">
        <f aca="false">IF(OR($L782="",$L782=0),"",($I782/30)/$L782)</f>
        <v/>
      </c>
      <c r="N782" s="8"/>
      <c r="O782" s="11" t="str">
        <f aca="false">IF(OR($I782="",$N782=""),"",($I782/1000)*$N782)</f>
        <v/>
      </c>
      <c r="P782" s="12" t="str">
        <f aca="false">IF($C782="","",IFERROR(ROUND(MIN(25,($N782/Instellingen!$B$3)*25)+MIN(25,($I782/Instellingen!$B$4)*25)+MIN(25,($J782/Instellingen!$B$5)*25)+MIN(25,(IF($M782="",0,$M782)/Instellingen!$B$6)*25),0),""))</f>
        <v/>
      </c>
      <c r="Q782" s="13" t="str">
        <f aca="false">IF($P782="","",IF($P782&gt;=Instellingen!$B$7,"Sterke niche",IF($P782&gt;=Instellingen!$B$8,"Belofte - opvolgen",IF($P782&gt;=Instellingen!$B$9,"Zwak - twijfel","Vermijden"))))</f>
        <v/>
      </c>
      <c r="R782" s="5"/>
      <c r="T782" s="1" t="str">
        <f aca="false">IF($C782="","",IF($P782=_xlfn.MAXIFS($P$3:$P$1000,$B$3:$B$1000,$B782),"★ Cash cow – handmatig onderzoeken",""))</f>
        <v/>
      </c>
    </row>
    <row r="783" customFormat="false" ht="14.25" hidden="false" customHeight="true" outlineLevel="0" collapsed="false">
      <c r="A783" s="4"/>
      <c r="B783" s="5"/>
      <c r="C783" s="5"/>
      <c r="D783" s="5"/>
      <c r="E783" s="6"/>
      <c r="F783" s="7"/>
      <c r="G783" s="8"/>
      <c r="H783" s="7"/>
      <c r="I783" s="7"/>
      <c r="J783" s="6"/>
      <c r="K783" s="9" t="str">
        <f aca="false">IF(OR($J783="",$J783=0),"",$I783/$J783)</f>
        <v/>
      </c>
      <c r="L783" s="9" t="str">
        <f aca="false">IF(OR($E783="",$E783=0),"",$H783/$E783)</f>
        <v/>
      </c>
      <c r="M783" s="10" t="str">
        <f aca="false">IF(OR($L783="",$L783=0),"",($I783/30)/$L783)</f>
        <v/>
      </c>
      <c r="N783" s="8"/>
      <c r="O783" s="11" t="str">
        <f aca="false">IF(OR($I783="",$N783=""),"",($I783/1000)*$N783)</f>
        <v/>
      </c>
      <c r="P783" s="12" t="str">
        <f aca="false">IF($C783="","",IFERROR(ROUND(MIN(25,($N783/Instellingen!$B$3)*25)+MIN(25,($I783/Instellingen!$B$4)*25)+MIN(25,($J783/Instellingen!$B$5)*25)+MIN(25,(IF($M783="",0,$M783)/Instellingen!$B$6)*25),0),""))</f>
        <v/>
      </c>
      <c r="Q783" s="13" t="str">
        <f aca="false">IF($P783="","",IF($P783&gt;=Instellingen!$B$7,"Sterke niche",IF($P783&gt;=Instellingen!$B$8,"Belofte - opvolgen",IF($P783&gt;=Instellingen!$B$9,"Zwak - twijfel","Vermijden"))))</f>
        <v/>
      </c>
      <c r="R783" s="5"/>
      <c r="T783" s="1" t="str">
        <f aca="false">IF($C783="","",IF($P783=_xlfn.MAXIFS($P$3:$P$1000,$B$3:$B$1000,$B783),"★ Cash cow – handmatig onderzoeken",""))</f>
        <v/>
      </c>
    </row>
    <row r="784" customFormat="false" ht="14.25" hidden="false" customHeight="true" outlineLevel="0" collapsed="false">
      <c r="A784" s="4"/>
      <c r="B784" s="5"/>
      <c r="C784" s="5"/>
      <c r="D784" s="5"/>
      <c r="E784" s="6"/>
      <c r="F784" s="7"/>
      <c r="G784" s="8"/>
      <c r="H784" s="7"/>
      <c r="I784" s="7"/>
      <c r="J784" s="6"/>
      <c r="K784" s="9" t="str">
        <f aca="false">IF(OR($J784="",$J784=0),"",$I784/$J784)</f>
        <v/>
      </c>
      <c r="L784" s="9" t="str">
        <f aca="false">IF(OR($E784="",$E784=0),"",$H784/$E784)</f>
        <v/>
      </c>
      <c r="M784" s="10" t="str">
        <f aca="false">IF(OR($L784="",$L784=0),"",($I784/30)/$L784)</f>
        <v/>
      </c>
      <c r="N784" s="8"/>
      <c r="O784" s="11" t="str">
        <f aca="false">IF(OR($I784="",$N784=""),"",($I784/1000)*$N784)</f>
        <v/>
      </c>
      <c r="P784" s="12" t="str">
        <f aca="false">IF($C784="","",IFERROR(ROUND(MIN(25,($N784/Instellingen!$B$3)*25)+MIN(25,($I784/Instellingen!$B$4)*25)+MIN(25,($J784/Instellingen!$B$5)*25)+MIN(25,(IF($M784="",0,$M784)/Instellingen!$B$6)*25),0),""))</f>
        <v/>
      </c>
      <c r="Q784" s="13" t="str">
        <f aca="false">IF($P784="","",IF($P784&gt;=Instellingen!$B$7,"Sterke niche",IF($P784&gt;=Instellingen!$B$8,"Belofte - opvolgen",IF($P784&gt;=Instellingen!$B$9,"Zwak - twijfel","Vermijden"))))</f>
        <v/>
      </c>
      <c r="R784" s="5"/>
      <c r="T784" s="1" t="str">
        <f aca="false">IF($C784="","",IF($P784=_xlfn.MAXIFS($P$3:$P$1000,$B$3:$B$1000,$B784),"★ Cash cow – handmatig onderzoeken",""))</f>
        <v/>
      </c>
    </row>
    <row r="785" customFormat="false" ht="14.25" hidden="false" customHeight="true" outlineLevel="0" collapsed="false">
      <c r="A785" s="4"/>
      <c r="B785" s="5"/>
      <c r="C785" s="5"/>
      <c r="D785" s="5"/>
      <c r="E785" s="6"/>
      <c r="F785" s="7"/>
      <c r="G785" s="8"/>
      <c r="H785" s="7"/>
      <c r="I785" s="7"/>
      <c r="J785" s="6"/>
      <c r="K785" s="9" t="str">
        <f aca="false">IF(OR($J785="",$J785=0),"",$I785/$J785)</f>
        <v/>
      </c>
      <c r="L785" s="9" t="str">
        <f aca="false">IF(OR($E785="",$E785=0),"",$H785/$E785)</f>
        <v/>
      </c>
      <c r="M785" s="10" t="str">
        <f aca="false">IF(OR($L785="",$L785=0),"",($I785/30)/$L785)</f>
        <v/>
      </c>
      <c r="N785" s="8"/>
      <c r="O785" s="11" t="str">
        <f aca="false">IF(OR($I785="",$N785=""),"",($I785/1000)*$N785)</f>
        <v/>
      </c>
      <c r="P785" s="12" t="str">
        <f aca="false">IF($C785="","",IFERROR(ROUND(MIN(25,($N785/Instellingen!$B$3)*25)+MIN(25,($I785/Instellingen!$B$4)*25)+MIN(25,($J785/Instellingen!$B$5)*25)+MIN(25,(IF($M785="",0,$M785)/Instellingen!$B$6)*25),0),""))</f>
        <v/>
      </c>
      <c r="Q785" s="13" t="str">
        <f aca="false">IF($P785="","",IF($P785&gt;=Instellingen!$B$7,"Sterke niche",IF($P785&gt;=Instellingen!$B$8,"Belofte - opvolgen",IF($P785&gt;=Instellingen!$B$9,"Zwak - twijfel","Vermijden"))))</f>
        <v/>
      </c>
      <c r="R785" s="5"/>
      <c r="T785" s="1" t="str">
        <f aca="false">IF($C785="","",IF($P785=_xlfn.MAXIFS($P$3:$P$1000,$B$3:$B$1000,$B785),"★ Cash cow – handmatig onderzoeken",""))</f>
        <v/>
      </c>
    </row>
    <row r="786" customFormat="false" ht="14.25" hidden="false" customHeight="true" outlineLevel="0" collapsed="false">
      <c r="A786" s="4"/>
      <c r="B786" s="5"/>
      <c r="C786" s="5"/>
      <c r="D786" s="5"/>
      <c r="E786" s="6"/>
      <c r="F786" s="7"/>
      <c r="G786" s="8"/>
      <c r="H786" s="7"/>
      <c r="I786" s="7"/>
      <c r="J786" s="6"/>
      <c r="K786" s="9" t="str">
        <f aca="false">IF(OR($J786="",$J786=0),"",$I786/$J786)</f>
        <v/>
      </c>
      <c r="L786" s="9" t="str">
        <f aca="false">IF(OR($E786="",$E786=0),"",$H786/$E786)</f>
        <v/>
      </c>
      <c r="M786" s="10" t="str">
        <f aca="false">IF(OR($L786="",$L786=0),"",($I786/30)/$L786)</f>
        <v/>
      </c>
      <c r="N786" s="8"/>
      <c r="O786" s="11" t="str">
        <f aca="false">IF(OR($I786="",$N786=""),"",($I786/1000)*$N786)</f>
        <v/>
      </c>
      <c r="P786" s="12" t="str">
        <f aca="false">IF($C786="","",IFERROR(ROUND(MIN(25,($N786/Instellingen!$B$3)*25)+MIN(25,($I786/Instellingen!$B$4)*25)+MIN(25,($J786/Instellingen!$B$5)*25)+MIN(25,(IF($M786="",0,$M786)/Instellingen!$B$6)*25),0),""))</f>
        <v/>
      </c>
      <c r="Q786" s="13" t="str">
        <f aca="false">IF($P786="","",IF($P786&gt;=Instellingen!$B$7,"Sterke niche",IF($P786&gt;=Instellingen!$B$8,"Belofte - opvolgen",IF($P786&gt;=Instellingen!$B$9,"Zwak - twijfel","Vermijden"))))</f>
        <v/>
      </c>
      <c r="R786" s="5"/>
      <c r="T786" s="1" t="str">
        <f aca="false">IF($C786="","",IF($P786=_xlfn.MAXIFS($P$3:$P$1000,$B$3:$B$1000,$B786),"★ Cash cow – handmatig onderzoeken",""))</f>
        <v/>
      </c>
    </row>
    <row r="787" customFormat="false" ht="14.25" hidden="false" customHeight="true" outlineLevel="0" collapsed="false">
      <c r="A787" s="4"/>
      <c r="B787" s="5"/>
      <c r="C787" s="5"/>
      <c r="D787" s="5"/>
      <c r="E787" s="6"/>
      <c r="F787" s="7"/>
      <c r="G787" s="8"/>
      <c r="H787" s="7"/>
      <c r="I787" s="7"/>
      <c r="J787" s="6"/>
      <c r="K787" s="9" t="str">
        <f aca="false">IF(OR($J787="",$J787=0),"",$I787/$J787)</f>
        <v/>
      </c>
      <c r="L787" s="9" t="str">
        <f aca="false">IF(OR($E787="",$E787=0),"",$H787/$E787)</f>
        <v/>
      </c>
      <c r="M787" s="10" t="str">
        <f aca="false">IF(OR($L787="",$L787=0),"",($I787/30)/$L787)</f>
        <v/>
      </c>
      <c r="N787" s="8"/>
      <c r="O787" s="11" t="str">
        <f aca="false">IF(OR($I787="",$N787=""),"",($I787/1000)*$N787)</f>
        <v/>
      </c>
      <c r="P787" s="12" t="str">
        <f aca="false">IF($C787="","",IFERROR(ROUND(MIN(25,($N787/Instellingen!$B$3)*25)+MIN(25,($I787/Instellingen!$B$4)*25)+MIN(25,($J787/Instellingen!$B$5)*25)+MIN(25,(IF($M787="",0,$M787)/Instellingen!$B$6)*25),0),""))</f>
        <v/>
      </c>
      <c r="Q787" s="13" t="str">
        <f aca="false">IF($P787="","",IF($P787&gt;=Instellingen!$B$7,"Sterke niche",IF($P787&gt;=Instellingen!$B$8,"Belofte - opvolgen",IF($P787&gt;=Instellingen!$B$9,"Zwak - twijfel","Vermijden"))))</f>
        <v/>
      </c>
      <c r="R787" s="5"/>
      <c r="T787" s="1" t="str">
        <f aca="false">IF($C787="","",IF($P787=_xlfn.MAXIFS($P$3:$P$1000,$B$3:$B$1000,$B787),"★ Cash cow – handmatig onderzoeken",""))</f>
        <v/>
      </c>
    </row>
    <row r="788" customFormat="false" ht="14.25" hidden="false" customHeight="true" outlineLevel="0" collapsed="false">
      <c r="A788" s="4"/>
      <c r="B788" s="5"/>
      <c r="C788" s="5"/>
      <c r="D788" s="5"/>
      <c r="E788" s="6"/>
      <c r="F788" s="7"/>
      <c r="G788" s="8"/>
      <c r="H788" s="7"/>
      <c r="I788" s="7"/>
      <c r="J788" s="6"/>
      <c r="K788" s="9" t="str">
        <f aca="false">IF(OR($J788="",$J788=0),"",$I788/$J788)</f>
        <v/>
      </c>
      <c r="L788" s="9" t="str">
        <f aca="false">IF(OR($E788="",$E788=0),"",$H788/$E788)</f>
        <v/>
      </c>
      <c r="M788" s="10" t="str">
        <f aca="false">IF(OR($L788="",$L788=0),"",($I788/30)/$L788)</f>
        <v/>
      </c>
      <c r="N788" s="8"/>
      <c r="O788" s="11" t="str">
        <f aca="false">IF(OR($I788="",$N788=""),"",($I788/1000)*$N788)</f>
        <v/>
      </c>
      <c r="P788" s="12" t="str">
        <f aca="false">IF($C788="","",IFERROR(ROUND(MIN(25,($N788/Instellingen!$B$3)*25)+MIN(25,($I788/Instellingen!$B$4)*25)+MIN(25,($J788/Instellingen!$B$5)*25)+MIN(25,(IF($M788="",0,$M788)/Instellingen!$B$6)*25),0),""))</f>
        <v/>
      </c>
      <c r="Q788" s="13" t="str">
        <f aca="false">IF($P788="","",IF($P788&gt;=Instellingen!$B$7,"Sterke niche",IF($P788&gt;=Instellingen!$B$8,"Belofte - opvolgen",IF($P788&gt;=Instellingen!$B$9,"Zwak - twijfel","Vermijden"))))</f>
        <v/>
      </c>
      <c r="R788" s="5"/>
      <c r="T788" s="1" t="str">
        <f aca="false">IF($C788="","",IF($P788=_xlfn.MAXIFS($P$3:$P$1000,$B$3:$B$1000,$B788),"★ Cash cow – handmatig onderzoeken",""))</f>
        <v/>
      </c>
    </row>
    <row r="789" customFormat="false" ht="14.25" hidden="false" customHeight="true" outlineLevel="0" collapsed="false">
      <c r="A789" s="4"/>
      <c r="B789" s="5"/>
      <c r="C789" s="5"/>
      <c r="D789" s="5"/>
      <c r="E789" s="6"/>
      <c r="F789" s="7"/>
      <c r="G789" s="8"/>
      <c r="H789" s="7"/>
      <c r="I789" s="7"/>
      <c r="J789" s="6"/>
      <c r="K789" s="9" t="str">
        <f aca="false">IF(OR($J789="",$J789=0),"",$I789/$J789)</f>
        <v/>
      </c>
      <c r="L789" s="9" t="str">
        <f aca="false">IF(OR($E789="",$E789=0),"",$H789/$E789)</f>
        <v/>
      </c>
      <c r="M789" s="10" t="str">
        <f aca="false">IF(OR($L789="",$L789=0),"",($I789/30)/$L789)</f>
        <v/>
      </c>
      <c r="N789" s="8"/>
      <c r="O789" s="11" t="str">
        <f aca="false">IF(OR($I789="",$N789=""),"",($I789/1000)*$N789)</f>
        <v/>
      </c>
      <c r="P789" s="12" t="str">
        <f aca="false">IF($C789="","",IFERROR(ROUND(MIN(25,($N789/Instellingen!$B$3)*25)+MIN(25,($I789/Instellingen!$B$4)*25)+MIN(25,($J789/Instellingen!$B$5)*25)+MIN(25,(IF($M789="",0,$M789)/Instellingen!$B$6)*25),0),""))</f>
        <v/>
      </c>
      <c r="Q789" s="13" t="str">
        <f aca="false">IF($P789="","",IF($P789&gt;=Instellingen!$B$7,"Sterke niche",IF($P789&gt;=Instellingen!$B$8,"Belofte - opvolgen",IF($P789&gt;=Instellingen!$B$9,"Zwak - twijfel","Vermijden"))))</f>
        <v/>
      </c>
      <c r="R789" s="5"/>
      <c r="T789" s="1" t="str">
        <f aca="false">IF($C789="","",IF($P789=_xlfn.MAXIFS($P$3:$P$1000,$B$3:$B$1000,$B789),"★ Cash cow – handmatig onderzoeken",""))</f>
        <v/>
      </c>
    </row>
    <row r="790" customFormat="false" ht="14.25" hidden="false" customHeight="true" outlineLevel="0" collapsed="false">
      <c r="A790" s="4"/>
      <c r="B790" s="5"/>
      <c r="C790" s="5"/>
      <c r="D790" s="5"/>
      <c r="E790" s="6"/>
      <c r="F790" s="7"/>
      <c r="G790" s="8"/>
      <c r="H790" s="7"/>
      <c r="I790" s="7"/>
      <c r="J790" s="6"/>
      <c r="K790" s="9" t="str">
        <f aca="false">IF(OR($J790="",$J790=0),"",$I790/$J790)</f>
        <v/>
      </c>
      <c r="L790" s="9" t="str">
        <f aca="false">IF(OR($E790="",$E790=0),"",$H790/$E790)</f>
        <v/>
      </c>
      <c r="M790" s="10" t="str">
        <f aca="false">IF(OR($L790="",$L790=0),"",($I790/30)/$L790)</f>
        <v/>
      </c>
      <c r="N790" s="8"/>
      <c r="O790" s="11" t="str">
        <f aca="false">IF(OR($I790="",$N790=""),"",($I790/1000)*$N790)</f>
        <v/>
      </c>
      <c r="P790" s="12" t="str">
        <f aca="false">IF($C790="","",IFERROR(ROUND(MIN(25,($N790/Instellingen!$B$3)*25)+MIN(25,($I790/Instellingen!$B$4)*25)+MIN(25,($J790/Instellingen!$B$5)*25)+MIN(25,(IF($M790="",0,$M790)/Instellingen!$B$6)*25),0),""))</f>
        <v/>
      </c>
      <c r="Q790" s="13" t="str">
        <f aca="false">IF($P790="","",IF($P790&gt;=Instellingen!$B$7,"Sterke niche",IF($P790&gt;=Instellingen!$B$8,"Belofte - opvolgen",IF($P790&gt;=Instellingen!$B$9,"Zwak - twijfel","Vermijden"))))</f>
        <v/>
      </c>
      <c r="R790" s="5"/>
      <c r="T790" s="1" t="str">
        <f aca="false">IF($C790="","",IF($P790=_xlfn.MAXIFS($P$3:$P$1000,$B$3:$B$1000,$B790),"★ Cash cow – handmatig onderzoeken",""))</f>
        <v/>
      </c>
    </row>
    <row r="791" customFormat="false" ht="14.25" hidden="false" customHeight="true" outlineLevel="0" collapsed="false">
      <c r="A791" s="4"/>
      <c r="B791" s="5"/>
      <c r="C791" s="5"/>
      <c r="D791" s="5"/>
      <c r="E791" s="6"/>
      <c r="F791" s="7"/>
      <c r="G791" s="8"/>
      <c r="H791" s="7"/>
      <c r="I791" s="7"/>
      <c r="J791" s="6"/>
      <c r="K791" s="9" t="str">
        <f aca="false">IF(OR($J791="",$J791=0),"",$I791/$J791)</f>
        <v/>
      </c>
      <c r="L791" s="9" t="str">
        <f aca="false">IF(OR($E791="",$E791=0),"",$H791/$E791)</f>
        <v/>
      </c>
      <c r="M791" s="10" t="str">
        <f aca="false">IF(OR($L791="",$L791=0),"",($I791/30)/$L791)</f>
        <v/>
      </c>
      <c r="N791" s="8"/>
      <c r="O791" s="11" t="str">
        <f aca="false">IF(OR($I791="",$N791=""),"",($I791/1000)*$N791)</f>
        <v/>
      </c>
      <c r="P791" s="12" t="str">
        <f aca="false">IF($C791="","",IFERROR(ROUND(MIN(25,($N791/Instellingen!$B$3)*25)+MIN(25,($I791/Instellingen!$B$4)*25)+MIN(25,($J791/Instellingen!$B$5)*25)+MIN(25,(IF($M791="",0,$M791)/Instellingen!$B$6)*25),0),""))</f>
        <v/>
      </c>
      <c r="Q791" s="13" t="str">
        <f aca="false">IF($P791="","",IF($P791&gt;=Instellingen!$B$7,"Sterke niche",IF($P791&gt;=Instellingen!$B$8,"Belofte - opvolgen",IF($P791&gt;=Instellingen!$B$9,"Zwak - twijfel","Vermijden"))))</f>
        <v/>
      </c>
      <c r="R791" s="5"/>
      <c r="T791" s="1" t="str">
        <f aca="false">IF($C791="","",IF($P791=_xlfn.MAXIFS($P$3:$P$1000,$B$3:$B$1000,$B791),"★ Cash cow – handmatig onderzoeken",""))</f>
        <v/>
      </c>
    </row>
    <row r="792" customFormat="false" ht="14.25" hidden="false" customHeight="true" outlineLevel="0" collapsed="false">
      <c r="A792" s="4"/>
      <c r="B792" s="5"/>
      <c r="C792" s="5"/>
      <c r="D792" s="5"/>
      <c r="E792" s="6"/>
      <c r="F792" s="7"/>
      <c r="G792" s="8"/>
      <c r="H792" s="7"/>
      <c r="I792" s="7"/>
      <c r="J792" s="6"/>
      <c r="K792" s="9" t="str">
        <f aca="false">IF(OR($J792="",$J792=0),"",$I792/$J792)</f>
        <v/>
      </c>
      <c r="L792" s="9" t="str">
        <f aca="false">IF(OR($E792="",$E792=0),"",$H792/$E792)</f>
        <v/>
      </c>
      <c r="M792" s="10" t="str">
        <f aca="false">IF(OR($L792="",$L792=0),"",($I792/30)/$L792)</f>
        <v/>
      </c>
      <c r="N792" s="8"/>
      <c r="O792" s="11" t="str">
        <f aca="false">IF(OR($I792="",$N792=""),"",($I792/1000)*$N792)</f>
        <v/>
      </c>
      <c r="P792" s="12" t="str">
        <f aca="false">IF($C792="","",IFERROR(ROUND(MIN(25,($N792/Instellingen!$B$3)*25)+MIN(25,($I792/Instellingen!$B$4)*25)+MIN(25,($J792/Instellingen!$B$5)*25)+MIN(25,(IF($M792="",0,$M792)/Instellingen!$B$6)*25),0),""))</f>
        <v/>
      </c>
      <c r="Q792" s="13" t="str">
        <f aca="false">IF($P792="","",IF($P792&gt;=Instellingen!$B$7,"Sterke niche",IF($P792&gt;=Instellingen!$B$8,"Belofte - opvolgen",IF($P792&gt;=Instellingen!$B$9,"Zwak - twijfel","Vermijden"))))</f>
        <v/>
      </c>
      <c r="R792" s="5"/>
      <c r="T792" s="1" t="str">
        <f aca="false">IF($C792="","",IF($P792=_xlfn.MAXIFS($P$3:$P$1000,$B$3:$B$1000,$B792),"★ Cash cow – handmatig onderzoeken",""))</f>
        <v/>
      </c>
    </row>
    <row r="793" customFormat="false" ht="14.25" hidden="false" customHeight="true" outlineLevel="0" collapsed="false">
      <c r="A793" s="4"/>
      <c r="B793" s="5"/>
      <c r="C793" s="5"/>
      <c r="D793" s="5"/>
      <c r="E793" s="6"/>
      <c r="F793" s="7"/>
      <c r="G793" s="8"/>
      <c r="H793" s="7"/>
      <c r="I793" s="7"/>
      <c r="J793" s="6"/>
      <c r="K793" s="9" t="str">
        <f aca="false">IF(OR($J793="",$J793=0),"",$I793/$J793)</f>
        <v/>
      </c>
      <c r="L793" s="9" t="str">
        <f aca="false">IF(OR($E793="",$E793=0),"",$H793/$E793)</f>
        <v/>
      </c>
      <c r="M793" s="10" t="str">
        <f aca="false">IF(OR($L793="",$L793=0),"",($I793/30)/$L793)</f>
        <v/>
      </c>
      <c r="N793" s="8"/>
      <c r="O793" s="11" t="str">
        <f aca="false">IF(OR($I793="",$N793=""),"",($I793/1000)*$N793)</f>
        <v/>
      </c>
      <c r="P793" s="12" t="str">
        <f aca="false">IF($C793="","",IFERROR(ROUND(MIN(25,($N793/Instellingen!$B$3)*25)+MIN(25,($I793/Instellingen!$B$4)*25)+MIN(25,($J793/Instellingen!$B$5)*25)+MIN(25,(IF($M793="",0,$M793)/Instellingen!$B$6)*25),0),""))</f>
        <v/>
      </c>
      <c r="Q793" s="13" t="str">
        <f aca="false">IF($P793="","",IF($P793&gt;=Instellingen!$B$7,"Sterke niche",IF($P793&gt;=Instellingen!$B$8,"Belofte - opvolgen",IF($P793&gt;=Instellingen!$B$9,"Zwak - twijfel","Vermijden"))))</f>
        <v/>
      </c>
      <c r="R793" s="5"/>
      <c r="T793" s="1" t="str">
        <f aca="false">IF($C793="","",IF($P793=_xlfn.MAXIFS($P$3:$P$1000,$B$3:$B$1000,$B793),"★ Cash cow – handmatig onderzoeken",""))</f>
        <v/>
      </c>
    </row>
    <row r="794" customFormat="false" ht="14.25" hidden="false" customHeight="true" outlineLevel="0" collapsed="false">
      <c r="A794" s="4"/>
      <c r="B794" s="5"/>
      <c r="C794" s="5"/>
      <c r="D794" s="5"/>
      <c r="E794" s="6"/>
      <c r="F794" s="7"/>
      <c r="G794" s="8"/>
      <c r="H794" s="7"/>
      <c r="I794" s="7"/>
      <c r="J794" s="6"/>
      <c r="K794" s="9" t="str">
        <f aca="false">IF(OR($J794="",$J794=0),"",$I794/$J794)</f>
        <v/>
      </c>
      <c r="L794" s="9" t="str">
        <f aca="false">IF(OR($E794="",$E794=0),"",$H794/$E794)</f>
        <v/>
      </c>
      <c r="M794" s="10" t="str">
        <f aca="false">IF(OR($L794="",$L794=0),"",($I794/30)/$L794)</f>
        <v/>
      </c>
      <c r="N794" s="8"/>
      <c r="O794" s="11" t="str">
        <f aca="false">IF(OR($I794="",$N794=""),"",($I794/1000)*$N794)</f>
        <v/>
      </c>
      <c r="P794" s="12" t="str">
        <f aca="false">IF($C794="","",IFERROR(ROUND(MIN(25,($N794/Instellingen!$B$3)*25)+MIN(25,($I794/Instellingen!$B$4)*25)+MIN(25,($J794/Instellingen!$B$5)*25)+MIN(25,(IF($M794="",0,$M794)/Instellingen!$B$6)*25),0),""))</f>
        <v/>
      </c>
      <c r="Q794" s="13" t="str">
        <f aca="false">IF($P794="","",IF($P794&gt;=Instellingen!$B$7,"Sterke niche",IF($P794&gt;=Instellingen!$B$8,"Belofte - opvolgen",IF($P794&gt;=Instellingen!$B$9,"Zwak - twijfel","Vermijden"))))</f>
        <v/>
      </c>
      <c r="R794" s="5"/>
      <c r="T794" s="1" t="str">
        <f aca="false">IF($C794="","",IF($P794=_xlfn.MAXIFS($P$3:$P$1000,$B$3:$B$1000,$B794),"★ Cash cow – handmatig onderzoeken",""))</f>
        <v/>
      </c>
    </row>
    <row r="795" customFormat="false" ht="14.25" hidden="false" customHeight="true" outlineLevel="0" collapsed="false">
      <c r="A795" s="4"/>
      <c r="B795" s="5"/>
      <c r="C795" s="5"/>
      <c r="D795" s="5"/>
      <c r="E795" s="6"/>
      <c r="F795" s="7"/>
      <c r="G795" s="8"/>
      <c r="H795" s="7"/>
      <c r="I795" s="7"/>
      <c r="J795" s="6"/>
      <c r="K795" s="9" t="str">
        <f aca="false">IF(OR($J795="",$J795=0),"",$I795/$J795)</f>
        <v/>
      </c>
      <c r="L795" s="9" t="str">
        <f aca="false">IF(OR($E795="",$E795=0),"",$H795/$E795)</f>
        <v/>
      </c>
      <c r="M795" s="10" t="str">
        <f aca="false">IF(OR($L795="",$L795=0),"",($I795/30)/$L795)</f>
        <v/>
      </c>
      <c r="N795" s="8"/>
      <c r="O795" s="11" t="str">
        <f aca="false">IF(OR($I795="",$N795=""),"",($I795/1000)*$N795)</f>
        <v/>
      </c>
      <c r="P795" s="12" t="str">
        <f aca="false">IF($C795="","",IFERROR(ROUND(MIN(25,($N795/Instellingen!$B$3)*25)+MIN(25,($I795/Instellingen!$B$4)*25)+MIN(25,($J795/Instellingen!$B$5)*25)+MIN(25,(IF($M795="",0,$M795)/Instellingen!$B$6)*25),0),""))</f>
        <v/>
      </c>
      <c r="Q795" s="13" t="str">
        <f aca="false">IF($P795="","",IF($P795&gt;=Instellingen!$B$7,"Sterke niche",IF($P795&gt;=Instellingen!$B$8,"Belofte - opvolgen",IF($P795&gt;=Instellingen!$B$9,"Zwak - twijfel","Vermijden"))))</f>
        <v/>
      </c>
      <c r="R795" s="5"/>
      <c r="T795" s="1" t="str">
        <f aca="false">IF($C795="","",IF($P795=_xlfn.MAXIFS($P$3:$P$1000,$B$3:$B$1000,$B795),"★ Cash cow – handmatig onderzoeken",""))</f>
        <v/>
      </c>
    </row>
    <row r="796" customFormat="false" ht="14.25" hidden="false" customHeight="true" outlineLevel="0" collapsed="false">
      <c r="A796" s="4"/>
      <c r="B796" s="5"/>
      <c r="C796" s="5"/>
      <c r="D796" s="5"/>
      <c r="E796" s="6"/>
      <c r="F796" s="7"/>
      <c r="G796" s="8"/>
      <c r="H796" s="7"/>
      <c r="I796" s="7"/>
      <c r="J796" s="6"/>
      <c r="K796" s="9" t="str">
        <f aca="false">IF(OR($J796="",$J796=0),"",$I796/$J796)</f>
        <v/>
      </c>
      <c r="L796" s="9" t="str">
        <f aca="false">IF(OR($E796="",$E796=0),"",$H796/$E796)</f>
        <v/>
      </c>
      <c r="M796" s="10" t="str">
        <f aca="false">IF(OR($L796="",$L796=0),"",($I796/30)/$L796)</f>
        <v/>
      </c>
      <c r="N796" s="8"/>
      <c r="O796" s="11" t="str">
        <f aca="false">IF(OR($I796="",$N796=""),"",($I796/1000)*$N796)</f>
        <v/>
      </c>
      <c r="P796" s="12" t="str">
        <f aca="false">IF($C796="","",IFERROR(ROUND(MIN(25,($N796/Instellingen!$B$3)*25)+MIN(25,($I796/Instellingen!$B$4)*25)+MIN(25,($J796/Instellingen!$B$5)*25)+MIN(25,(IF($M796="",0,$M796)/Instellingen!$B$6)*25),0),""))</f>
        <v/>
      </c>
      <c r="Q796" s="13" t="str">
        <f aca="false">IF($P796="","",IF($P796&gt;=Instellingen!$B$7,"Sterke niche",IF($P796&gt;=Instellingen!$B$8,"Belofte - opvolgen",IF($P796&gt;=Instellingen!$B$9,"Zwak - twijfel","Vermijden"))))</f>
        <v/>
      </c>
      <c r="R796" s="5"/>
      <c r="T796" s="1" t="str">
        <f aca="false">IF($C796="","",IF($P796=_xlfn.MAXIFS($P$3:$P$1000,$B$3:$B$1000,$B796),"★ Cash cow – handmatig onderzoeken",""))</f>
        <v/>
      </c>
    </row>
    <row r="797" customFormat="false" ht="14.25" hidden="false" customHeight="true" outlineLevel="0" collapsed="false">
      <c r="A797" s="4"/>
      <c r="B797" s="5"/>
      <c r="C797" s="5"/>
      <c r="D797" s="5"/>
      <c r="E797" s="6"/>
      <c r="F797" s="7"/>
      <c r="G797" s="8"/>
      <c r="H797" s="7"/>
      <c r="I797" s="7"/>
      <c r="J797" s="6"/>
      <c r="K797" s="9" t="str">
        <f aca="false">IF(OR($J797="",$J797=0),"",$I797/$J797)</f>
        <v/>
      </c>
      <c r="L797" s="9" t="str">
        <f aca="false">IF(OR($E797="",$E797=0),"",$H797/$E797)</f>
        <v/>
      </c>
      <c r="M797" s="10" t="str">
        <f aca="false">IF(OR($L797="",$L797=0),"",($I797/30)/$L797)</f>
        <v/>
      </c>
      <c r="N797" s="8"/>
      <c r="O797" s="11" t="str">
        <f aca="false">IF(OR($I797="",$N797=""),"",($I797/1000)*$N797)</f>
        <v/>
      </c>
      <c r="P797" s="12" t="str">
        <f aca="false">IF($C797="","",IFERROR(ROUND(MIN(25,($N797/Instellingen!$B$3)*25)+MIN(25,($I797/Instellingen!$B$4)*25)+MIN(25,($J797/Instellingen!$B$5)*25)+MIN(25,(IF($M797="",0,$M797)/Instellingen!$B$6)*25),0),""))</f>
        <v/>
      </c>
      <c r="Q797" s="13" t="str">
        <f aca="false">IF($P797="","",IF($P797&gt;=Instellingen!$B$7,"Sterke niche",IF($P797&gt;=Instellingen!$B$8,"Belofte - opvolgen",IF($P797&gt;=Instellingen!$B$9,"Zwak - twijfel","Vermijden"))))</f>
        <v/>
      </c>
      <c r="R797" s="5"/>
      <c r="T797" s="1" t="str">
        <f aca="false">IF($C797="","",IF($P797=_xlfn.MAXIFS($P$3:$P$1000,$B$3:$B$1000,$B797),"★ Cash cow – handmatig onderzoeken",""))</f>
        <v/>
      </c>
    </row>
    <row r="798" customFormat="false" ht="14.25" hidden="false" customHeight="true" outlineLevel="0" collapsed="false">
      <c r="A798" s="4"/>
      <c r="B798" s="5"/>
      <c r="C798" s="5"/>
      <c r="D798" s="5"/>
      <c r="E798" s="6"/>
      <c r="F798" s="7"/>
      <c r="G798" s="8"/>
      <c r="H798" s="7"/>
      <c r="I798" s="7"/>
      <c r="J798" s="6"/>
      <c r="K798" s="9" t="str">
        <f aca="false">IF(OR($J798="",$J798=0),"",$I798/$J798)</f>
        <v/>
      </c>
      <c r="L798" s="9" t="str">
        <f aca="false">IF(OR($E798="",$E798=0),"",$H798/$E798)</f>
        <v/>
      </c>
      <c r="M798" s="10" t="str">
        <f aca="false">IF(OR($L798="",$L798=0),"",($I798/30)/$L798)</f>
        <v/>
      </c>
      <c r="N798" s="8"/>
      <c r="O798" s="11" t="str">
        <f aca="false">IF(OR($I798="",$N798=""),"",($I798/1000)*$N798)</f>
        <v/>
      </c>
      <c r="P798" s="12" t="str">
        <f aca="false">IF($C798="","",IFERROR(ROUND(MIN(25,($N798/Instellingen!$B$3)*25)+MIN(25,($I798/Instellingen!$B$4)*25)+MIN(25,($J798/Instellingen!$B$5)*25)+MIN(25,(IF($M798="",0,$M798)/Instellingen!$B$6)*25),0),""))</f>
        <v/>
      </c>
      <c r="Q798" s="13" t="str">
        <f aca="false">IF($P798="","",IF($P798&gt;=Instellingen!$B$7,"Sterke niche",IF($P798&gt;=Instellingen!$B$8,"Belofte - opvolgen",IF($P798&gt;=Instellingen!$B$9,"Zwak - twijfel","Vermijden"))))</f>
        <v/>
      </c>
      <c r="R798" s="5"/>
      <c r="T798" s="1" t="str">
        <f aca="false">IF($C798="","",IF($P798=_xlfn.MAXIFS($P$3:$P$1000,$B$3:$B$1000,$B798),"★ Cash cow – handmatig onderzoeken",""))</f>
        <v/>
      </c>
    </row>
    <row r="799" customFormat="false" ht="14.25" hidden="false" customHeight="true" outlineLevel="0" collapsed="false">
      <c r="A799" s="4"/>
      <c r="B799" s="5"/>
      <c r="C799" s="5"/>
      <c r="D799" s="5"/>
      <c r="E799" s="6"/>
      <c r="F799" s="7"/>
      <c r="G799" s="8"/>
      <c r="H799" s="7"/>
      <c r="I799" s="7"/>
      <c r="J799" s="6"/>
      <c r="K799" s="9" t="str">
        <f aca="false">IF(OR($J799="",$J799=0),"",$I799/$J799)</f>
        <v/>
      </c>
      <c r="L799" s="9" t="str">
        <f aca="false">IF(OR($E799="",$E799=0),"",$H799/$E799)</f>
        <v/>
      </c>
      <c r="M799" s="10" t="str">
        <f aca="false">IF(OR($L799="",$L799=0),"",($I799/30)/$L799)</f>
        <v/>
      </c>
      <c r="N799" s="8"/>
      <c r="O799" s="11" t="str">
        <f aca="false">IF(OR($I799="",$N799=""),"",($I799/1000)*$N799)</f>
        <v/>
      </c>
      <c r="P799" s="12" t="str">
        <f aca="false">IF($C799="","",IFERROR(ROUND(MIN(25,($N799/Instellingen!$B$3)*25)+MIN(25,($I799/Instellingen!$B$4)*25)+MIN(25,($J799/Instellingen!$B$5)*25)+MIN(25,(IF($M799="",0,$M799)/Instellingen!$B$6)*25),0),""))</f>
        <v/>
      </c>
      <c r="Q799" s="13" t="str">
        <f aca="false">IF($P799="","",IF($P799&gt;=Instellingen!$B$7,"Sterke niche",IF($P799&gt;=Instellingen!$B$8,"Belofte - opvolgen",IF($P799&gt;=Instellingen!$B$9,"Zwak - twijfel","Vermijden"))))</f>
        <v/>
      </c>
      <c r="R799" s="5"/>
      <c r="T799" s="1" t="str">
        <f aca="false">IF($C799="","",IF($P799=_xlfn.MAXIFS($P$3:$P$1000,$B$3:$B$1000,$B799),"★ Cash cow – handmatig onderzoeken",""))</f>
        <v/>
      </c>
    </row>
    <row r="800" customFormat="false" ht="14.25" hidden="false" customHeight="true" outlineLevel="0" collapsed="false">
      <c r="A800" s="4"/>
      <c r="B800" s="5"/>
      <c r="C800" s="5"/>
      <c r="D800" s="5"/>
      <c r="E800" s="6"/>
      <c r="F800" s="7"/>
      <c r="G800" s="8"/>
      <c r="H800" s="7"/>
      <c r="I800" s="7"/>
      <c r="J800" s="6"/>
      <c r="K800" s="9" t="str">
        <f aca="false">IF(OR($J800="",$J800=0),"",$I800/$J800)</f>
        <v/>
      </c>
      <c r="L800" s="9" t="str">
        <f aca="false">IF(OR($E800="",$E800=0),"",$H800/$E800)</f>
        <v/>
      </c>
      <c r="M800" s="10" t="str">
        <f aca="false">IF(OR($L800="",$L800=0),"",($I800/30)/$L800)</f>
        <v/>
      </c>
      <c r="N800" s="8"/>
      <c r="O800" s="11" t="str">
        <f aca="false">IF(OR($I800="",$N800=""),"",($I800/1000)*$N800)</f>
        <v/>
      </c>
      <c r="P800" s="12" t="str">
        <f aca="false">IF($C800="","",IFERROR(ROUND(MIN(25,($N800/Instellingen!$B$3)*25)+MIN(25,($I800/Instellingen!$B$4)*25)+MIN(25,($J800/Instellingen!$B$5)*25)+MIN(25,(IF($M800="",0,$M800)/Instellingen!$B$6)*25),0),""))</f>
        <v/>
      </c>
      <c r="Q800" s="13" t="str">
        <f aca="false">IF($P800="","",IF($P800&gt;=Instellingen!$B$7,"Sterke niche",IF($P800&gt;=Instellingen!$B$8,"Belofte - opvolgen",IF($P800&gt;=Instellingen!$B$9,"Zwak - twijfel","Vermijden"))))</f>
        <v/>
      </c>
      <c r="R800" s="5"/>
      <c r="T800" s="1" t="str">
        <f aca="false">IF($C800="","",IF($P800=_xlfn.MAXIFS($P$3:$P$1000,$B$3:$B$1000,$B800),"★ Cash cow – handmatig onderzoeken",""))</f>
        <v/>
      </c>
    </row>
    <row r="801" customFormat="false" ht="14.25" hidden="false" customHeight="true" outlineLevel="0" collapsed="false">
      <c r="A801" s="4"/>
      <c r="B801" s="5"/>
      <c r="C801" s="5"/>
      <c r="D801" s="5"/>
      <c r="E801" s="6"/>
      <c r="F801" s="7"/>
      <c r="G801" s="8"/>
      <c r="H801" s="7"/>
      <c r="I801" s="7"/>
      <c r="J801" s="6"/>
      <c r="K801" s="9" t="str">
        <f aca="false">IF(OR($J801="",$J801=0),"",$I801/$J801)</f>
        <v/>
      </c>
      <c r="L801" s="9" t="str">
        <f aca="false">IF(OR($E801="",$E801=0),"",$H801/$E801)</f>
        <v/>
      </c>
      <c r="M801" s="10" t="str">
        <f aca="false">IF(OR($L801="",$L801=0),"",($I801/30)/$L801)</f>
        <v/>
      </c>
      <c r="N801" s="8"/>
      <c r="O801" s="11" t="str">
        <f aca="false">IF(OR($I801="",$N801=""),"",($I801/1000)*$N801)</f>
        <v/>
      </c>
      <c r="P801" s="12" t="str">
        <f aca="false">IF($C801="","",IFERROR(ROUND(MIN(25,($N801/Instellingen!$B$3)*25)+MIN(25,($I801/Instellingen!$B$4)*25)+MIN(25,($J801/Instellingen!$B$5)*25)+MIN(25,(IF($M801="",0,$M801)/Instellingen!$B$6)*25),0),""))</f>
        <v/>
      </c>
      <c r="Q801" s="13" t="str">
        <f aca="false">IF($P801="","",IF($P801&gt;=Instellingen!$B$7,"Sterke niche",IF($P801&gt;=Instellingen!$B$8,"Belofte - opvolgen",IF($P801&gt;=Instellingen!$B$9,"Zwak - twijfel","Vermijden"))))</f>
        <v/>
      </c>
      <c r="R801" s="5"/>
      <c r="T801" s="1" t="str">
        <f aca="false">IF($C801="","",IF($P801=_xlfn.MAXIFS($P$3:$P$1000,$B$3:$B$1000,$B801),"★ Cash cow – handmatig onderzoeken",""))</f>
        <v/>
      </c>
    </row>
    <row r="802" customFormat="false" ht="14.25" hidden="false" customHeight="true" outlineLevel="0" collapsed="false">
      <c r="A802" s="4"/>
      <c r="B802" s="5"/>
      <c r="C802" s="5"/>
      <c r="D802" s="5"/>
      <c r="E802" s="6"/>
      <c r="F802" s="7"/>
      <c r="G802" s="8"/>
      <c r="H802" s="7"/>
      <c r="I802" s="7"/>
      <c r="J802" s="6"/>
      <c r="K802" s="9" t="str">
        <f aca="false">IF(OR($J802="",$J802=0),"",$I802/$J802)</f>
        <v/>
      </c>
      <c r="L802" s="9" t="str">
        <f aca="false">IF(OR($E802="",$E802=0),"",$H802/$E802)</f>
        <v/>
      </c>
      <c r="M802" s="10" t="str">
        <f aca="false">IF(OR($L802="",$L802=0),"",($I802/30)/$L802)</f>
        <v/>
      </c>
      <c r="N802" s="8"/>
      <c r="O802" s="11" t="str">
        <f aca="false">IF(OR($I802="",$N802=""),"",($I802/1000)*$N802)</f>
        <v/>
      </c>
      <c r="P802" s="12" t="str">
        <f aca="false">IF($C802="","",IFERROR(ROUND(MIN(25,($N802/Instellingen!$B$3)*25)+MIN(25,($I802/Instellingen!$B$4)*25)+MIN(25,($J802/Instellingen!$B$5)*25)+MIN(25,(IF($M802="",0,$M802)/Instellingen!$B$6)*25),0),""))</f>
        <v/>
      </c>
      <c r="Q802" s="13" t="str">
        <f aca="false">IF($P802="","",IF($P802&gt;=Instellingen!$B$7,"Sterke niche",IF($P802&gt;=Instellingen!$B$8,"Belofte - opvolgen",IF($P802&gt;=Instellingen!$B$9,"Zwak - twijfel","Vermijden"))))</f>
        <v/>
      </c>
      <c r="R802" s="5"/>
      <c r="T802" s="1" t="str">
        <f aca="false">IF($C802="","",IF($P802=_xlfn.MAXIFS($P$3:$P$1000,$B$3:$B$1000,$B802),"★ Cash cow – handmatig onderzoeken",""))</f>
        <v/>
      </c>
    </row>
    <row r="803" customFormat="false" ht="14.25" hidden="false" customHeight="true" outlineLevel="0" collapsed="false">
      <c r="A803" s="4"/>
      <c r="B803" s="5"/>
      <c r="C803" s="5"/>
      <c r="D803" s="5"/>
      <c r="E803" s="6"/>
      <c r="F803" s="7"/>
      <c r="G803" s="8"/>
      <c r="H803" s="7"/>
      <c r="I803" s="7"/>
      <c r="J803" s="6"/>
      <c r="K803" s="9" t="str">
        <f aca="false">IF(OR($J803="",$J803=0),"",$I803/$J803)</f>
        <v/>
      </c>
      <c r="L803" s="9" t="str">
        <f aca="false">IF(OR($E803="",$E803=0),"",$H803/$E803)</f>
        <v/>
      </c>
      <c r="M803" s="10" t="str">
        <f aca="false">IF(OR($L803="",$L803=0),"",($I803/30)/$L803)</f>
        <v/>
      </c>
      <c r="N803" s="8"/>
      <c r="O803" s="11" t="str">
        <f aca="false">IF(OR($I803="",$N803=""),"",($I803/1000)*$N803)</f>
        <v/>
      </c>
      <c r="P803" s="12" t="str">
        <f aca="false">IF($C803="","",IFERROR(ROUND(MIN(25,($N803/Instellingen!$B$3)*25)+MIN(25,($I803/Instellingen!$B$4)*25)+MIN(25,($J803/Instellingen!$B$5)*25)+MIN(25,(IF($M803="",0,$M803)/Instellingen!$B$6)*25),0),""))</f>
        <v/>
      </c>
      <c r="Q803" s="13" t="str">
        <f aca="false">IF($P803="","",IF($P803&gt;=Instellingen!$B$7,"Sterke niche",IF($P803&gt;=Instellingen!$B$8,"Belofte - opvolgen",IF($P803&gt;=Instellingen!$B$9,"Zwak - twijfel","Vermijden"))))</f>
        <v/>
      </c>
      <c r="R803" s="5"/>
      <c r="T803" s="1" t="str">
        <f aca="false">IF($C803="","",IF($P803=_xlfn.MAXIFS($P$3:$P$1000,$B$3:$B$1000,$B803),"★ Cash cow – handmatig onderzoeken",""))</f>
        <v/>
      </c>
    </row>
    <row r="804" customFormat="false" ht="14.25" hidden="false" customHeight="true" outlineLevel="0" collapsed="false">
      <c r="A804" s="4"/>
      <c r="B804" s="5"/>
      <c r="C804" s="5"/>
      <c r="D804" s="5"/>
      <c r="E804" s="6"/>
      <c r="F804" s="7"/>
      <c r="G804" s="8"/>
      <c r="H804" s="7"/>
      <c r="I804" s="7"/>
      <c r="J804" s="6"/>
      <c r="K804" s="9" t="str">
        <f aca="false">IF(OR($J804="",$J804=0),"",$I804/$J804)</f>
        <v/>
      </c>
      <c r="L804" s="9" t="str">
        <f aca="false">IF(OR($E804="",$E804=0),"",$H804/$E804)</f>
        <v/>
      </c>
      <c r="M804" s="10" t="str">
        <f aca="false">IF(OR($L804="",$L804=0),"",($I804/30)/$L804)</f>
        <v/>
      </c>
      <c r="N804" s="8"/>
      <c r="O804" s="11" t="str">
        <f aca="false">IF(OR($I804="",$N804=""),"",($I804/1000)*$N804)</f>
        <v/>
      </c>
      <c r="P804" s="12" t="str">
        <f aca="false">IF($C804="","",IFERROR(ROUND(MIN(25,($N804/Instellingen!$B$3)*25)+MIN(25,($I804/Instellingen!$B$4)*25)+MIN(25,($J804/Instellingen!$B$5)*25)+MIN(25,(IF($M804="",0,$M804)/Instellingen!$B$6)*25),0),""))</f>
        <v/>
      </c>
      <c r="Q804" s="13" t="str">
        <f aca="false">IF($P804="","",IF($P804&gt;=Instellingen!$B$7,"Sterke niche",IF($P804&gt;=Instellingen!$B$8,"Belofte - opvolgen",IF($P804&gt;=Instellingen!$B$9,"Zwak - twijfel","Vermijden"))))</f>
        <v/>
      </c>
      <c r="R804" s="5"/>
      <c r="T804" s="1" t="str">
        <f aca="false">IF($C804="","",IF($P804=_xlfn.MAXIFS($P$3:$P$1000,$B$3:$B$1000,$B804),"★ Cash cow – handmatig onderzoeken",""))</f>
        <v/>
      </c>
    </row>
    <row r="805" customFormat="false" ht="14.25" hidden="false" customHeight="true" outlineLevel="0" collapsed="false">
      <c r="A805" s="4"/>
      <c r="B805" s="5"/>
      <c r="C805" s="5"/>
      <c r="D805" s="5"/>
      <c r="E805" s="6"/>
      <c r="F805" s="7"/>
      <c r="G805" s="8"/>
      <c r="H805" s="7"/>
      <c r="I805" s="7"/>
      <c r="J805" s="6"/>
      <c r="K805" s="9" t="str">
        <f aca="false">IF(OR($J805="",$J805=0),"",$I805/$J805)</f>
        <v/>
      </c>
      <c r="L805" s="9" t="str">
        <f aca="false">IF(OR($E805="",$E805=0),"",$H805/$E805)</f>
        <v/>
      </c>
      <c r="M805" s="10" t="str">
        <f aca="false">IF(OR($L805="",$L805=0),"",($I805/30)/$L805)</f>
        <v/>
      </c>
      <c r="N805" s="8"/>
      <c r="O805" s="11" t="str">
        <f aca="false">IF(OR($I805="",$N805=""),"",($I805/1000)*$N805)</f>
        <v/>
      </c>
      <c r="P805" s="12" t="str">
        <f aca="false">IF($C805="","",IFERROR(ROUND(MIN(25,($N805/Instellingen!$B$3)*25)+MIN(25,($I805/Instellingen!$B$4)*25)+MIN(25,($J805/Instellingen!$B$5)*25)+MIN(25,(IF($M805="",0,$M805)/Instellingen!$B$6)*25),0),""))</f>
        <v/>
      </c>
      <c r="Q805" s="13" t="str">
        <f aca="false">IF($P805="","",IF($P805&gt;=Instellingen!$B$7,"Sterke niche",IF($P805&gt;=Instellingen!$B$8,"Belofte - opvolgen",IF($P805&gt;=Instellingen!$B$9,"Zwak - twijfel","Vermijden"))))</f>
        <v/>
      </c>
      <c r="R805" s="5"/>
      <c r="T805" s="1" t="str">
        <f aca="false">IF($C805="","",IF($P805=_xlfn.MAXIFS($P$3:$P$1000,$B$3:$B$1000,$B805),"★ Cash cow – handmatig onderzoeken",""))</f>
        <v/>
      </c>
    </row>
    <row r="806" customFormat="false" ht="14.25" hidden="false" customHeight="true" outlineLevel="0" collapsed="false">
      <c r="A806" s="4"/>
      <c r="B806" s="5"/>
      <c r="C806" s="5"/>
      <c r="D806" s="5"/>
      <c r="E806" s="6"/>
      <c r="F806" s="7"/>
      <c r="G806" s="8"/>
      <c r="H806" s="7"/>
      <c r="I806" s="7"/>
      <c r="J806" s="6"/>
      <c r="K806" s="9" t="str">
        <f aca="false">IF(OR($J806="",$J806=0),"",$I806/$J806)</f>
        <v/>
      </c>
      <c r="L806" s="9" t="str">
        <f aca="false">IF(OR($E806="",$E806=0),"",$H806/$E806)</f>
        <v/>
      </c>
      <c r="M806" s="10" t="str">
        <f aca="false">IF(OR($L806="",$L806=0),"",($I806/30)/$L806)</f>
        <v/>
      </c>
      <c r="N806" s="8"/>
      <c r="O806" s="11" t="str">
        <f aca="false">IF(OR($I806="",$N806=""),"",($I806/1000)*$N806)</f>
        <v/>
      </c>
      <c r="P806" s="12" t="str">
        <f aca="false">IF($C806="","",IFERROR(ROUND(MIN(25,($N806/Instellingen!$B$3)*25)+MIN(25,($I806/Instellingen!$B$4)*25)+MIN(25,($J806/Instellingen!$B$5)*25)+MIN(25,(IF($M806="",0,$M806)/Instellingen!$B$6)*25),0),""))</f>
        <v/>
      </c>
      <c r="Q806" s="13" t="str">
        <f aca="false">IF($P806="","",IF($P806&gt;=Instellingen!$B$7,"Sterke niche",IF($P806&gt;=Instellingen!$B$8,"Belofte - opvolgen",IF($P806&gt;=Instellingen!$B$9,"Zwak - twijfel","Vermijden"))))</f>
        <v/>
      </c>
      <c r="R806" s="5"/>
      <c r="T806" s="1" t="str">
        <f aca="false">IF($C806="","",IF($P806=_xlfn.MAXIFS($P$3:$P$1000,$B$3:$B$1000,$B806),"★ Cash cow – handmatig onderzoeken",""))</f>
        <v/>
      </c>
    </row>
    <row r="807" customFormat="false" ht="14.25" hidden="false" customHeight="true" outlineLevel="0" collapsed="false">
      <c r="A807" s="4"/>
      <c r="B807" s="5"/>
      <c r="C807" s="5"/>
      <c r="D807" s="5"/>
      <c r="E807" s="6"/>
      <c r="F807" s="7"/>
      <c r="G807" s="8"/>
      <c r="H807" s="7"/>
      <c r="I807" s="7"/>
      <c r="J807" s="6"/>
      <c r="K807" s="9" t="str">
        <f aca="false">IF(OR($J807="",$J807=0),"",$I807/$J807)</f>
        <v/>
      </c>
      <c r="L807" s="9" t="str">
        <f aca="false">IF(OR($E807="",$E807=0),"",$H807/$E807)</f>
        <v/>
      </c>
      <c r="M807" s="10" t="str">
        <f aca="false">IF(OR($L807="",$L807=0),"",($I807/30)/$L807)</f>
        <v/>
      </c>
      <c r="N807" s="8"/>
      <c r="O807" s="11" t="str">
        <f aca="false">IF(OR($I807="",$N807=""),"",($I807/1000)*$N807)</f>
        <v/>
      </c>
      <c r="P807" s="12" t="str">
        <f aca="false">IF($C807="","",IFERROR(ROUND(MIN(25,($N807/Instellingen!$B$3)*25)+MIN(25,($I807/Instellingen!$B$4)*25)+MIN(25,($J807/Instellingen!$B$5)*25)+MIN(25,(IF($M807="",0,$M807)/Instellingen!$B$6)*25),0),""))</f>
        <v/>
      </c>
      <c r="Q807" s="13" t="str">
        <f aca="false">IF($P807="","",IF($P807&gt;=Instellingen!$B$7,"Sterke niche",IF($P807&gt;=Instellingen!$B$8,"Belofte - opvolgen",IF($P807&gt;=Instellingen!$B$9,"Zwak - twijfel","Vermijden"))))</f>
        <v/>
      </c>
      <c r="R807" s="5"/>
      <c r="T807" s="1" t="str">
        <f aca="false">IF($C807="","",IF($P807=_xlfn.MAXIFS($P$3:$P$1000,$B$3:$B$1000,$B807),"★ Cash cow – handmatig onderzoeken",""))</f>
        <v/>
      </c>
    </row>
    <row r="808" customFormat="false" ht="14.25" hidden="false" customHeight="true" outlineLevel="0" collapsed="false">
      <c r="A808" s="4"/>
      <c r="B808" s="5"/>
      <c r="C808" s="5"/>
      <c r="D808" s="5"/>
      <c r="E808" s="6"/>
      <c r="F808" s="7"/>
      <c r="G808" s="8"/>
      <c r="H808" s="7"/>
      <c r="I808" s="7"/>
      <c r="J808" s="6"/>
      <c r="K808" s="9" t="str">
        <f aca="false">IF(OR($J808="",$J808=0),"",$I808/$J808)</f>
        <v/>
      </c>
      <c r="L808" s="9" t="str">
        <f aca="false">IF(OR($E808="",$E808=0),"",$H808/$E808)</f>
        <v/>
      </c>
      <c r="M808" s="10" t="str">
        <f aca="false">IF(OR($L808="",$L808=0),"",($I808/30)/$L808)</f>
        <v/>
      </c>
      <c r="N808" s="8"/>
      <c r="O808" s="11" t="str">
        <f aca="false">IF(OR($I808="",$N808=""),"",($I808/1000)*$N808)</f>
        <v/>
      </c>
      <c r="P808" s="12" t="str">
        <f aca="false">IF($C808="","",IFERROR(ROUND(MIN(25,($N808/Instellingen!$B$3)*25)+MIN(25,($I808/Instellingen!$B$4)*25)+MIN(25,($J808/Instellingen!$B$5)*25)+MIN(25,(IF($M808="",0,$M808)/Instellingen!$B$6)*25),0),""))</f>
        <v/>
      </c>
      <c r="Q808" s="13" t="str">
        <f aca="false">IF($P808="","",IF($P808&gt;=Instellingen!$B$7,"Sterke niche",IF($P808&gt;=Instellingen!$B$8,"Belofte - opvolgen",IF($P808&gt;=Instellingen!$B$9,"Zwak - twijfel","Vermijden"))))</f>
        <v/>
      </c>
      <c r="R808" s="5"/>
      <c r="T808" s="1" t="str">
        <f aca="false">IF($C808="","",IF($P808=_xlfn.MAXIFS($P$3:$P$1000,$B$3:$B$1000,$B808),"★ Cash cow – handmatig onderzoeken",""))</f>
        <v/>
      </c>
    </row>
    <row r="809" customFormat="false" ht="14.25" hidden="false" customHeight="true" outlineLevel="0" collapsed="false">
      <c r="A809" s="4"/>
      <c r="B809" s="5"/>
      <c r="C809" s="5"/>
      <c r="D809" s="5"/>
      <c r="E809" s="6"/>
      <c r="F809" s="7"/>
      <c r="G809" s="8"/>
      <c r="H809" s="7"/>
      <c r="I809" s="7"/>
      <c r="J809" s="6"/>
      <c r="K809" s="9" t="str">
        <f aca="false">IF(OR($J809="",$J809=0),"",$I809/$J809)</f>
        <v/>
      </c>
      <c r="L809" s="9" t="str">
        <f aca="false">IF(OR($E809="",$E809=0),"",$H809/$E809)</f>
        <v/>
      </c>
      <c r="M809" s="10" t="str">
        <f aca="false">IF(OR($L809="",$L809=0),"",($I809/30)/$L809)</f>
        <v/>
      </c>
      <c r="N809" s="8"/>
      <c r="O809" s="11" t="str">
        <f aca="false">IF(OR($I809="",$N809=""),"",($I809/1000)*$N809)</f>
        <v/>
      </c>
      <c r="P809" s="12" t="str">
        <f aca="false">IF($C809="","",IFERROR(ROUND(MIN(25,($N809/Instellingen!$B$3)*25)+MIN(25,($I809/Instellingen!$B$4)*25)+MIN(25,($J809/Instellingen!$B$5)*25)+MIN(25,(IF($M809="",0,$M809)/Instellingen!$B$6)*25),0),""))</f>
        <v/>
      </c>
      <c r="Q809" s="13" t="str">
        <f aca="false">IF($P809="","",IF($P809&gt;=Instellingen!$B$7,"Sterke niche",IF($P809&gt;=Instellingen!$B$8,"Belofte - opvolgen",IF($P809&gt;=Instellingen!$B$9,"Zwak - twijfel","Vermijden"))))</f>
        <v/>
      </c>
      <c r="R809" s="5"/>
      <c r="T809" s="1" t="str">
        <f aca="false">IF($C809="","",IF($P809=_xlfn.MAXIFS($P$3:$P$1000,$B$3:$B$1000,$B809),"★ Cash cow – handmatig onderzoeken",""))</f>
        <v/>
      </c>
    </row>
    <row r="810" customFormat="false" ht="14.25" hidden="false" customHeight="true" outlineLevel="0" collapsed="false">
      <c r="A810" s="4"/>
      <c r="B810" s="5"/>
      <c r="C810" s="5"/>
      <c r="D810" s="5"/>
      <c r="E810" s="6"/>
      <c r="F810" s="7"/>
      <c r="G810" s="8"/>
      <c r="H810" s="7"/>
      <c r="I810" s="7"/>
      <c r="J810" s="6"/>
      <c r="K810" s="9" t="str">
        <f aca="false">IF(OR($J810="",$J810=0),"",$I810/$J810)</f>
        <v/>
      </c>
      <c r="L810" s="9" t="str">
        <f aca="false">IF(OR($E810="",$E810=0),"",$H810/$E810)</f>
        <v/>
      </c>
      <c r="M810" s="10" t="str">
        <f aca="false">IF(OR($L810="",$L810=0),"",($I810/30)/$L810)</f>
        <v/>
      </c>
      <c r="N810" s="8"/>
      <c r="O810" s="11" t="str">
        <f aca="false">IF(OR($I810="",$N810=""),"",($I810/1000)*$N810)</f>
        <v/>
      </c>
      <c r="P810" s="12" t="str">
        <f aca="false">IF($C810="","",IFERROR(ROUND(MIN(25,($N810/Instellingen!$B$3)*25)+MIN(25,($I810/Instellingen!$B$4)*25)+MIN(25,($J810/Instellingen!$B$5)*25)+MIN(25,(IF($M810="",0,$M810)/Instellingen!$B$6)*25),0),""))</f>
        <v/>
      </c>
      <c r="Q810" s="13" t="str">
        <f aca="false">IF($P810="","",IF($P810&gt;=Instellingen!$B$7,"Sterke niche",IF($P810&gt;=Instellingen!$B$8,"Belofte - opvolgen",IF($P810&gt;=Instellingen!$B$9,"Zwak - twijfel","Vermijden"))))</f>
        <v/>
      </c>
      <c r="R810" s="5"/>
      <c r="T810" s="1" t="str">
        <f aca="false">IF($C810="","",IF($P810=_xlfn.MAXIFS($P$3:$P$1000,$B$3:$B$1000,$B810),"★ Cash cow – handmatig onderzoeken",""))</f>
        <v/>
      </c>
    </row>
    <row r="811" customFormat="false" ht="14.25" hidden="false" customHeight="true" outlineLevel="0" collapsed="false">
      <c r="A811" s="4"/>
      <c r="B811" s="5"/>
      <c r="C811" s="5"/>
      <c r="D811" s="5"/>
      <c r="E811" s="6"/>
      <c r="F811" s="7"/>
      <c r="G811" s="8"/>
      <c r="H811" s="7"/>
      <c r="I811" s="7"/>
      <c r="J811" s="6"/>
      <c r="K811" s="9" t="str">
        <f aca="false">IF(OR($J811="",$J811=0),"",$I811/$J811)</f>
        <v/>
      </c>
      <c r="L811" s="9" t="str">
        <f aca="false">IF(OR($E811="",$E811=0),"",$H811/$E811)</f>
        <v/>
      </c>
      <c r="M811" s="10" t="str">
        <f aca="false">IF(OR($L811="",$L811=0),"",($I811/30)/$L811)</f>
        <v/>
      </c>
      <c r="N811" s="8"/>
      <c r="O811" s="11" t="str">
        <f aca="false">IF(OR($I811="",$N811=""),"",($I811/1000)*$N811)</f>
        <v/>
      </c>
      <c r="P811" s="12" t="str">
        <f aca="false">IF($C811="","",IFERROR(ROUND(MIN(25,($N811/Instellingen!$B$3)*25)+MIN(25,($I811/Instellingen!$B$4)*25)+MIN(25,($J811/Instellingen!$B$5)*25)+MIN(25,(IF($M811="",0,$M811)/Instellingen!$B$6)*25),0),""))</f>
        <v/>
      </c>
      <c r="Q811" s="13" t="str">
        <f aca="false">IF($P811="","",IF($P811&gt;=Instellingen!$B$7,"Sterke niche",IF($P811&gt;=Instellingen!$B$8,"Belofte - opvolgen",IF($P811&gt;=Instellingen!$B$9,"Zwak - twijfel","Vermijden"))))</f>
        <v/>
      </c>
      <c r="R811" s="5"/>
      <c r="T811" s="1" t="str">
        <f aca="false">IF($C811="","",IF($P811=_xlfn.MAXIFS($P$3:$P$1000,$B$3:$B$1000,$B811),"★ Cash cow – handmatig onderzoeken",""))</f>
        <v/>
      </c>
    </row>
    <row r="812" customFormat="false" ht="14.25" hidden="false" customHeight="true" outlineLevel="0" collapsed="false">
      <c r="A812" s="4"/>
      <c r="B812" s="5"/>
      <c r="C812" s="5"/>
      <c r="D812" s="5"/>
      <c r="E812" s="6"/>
      <c r="F812" s="7"/>
      <c r="G812" s="8"/>
      <c r="H812" s="7"/>
      <c r="I812" s="7"/>
      <c r="J812" s="6"/>
      <c r="K812" s="9" t="str">
        <f aca="false">IF(OR($J812="",$J812=0),"",$I812/$J812)</f>
        <v/>
      </c>
      <c r="L812" s="9" t="str">
        <f aca="false">IF(OR($E812="",$E812=0),"",$H812/$E812)</f>
        <v/>
      </c>
      <c r="M812" s="10" t="str">
        <f aca="false">IF(OR($L812="",$L812=0),"",($I812/30)/$L812)</f>
        <v/>
      </c>
      <c r="N812" s="8"/>
      <c r="O812" s="11" t="str">
        <f aca="false">IF(OR($I812="",$N812=""),"",($I812/1000)*$N812)</f>
        <v/>
      </c>
      <c r="P812" s="12" t="str">
        <f aca="false">IF($C812="","",IFERROR(ROUND(MIN(25,($N812/Instellingen!$B$3)*25)+MIN(25,($I812/Instellingen!$B$4)*25)+MIN(25,($J812/Instellingen!$B$5)*25)+MIN(25,(IF($M812="",0,$M812)/Instellingen!$B$6)*25),0),""))</f>
        <v/>
      </c>
      <c r="Q812" s="13" t="str">
        <f aca="false">IF($P812="","",IF($P812&gt;=Instellingen!$B$7,"Sterke niche",IF($P812&gt;=Instellingen!$B$8,"Belofte - opvolgen",IF($P812&gt;=Instellingen!$B$9,"Zwak - twijfel","Vermijden"))))</f>
        <v/>
      </c>
      <c r="R812" s="5"/>
      <c r="T812" s="1" t="str">
        <f aca="false">IF($C812="","",IF($P812=_xlfn.MAXIFS($P$3:$P$1000,$B$3:$B$1000,$B812),"★ Cash cow – handmatig onderzoeken",""))</f>
        <v/>
      </c>
    </row>
    <row r="813" customFormat="false" ht="14.25" hidden="false" customHeight="true" outlineLevel="0" collapsed="false">
      <c r="A813" s="4"/>
      <c r="B813" s="5"/>
      <c r="C813" s="5"/>
      <c r="D813" s="5"/>
      <c r="E813" s="6"/>
      <c r="F813" s="7"/>
      <c r="G813" s="8"/>
      <c r="H813" s="7"/>
      <c r="I813" s="7"/>
      <c r="J813" s="6"/>
      <c r="K813" s="9" t="str">
        <f aca="false">IF(OR($J813="",$J813=0),"",$I813/$J813)</f>
        <v/>
      </c>
      <c r="L813" s="9" t="str">
        <f aca="false">IF(OR($E813="",$E813=0),"",$H813/$E813)</f>
        <v/>
      </c>
      <c r="M813" s="10" t="str">
        <f aca="false">IF(OR($L813="",$L813=0),"",($I813/30)/$L813)</f>
        <v/>
      </c>
      <c r="N813" s="8"/>
      <c r="O813" s="11" t="str">
        <f aca="false">IF(OR($I813="",$N813=""),"",($I813/1000)*$N813)</f>
        <v/>
      </c>
      <c r="P813" s="12" t="str">
        <f aca="false">IF($C813="","",IFERROR(ROUND(MIN(25,($N813/Instellingen!$B$3)*25)+MIN(25,($I813/Instellingen!$B$4)*25)+MIN(25,($J813/Instellingen!$B$5)*25)+MIN(25,(IF($M813="",0,$M813)/Instellingen!$B$6)*25),0),""))</f>
        <v/>
      </c>
      <c r="Q813" s="13" t="str">
        <f aca="false">IF($P813="","",IF($P813&gt;=Instellingen!$B$7,"Sterke niche",IF($P813&gt;=Instellingen!$B$8,"Belofte - opvolgen",IF($P813&gt;=Instellingen!$B$9,"Zwak - twijfel","Vermijden"))))</f>
        <v/>
      </c>
      <c r="R813" s="5"/>
      <c r="T813" s="1" t="str">
        <f aca="false">IF($C813="","",IF($P813=_xlfn.MAXIFS($P$3:$P$1000,$B$3:$B$1000,$B813),"★ Cash cow – handmatig onderzoeken",""))</f>
        <v/>
      </c>
    </row>
    <row r="814" customFormat="false" ht="14.25" hidden="false" customHeight="true" outlineLevel="0" collapsed="false">
      <c r="A814" s="4"/>
      <c r="B814" s="5"/>
      <c r="C814" s="5"/>
      <c r="D814" s="5"/>
      <c r="E814" s="6"/>
      <c r="F814" s="7"/>
      <c r="G814" s="8"/>
      <c r="H814" s="7"/>
      <c r="I814" s="7"/>
      <c r="J814" s="6"/>
      <c r="K814" s="9" t="str">
        <f aca="false">IF(OR($J814="",$J814=0),"",$I814/$J814)</f>
        <v/>
      </c>
      <c r="L814" s="9" t="str">
        <f aca="false">IF(OR($E814="",$E814=0),"",$H814/$E814)</f>
        <v/>
      </c>
      <c r="M814" s="10" t="str">
        <f aca="false">IF(OR($L814="",$L814=0),"",($I814/30)/$L814)</f>
        <v/>
      </c>
      <c r="N814" s="8"/>
      <c r="O814" s="11" t="str">
        <f aca="false">IF(OR($I814="",$N814=""),"",($I814/1000)*$N814)</f>
        <v/>
      </c>
      <c r="P814" s="12" t="str">
        <f aca="false">IF($C814="","",IFERROR(ROUND(MIN(25,($N814/Instellingen!$B$3)*25)+MIN(25,($I814/Instellingen!$B$4)*25)+MIN(25,($J814/Instellingen!$B$5)*25)+MIN(25,(IF($M814="",0,$M814)/Instellingen!$B$6)*25),0),""))</f>
        <v/>
      </c>
      <c r="Q814" s="13" t="str">
        <f aca="false">IF($P814="","",IF($P814&gt;=Instellingen!$B$7,"Sterke niche",IF($P814&gt;=Instellingen!$B$8,"Belofte - opvolgen",IF($P814&gt;=Instellingen!$B$9,"Zwak - twijfel","Vermijden"))))</f>
        <v/>
      </c>
      <c r="R814" s="5"/>
      <c r="T814" s="1" t="str">
        <f aca="false">IF($C814="","",IF($P814=_xlfn.MAXIFS($P$3:$P$1000,$B$3:$B$1000,$B814),"★ Cash cow – handmatig onderzoeken",""))</f>
        <v/>
      </c>
    </row>
    <row r="815" customFormat="false" ht="14.25" hidden="false" customHeight="true" outlineLevel="0" collapsed="false">
      <c r="A815" s="4"/>
      <c r="B815" s="5"/>
      <c r="C815" s="5"/>
      <c r="D815" s="5"/>
      <c r="E815" s="6"/>
      <c r="F815" s="7"/>
      <c r="G815" s="8"/>
      <c r="H815" s="7"/>
      <c r="I815" s="7"/>
      <c r="J815" s="6"/>
      <c r="K815" s="9" t="str">
        <f aca="false">IF(OR($J815="",$J815=0),"",$I815/$J815)</f>
        <v/>
      </c>
      <c r="L815" s="9" t="str">
        <f aca="false">IF(OR($E815="",$E815=0),"",$H815/$E815)</f>
        <v/>
      </c>
      <c r="M815" s="10" t="str">
        <f aca="false">IF(OR($L815="",$L815=0),"",($I815/30)/$L815)</f>
        <v/>
      </c>
      <c r="N815" s="8"/>
      <c r="O815" s="11" t="str">
        <f aca="false">IF(OR($I815="",$N815=""),"",($I815/1000)*$N815)</f>
        <v/>
      </c>
      <c r="P815" s="12" t="str">
        <f aca="false">IF($C815="","",IFERROR(ROUND(MIN(25,($N815/Instellingen!$B$3)*25)+MIN(25,($I815/Instellingen!$B$4)*25)+MIN(25,($J815/Instellingen!$B$5)*25)+MIN(25,(IF($M815="",0,$M815)/Instellingen!$B$6)*25),0),""))</f>
        <v/>
      </c>
      <c r="Q815" s="13" t="str">
        <f aca="false">IF($P815="","",IF($P815&gt;=Instellingen!$B$7,"Sterke niche",IF($P815&gt;=Instellingen!$B$8,"Belofte - opvolgen",IF($P815&gt;=Instellingen!$B$9,"Zwak - twijfel","Vermijden"))))</f>
        <v/>
      </c>
      <c r="R815" s="5"/>
      <c r="T815" s="1" t="str">
        <f aca="false">IF($C815="","",IF($P815=_xlfn.MAXIFS($P$3:$P$1000,$B$3:$B$1000,$B815),"★ Cash cow – handmatig onderzoeken",""))</f>
        <v/>
      </c>
    </row>
    <row r="816" customFormat="false" ht="14.25" hidden="false" customHeight="true" outlineLevel="0" collapsed="false">
      <c r="A816" s="4"/>
      <c r="B816" s="5"/>
      <c r="C816" s="5"/>
      <c r="D816" s="5"/>
      <c r="E816" s="6"/>
      <c r="F816" s="7"/>
      <c r="G816" s="8"/>
      <c r="H816" s="7"/>
      <c r="I816" s="7"/>
      <c r="J816" s="6"/>
      <c r="K816" s="9" t="str">
        <f aca="false">IF(OR($J816="",$J816=0),"",$I816/$J816)</f>
        <v/>
      </c>
      <c r="L816" s="9" t="str">
        <f aca="false">IF(OR($E816="",$E816=0),"",$H816/$E816)</f>
        <v/>
      </c>
      <c r="M816" s="10" t="str">
        <f aca="false">IF(OR($L816="",$L816=0),"",($I816/30)/$L816)</f>
        <v/>
      </c>
      <c r="N816" s="8"/>
      <c r="O816" s="11" t="str">
        <f aca="false">IF(OR($I816="",$N816=""),"",($I816/1000)*$N816)</f>
        <v/>
      </c>
      <c r="P816" s="12" t="str">
        <f aca="false">IF($C816="","",IFERROR(ROUND(MIN(25,($N816/Instellingen!$B$3)*25)+MIN(25,($I816/Instellingen!$B$4)*25)+MIN(25,($J816/Instellingen!$B$5)*25)+MIN(25,(IF($M816="",0,$M816)/Instellingen!$B$6)*25),0),""))</f>
        <v/>
      </c>
      <c r="Q816" s="13" t="str">
        <f aca="false">IF($P816="","",IF($P816&gt;=Instellingen!$B$7,"Sterke niche",IF($P816&gt;=Instellingen!$B$8,"Belofte - opvolgen",IF($P816&gt;=Instellingen!$B$9,"Zwak - twijfel","Vermijden"))))</f>
        <v/>
      </c>
      <c r="R816" s="5"/>
      <c r="T816" s="1" t="str">
        <f aca="false">IF($C816="","",IF($P816=_xlfn.MAXIFS($P$3:$P$1000,$B$3:$B$1000,$B816),"★ Cash cow – handmatig onderzoeken",""))</f>
        <v/>
      </c>
    </row>
    <row r="817" customFormat="false" ht="14.25" hidden="false" customHeight="true" outlineLevel="0" collapsed="false">
      <c r="A817" s="4"/>
      <c r="B817" s="5"/>
      <c r="C817" s="5"/>
      <c r="D817" s="5"/>
      <c r="E817" s="6"/>
      <c r="F817" s="7"/>
      <c r="G817" s="8"/>
      <c r="H817" s="7"/>
      <c r="I817" s="7"/>
      <c r="J817" s="6"/>
      <c r="K817" s="9" t="str">
        <f aca="false">IF(OR($J817="",$J817=0),"",$I817/$J817)</f>
        <v/>
      </c>
      <c r="L817" s="9" t="str">
        <f aca="false">IF(OR($E817="",$E817=0),"",$H817/$E817)</f>
        <v/>
      </c>
      <c r="M817" s="10" t="str">
        <f aca="false">IF(OR($L817="",$L817=0),"",($I817/30)/$L817)</f>
        <v/>
      </c>
      <c r="N817" s="8"/>
      <c r="O817" s="11" t="str">
        <f aca="false">IF(OR($I817="",$N817=""),"",($I817/1000)*$N817)</f>
        <v/>
      </c>
      <c r="P817" s="12" t="str">
        <f aca="false">IF($C817="","",IFERROR(ROUND(MIN(25,($N817/Instellingen!$B$3)*25)+MIN(25,($I817/Instellingen!$B$4)*25)+MIN(25,($J817/Instellingen!$B$5)*25)+MIN(25,(IF($M817="",0,$M817)/Instellingen!$B$6)*25),0),""))</f>
        <v/>
      </c>
      <c r="Q817" s="13" t="str">
        <f aca="false">IF($P817="","",IF($P817&gt;=Instellingen!$B$7,"Sterke niche",IF($P817&gt;=Instellingen!$B$8,"Belofte - opvolgen",IF($P817&gt;=Instellingen!$B$9,"Zwak - twijfel","Vermijden"))))</f>
        <v/>
      </c>
      <c r="R817" s="5"/>
      <c r="T817" s="1" t="str">
        <f aca="false">IF($C817="","",IF($P817=_xlfn.MAXIFS($P$3:$P$1000,$B$3:$B$1000,$B817),"★ Cash cow – handmatig onderzoeken",""))</f>
        <v/>
      </c>
    </row>
    <row r="818" customFormat="false" ht="14.25" hidden="false" customHeight="true" outlineLevel="0" collapsed="false">
      <c r="A818" s="4"/>
      <c r="B818" s="5"/>
      <c r="C818" s="5"/>
      <c r="D818" s="5"/>
      <c r="E818" s="6"/>
      <c r="F818" s="7"/>
      <c r="G818" s="8"/>
      <c r="H818" s="7"/>
      <c r="I818" s="7"/>
      <c r="J818" s="6"/>
      <c r="K818" s="9" t="str">
        <f aca="false">IF(OR($J818="",$J818=0),"",$I818/$J818)</f>
        <v/>
      </c>
      <c r="L818" s="9" t="str">
        <f aca="false">IF(OR($E818="",$E818=0),"",$H818/$E818)</f>
        <v/>
      </c>
      <c r="M818" s="10" t="str">
        <f aca="false">IF(OR($L818="",$L818=0),"",($I818/30)/$L818)</f>
        <v/>
      </c>
      <c r="N818" s="8"/>
      <c r="O818" s="11" t="str">
        <f aca="false">IF(OR($I818="",$N818=""),"",($I818/1000)*$N818)</f>
        <v/>
      </c>
      <c r="P818" s="12" t="str">
        <f aca="false">IF($C818="","",IFERROR(ROUND(MIN(25,($N818/Instellingen!$B$3)*25)+MIN(25,($I818/Instellingen!$B$4)*25)+MIN(25,($J818/Instellingen!$B$5)*25)+MIN(25,(IF($M818="",0,$M818)/Instellingen!$B$6)*25),0),""))</f>
        <v/>
      </c>
      <c r="Q818" s="13" t="str">
        <f aca="false">IF($P818="","",IF($P818&gt;=Instellingen!$B$7,"Sterke niche",IF($P818&gt;=Instellingen!$B$8,"Belofte - opvolgen",IF($P818&gt;=Instellingen!$B$9,"Zwak - twijfel","Vermijden"))))</f>
        <v/>
      </c>
      <c r="R818" s="5"/>
      <c r="T818" s="1" t="str">
        <f aca="false">IF($C818="","",IF($P818=_xlfn.MAXIFS($P$3:$P$1000,$B$3:$B$1000,$B818),"★ Cash cow – handmatig onderzoeken",""))</f>
        <v/>
      </c>
    </row>
    <row r="819" customFormat="false" ht="14.25" hidden="false" customHeight="true" outlineLevel="0" collapsed="false">
      <c r="A819" s="4"/>
      <c r="B819" s="5"/>
      <c r="C819" s="5"/>
      <c r="D819" s="5"/>
      <c r="E819" s="6"/>
      <c r="F819" s="7"/>
      <c r="G819" s="8"/>
      <c r="H819" s="7"/>
      <c r="I819" s="7"/>
      <c r="J819" s="6"/>
      <c r="K819" s="9" t="str">
        <f aca="false">IF(OR($J819="",$J819=0),"",$I819/$J819)</f>
        <v/>
      </c>
      <c r="L819" s="9" t="str">
        <f aca="false">IF(OR($E819="",$E819=0),"",$H819/$E819)</f>
        <v/>
      </c>
      <c r="M819" s="10" t="str">
        <f aca="false">IF(OR($L819="",$L819=0),"",($I819/30)/$L819)</f>
        <v/>
      </c>
      <c r="N819" s="8"/>
      <c r="O819" s="11" t="str">
        <f aca="false">IF(OR($I819="",$N819=""),"",($I819/1000)*$N819)</f>
        <v/>
      </c>
      <c r="P819" s="12" t="str">
        <f aca="false">IF($C819="","",IFERROR(ROUND(MIN(25,($N819/Instellingen!$B$3)*25)+MIN(25,($I819/Instellingen!$B$4)*25)+MIN(25,($J819/Instellingen!$B$5)*25)+MIN(25,(IF($M819="",0,$M819)/Instellingen!$B$6)*25),0),""))</f>
        <v/>
      </c>
      <c r="Q819" s="13" t="str">
        <f aca="false">IF($P819="","",IF($P819&gt;=Instellingen!$B$7,"Sterke niche",IF($P819&gt;=Instellingen!$B$8,"Belofte - opvolgen",IF($P819&gt;=Instellingen!$B$9,"Zwak - twijfel","Vermijden"))))</f>
        <v/>
      </c>
      <c r="R819" s="5"/>
      <c r="T819" s="1" t="str">
        <f aca="false">IF($C819="","",IF($P819=_xlfn.MAXIFS($P$3:$P$1000,$B$3:$B$1000,$B819),"★ Cash cow – handmatig onderzoeken",""))</f>
        <v/>
      </c>
    </row>
    <row r="820" customFormat="false" ht="14.25" hidden="false" customHeight="true" outlineLevel="0" collapsed="false">
      <c r="A820" s="4"/>
      <c r="B820" s="5"/>
      <c r="C820" s="5"/>
      <c r="D820" s="5"/>
      <c r="E820" s="6"/>
      <c r="F820" s="7"/>
      <c r="G820" s="8"/>
      <c r="H820" s="7"/>
      <c r="I820" s="7"/>
      <c r="J820" s="6"/>
      <c r="K820" s="9" t="str">
        <f aca="false">IF(OR($J820="",$J820=0),"",$I820/$J820)</f>
        <v/>
      </c>
      <c r="L820" s="9" t="str">
        <f aca="false">IF(OR($E820="",$E820=0),"",$H820/$E820)</f>
        <v/>
      </c>
      <c r="M820" s="10" t="str">
        <f aca="false">IF(OR($L820="",$L820=0),"",($I820/30)/$L820)</f>
        <v/>
      </c>
      <c r="N820" s="8"/>
      <c r="O820" s="11" t="str">
        <f aca="false">IF(OR($I820="",$N820=""),"",($I820/1000)*$N820)</f>
        <v/>
      </c>
      <c r="P820" s="12" t="str">
        <f aca="false">IF($C820="","",IFERROR(ROUND(MIN(25,($N820/Instellingen!$B$3)*25)+MIN(25,($I820/Instellingen!$B$4)*25)+MIN(25,($J820/Instellingen!$B$5)*25)+MIN(25,(IF($M820="",0,$M820)/Instellingen!$B$6)*25),0),""))</f>
        <v/>
      </c>
      <c r="Q820" s="13" t="str">
        <f aca="false">IF($P820="","",IF($P820&gt;=Instellingen!$B$7,"Sterke niche",IF($P820&gt;=Instellingen!$B$8,"Belofte - opvolgen",IF($P820&gt;=Instellingen!$B$9,"Zwak - twijfel","Vermijden"))))</f>
        <v/>
      </c>
      <c r="R820" s="5"/>
      <c r="T820" s="1" t="str">
        <f aca="false">IF($C820="","",IF($P820=_xlfn.MAXIFS($P$3:$P$1000,$B$3:$B$1000,$B820),"★ Cash cow – handmatig onderzoeken",""))</f>
        <v/>
      </c>
    </row>
    <row r="821" customFormat="false" ht="14.25" hidden="false" customHeight="true" outlineLevel="0" collapsed="false">
      <c r="A821" s="4"/>
      <c r="B821" s="5"/>
      <c r="C821" s="5"/>
      <c r="D821" s="5"/>
      <c r="E821" s="6"/>
      <c r="F821" s="7"/>
      <c r="G821" s="8"/>
      <c r="H821" s="7"/>
      <c r="I821" s="7"/>
      <c r="J821" s="6"/>
      <c r="K821" s="9" t="str">
        <f aca="false">IF(OR($J821="",$J821=0),"",$I821/$J821)</f>
        <v/>
      </c>
      <c r="L821" s="9" t="str">
        <f aca="false">IF(OR($E821="",$E821=0),"",$H821/$E821)</f>
        <v/>
      </c>
      <c r="M821" s="10" t="str">
        <f aca="false">IF(OR($L821="",$L821=0),"",($I821/30)/$L821)</f>
        <v/>
      </c>
      <c r="N821" s="8"/>
      <c r="O821" s="11" t="str">
        <f aca="false">IF(OR($I821="",$N821=""),"",($I821/1000)*$N821)</f>
        <v/>
      </c>
      <c r="P821" s="12" t="str">
        <f aca="false">IF($C821="","",IFERROR(ROUND(MIN(25,($N821/Instellingen!$B$3)*25)+MIN(25,($I821/Instellingen!$B$4)*25)+MIN(25,($J821/Instellingen!$B$5)*25)+MIN(25,(IF($M821="",0,$M821)/Instellingen!$B$6)*25),0),""))</f>
        <v/>
      </c>
      <c r="Q821" s="13" t="str">
        <f aca="false">IF($P821="","",IF($P821&gt;=Instellingen!$B$7,"Sterke niche",IF($P821&gt;=Instellingen!$B$8,"Belofte - opvolgen",IF($P821&gt;=Instellingen!$B$9,"Zwak - twijfel","Vermijden"))))</f>
        <v/>
      </c>
      <c r="R821" s="5"/>
      <c r="T821" s="1" t="str">
        <f aca="false">IF($C821="","",IF($P821=_xlfn.MAXIFS($P$3:$P$1000,$B$3:$B$1000,$B821),"★ Cash cow – handmatig onderzoeken",""))</f>
        <v/>
      </c>
    </row>
    <row r="822" customFormat="false" ht="14.25" hidden="false" customHeight="true" outlineLevel="0" collapsed="false">
      <c r="A822" s="4"/>
      <c r="B822" s="5"/>
      <c r="C822" s="5"/>
      <c r="D822" s="5"/>
      <c r="E822" s="6"/>
      <c r="F822" s="7"/>
      <c r="G822" s="8"/>
      <c r="H822" s="7"/>
      <c r="I822" s="7"/>
      <c r="J822" s="6"/>
      <c r="K822" s="9" t="str">
        <f aca="false">IF(OR($J822="",$J822=0),"",$I822/$J822)</f>
        <v/>
      </c>
      <c r="L822" s="9" t="str">
        <f aca="false">IF(OR($E822="",$E822=0),"",$H822/$E822)</f>
        <v/>
      </c>
      <c r="M822" s="10" t="str">
        <f aca="false">IF(OR($L822="",$L822=0),"",($I822/30)/$L822)</f>
        <v/>
      </c>
      <c r="N822" s="8"/>
      <c r="O822" s="11" t="str">
        <f aca="false">IF(OR($I822="",$N822=""),"",($I822/1000)*$N822)</f>
        <v/>
      </c>
      <c r="P822" s="12" t="str">
        <f aca="false">IF($C822="","",IFERROR(ROUND(MIN(25,($N822/Instellingen!$B$3)*25)+MIN(25,($I822/Instellingen!$B$4)*25)+MIN(25,($J822/Instellingen!$B$5)*25)+MIN(25,(IF($M822="",0,$M822)/Instellingen!$B$6)*25),0),""))</f>
        <v/>
      </c>
      <c r="Q822" s="13" t="str">
        <f aca="false">IF($P822="","",IF($P822&gt;=Instellingen!$B$7,"Sterke niche",IF($P822&gt;=Instellingen!$B$8,"Belofte - opvolgen",IF($P822&gt;=Instellingen!$B$9,"Zwak - twijfel","Vermijden"))))</f>
        <v/>
      </c>
      <c r="R822" s="5"/>
      <c r="T822" s="1" t="str">
        <f aca="false">IF($C822="","",IF($P822=_xlfn.MAXIFS($P$3:$P$1000,$B$3:$B$1000,$B822),"★ Cash cow – handmatig onderzoeken",""))</f>
        <v/>
      </c>
    </row>
    <row r="823" customFormat="false" ht="14.25" hidden="false" customHeight="true" outlineLevel="0" collapsed="false">
      <c r="A823" s="4"/>
      <c r="B823" s="5"/>
      <c r="C823" s="5"/>
      <c r="D823" s="5"/>
      <c r="E823" s="6"/>
      <c r="F823" s="7"/>
      <c r="G823" s="8"/>
      <c r="H823" s="7"/>
      <c r="I823" s="7"/>
      <c r="J823" s="6"/>
      <c r="K823" s="9" t="str">
        <f aca="false">IF(OR($J823="",$J823=0),"",$I823/$J823)</f>
        <v/>
      </c>
      <c r="L823" s="9" t="str">
        <f aca="false">IF(OR($E823="",$E823=0),"",$H823/$E823)</f>
        <v/>
      </c>
      <c r="M823" s="10" t="str">
        <f aca="false">IF(OR($L823="",$L823=0),"",($I823/30)/$L823)</f>
        <v/>
      </c>
      <c r="N823" s="8"/>
      <c r="O823" s="11" t="str">
        <f aca="false">IF(OR($I823="",$N823=""),"",($I823/1000)*$N823)</f>
        <v/>
      </c>
      <c r="P823" s="12" t="str">
        <f aca="false">IF($C823="","",IFERROR(ROUND(MIN(25,($N823/Instellingen!$B$3)*25)+MIN(25,($I823/Instellingen!$B$4)*25)+MIN(25,($J823/Instellingen!$B$5)*25)+MIN(25,(IF($M823="",0,$M823)/Instellingen!$B$6)*25),0),""))</f>
        <v/>
      </c>
      <c r="Q823" s="13" t="str">
        <f aca="false">IF($P823="","",IF($P823&gt;=Instellingen!$B$7,"Sterke niche",IF($P823&gt;=Instellingen!$B$8,"Belofte - opvolgen",IF($P823&gt;=Instellingen!$B$9,"Zwak - twijfel","Vermijden"))))</f>
        <v/>
      </c>
      <c r="R823" s="5"/>
      <c r="T823" s="1" t="str">
        <f aca="false">IF($C823="","",IF($P823=_xlfn.MAXIFS($P$3:$P$1000,$B$3:$B$1000,$B823),"★ Cash cow – handmatig onderzoeken",""))</f>
        <v/>
      </c>
    </row>
    <row r="824" customFormat="false" ht="14.25" hidden="false" customHeight="true" outlineLevel="0" collapsed="false">
      <c r="A824" s="4"/>
      <c r="B824" s="5"/>
      <c r="C824" s="5"/>
      <c r="D824" s="5"/>
      <c r="E824" s="6"/>
      <c r="F824" s="7"/>
      <c r="G824" s="8"/>
      <c r="H824" s="7"/>
      <c r="I824" s="7"/>
      <c r="J824" s="6"/>
      <c r="K824" s="9" t="str">
        <f aca="false">IF(OR($J824="",$J824=0),"",$I824/$J824)</f>
        <v/>
      </c>
      <c r="L824" s="9" t="str">
        <f aca="false">IF(OR($E824="",$E824=0),"",$H824/$E824)</f>
        <v/>
      </c>
      <c r="M824" s="10" t="str">
        <f aca="false">IF(OR($L824="",$L824=0),"",($I824/30)/$L824)</f>
        <v/>
      </c>
      <c r="N824" s="8"/>
      <c r="O824" s="11" t="str">
        <f aca="false">IF(OR($I824="",$N824=""),"",($I824/1000)*$N824)</f>
        <v/>
      </c>
      <c r="P824" s="12" t="str">
        <f aca="false">IF($C824="","",IFERROR(ROUND(MIN(25,($N824/Instellingen!$B$3)*25)+MIN(25,($I824/Instellingen!$B$4)*25)+MIN(25,($J824/Instellingen!$B$5)*25)+MIN(25,(IF($M824="",0,$M824)/Instellingen!$B$6)*25),0),""))</f>
        <v/>
      </c>
      <c r="Q824" s="13" t="str">
        <f aca="false">IF($P824="","",IF($P824&gt;=Instellingen!$B$7,"Sterke niche",IF($P824&gt;=Instellingen!$B$8,"Belofte - opvolgen",IF($P824&gt;=Instellingen!$B$9,"Zwak - twijfel","Vermijden"))))</f>
        <v/>
      </c>
      <c r="R824" s="5"/>
      <c r="T824" s="1" t="str">
        <f aca="false">IF($C824="","",IF($P824=_xlfn.MAXIFS($P$3:$P$1000,$B$3:$B$1000,$B824),"★ Cash cow – handmatig onderzoeken",""))</f>
        <v/>
      </c>
    </row>
    <row r="825" customFormat="false" ht="14.25" hidden="false" customHeight="true" outlineLevel="0" collapsed="false">
      <c r="A825" s="4"/>
      <c r="B825" s="5"/>
      <c r="C825" s="5"/>
      <c r="D825" s="5"/>
      <c r="E825" s="6"/>
      <c r="F825" s="7"/>
      <c r="G825" s="8"/>
      <c r="H825" s="7"/>
      <c r="I825" s="7"/>
      <c r="J825" s="6"/>
      <c r="K825" s="9" t="str">
        <f aca="false">IF(OR($J825="",$J825=0),"",$I825/$J825)</f>
        <v/>
      </c>
      <c r="L825" s="9" t="str">
        <f aca="false">IF(OR($E825="",$E825=0),"",$H825/$E825)</f>
        <v/>
      </c>
      <c r="M825" s="10" t="str">
        <f aca="false">IF(OR($L825="",$L825=0),"",($I825/30)/$L825)</f>
        <v/>
      </c>
      <c r="N825" s="8"/>
      <c r="O825" s="11" t="str">
        <f aca="false">IF(OR($I825="",$N825=""),"",($I825/1000)*$N825)</f>
        <v/>
      </c>
      <c r="P825" s="12" t="str">
        <f aca="false">IF($C825="","",IFERROR(ROUND(MIN(25,($N825/Instellingen!$B$3)*25)+MIN(25,($I825/Instellingen!$B$4)*25)+MIN(25,($J825/Instellingen!$B$5)*25)+MIN(25,(IF($M825="",0,$M825)/Instellingen!$B$6)*25),0),""))</f>
        <v/>
      </c>
      <c r="Q825" s="13" t="str">
        <f aca="false">IF($P825="","",IF($P825&gt;=Instellingen!$B$7,"Sterke niche",IF($P825&gt;=Instellingen!$B$8,"Belofte - opvolgen",IF($P825&gt;=Instellingen!$B$9,"Zwak - twijfel","Vermijden"))))</f>
        <v/>
      </c>
      <c r="R825" s="5"/>
      <c r="T825" s="1" t="str">
        <f aca="false">IF($C825="","",IF($P825=_xlfn.MAXIFS($P$3:$P$1000,$B$3:$B$1000,$B825),"★ Cash cow – handmatig onderzoeken",""))</f>
        <v/>
      </c>
    </row>
    <row r="826" customFormat="false" ht="14.25" hidden="false" customHeight="true" outlineLevel="0" collapsed="false">
      <c r="A826" s="4"/>
      <c r="B826" s="5"/>
      <c r="C826" s="5"/>
      <c r="D826" s="5"/>
      <c r="E826" s="6"/>
      <c r="F826" s="7"/>
      <c r="G826" s="8"/>
      <c r="H826" s="7"/>
      <c r="I826" s="7"/>
      <c r="J826" s="6"/>
      <c r="K826" s="9" t="str">
        <f aca="false">IF(OR($J826="",$J826=0),"",$I826/$J826)</f>
        <v/>
      </c>
      <c r="L826" s="9" t="str">
        <f aca="false">IF(OR($E826="",$E826=0),"",$H826/$E826)</f>
        <v/>
      </c>
      <c r="M826" s="10" t="str">
        <f aca="false">IF(OR($L826="",$L826=0),"",($I826/30)/$L826)</f>
        <v/>
      </c>
      <c r="N826" s="8"/>
      <c r="O826" s="11" t="str">
        <f aca="false">IF(OR($I826="",$N826=""),"",($I826/1000)*$N826)</f>
        <v/>
      </c>
      <c r="P826" s="12" t="str">
        <f aca="false">IF($C826="","",IFERROR(ROUND(MIN(25,($N826/Instellingen!$B$3)*25)+MIN(25,($I826/Instellingen!$B$4)*25)+MIN(25,($J826/Instellingen!$B$5)*25)+MIN(25,(IF($M826="",0,$M826)/Instellingen!$B$6)*25),0),""))</f>
        <v/>
      </c>
      <c r="Q826" s="13" t="str">
        <f aca="false">IF($P826="","",IF($P826&gt;=Instellingen!$B$7,"Sterke niche",IF($P826&gt;=Instellingen!$B$8,"Belofte - opvolgen",IF($P826&gt;=Instellingen!$B$9,"Zwak - twijfel","Vermijden"))))</f>
        <v/>
      </c>
      <c r="R826" s="5"/>
      <c r="T826" s="1" t="str">
        <f aca="false">IF($C826="","",IF($P826=_xlfn.MAXIFS($P$3:$P$1000,$B$3:$B$1000,$B826),"★ Cash cow – handmatig onderzoeken",""))</f>
        <v/>
      </c>
    </row>
    <row r="827" customFormat="false" ht="14.25" hidden="false" customHeight="true" outlineLevel="0" collapsed="false">
      <c r="A827" s="4"/>
      <c r="B827" s="5"/>
      <c r="C827" s="5"/>
      <c r="D827" s="5"/>
      <c r="E827" s="6"/>
      <c r="F827" s="7"/>
      <c r="G827" s="8"/>
      <c r="H827" s="7"/>
      <c r="I827" s="7"/>
      <c r="J827" s="6"/>
      <c r="K827" s="9" t="str">
        <f aca="false">IF(OR($J827="",$J827=0),"",$I827/$J827)</f>
        <v/>
      </c>
      <c r="L827" s="9" t="str">
        <f aca="false">IF(OR($E827="",$E827=0),"",$H827/$E827)</f>
        <v/>
      </c>
      <c r="M827" s="10" t="str">
        <f aca="false">IF(OR($L827="",$L827=0),"",($I827/30)/$L827)</f>
        <v/>
      </c>
      <c r="N827" s="8"/>
      <c r="O827" s="11" t="str">
        <f aca="false">IF(OR($I827="",$N827=""),"",($I827/1000)*$N827)</f>
        <v/>
      </c>
      <c r="P827" s="12" t="str">
        <f aca="false">IF($C827="","",IFERROR(ROUND(MIN(25,($N827/Instellingen!$B$3)*25)+MIN(25,($I827/Instellingen!$B$4)*25)+MIN(25,($J827/Instellingen!$B$5)*25)+MIN(25,(IF($M827="",0,$M827)/Instellingen!$B$6)*25),0),""))</f>
        <v/>
      </c>
      <c r="Q827" s="13" t="str">
        <f aca="false">IF($P827="","",IF($P827&gt;=Instellingen!$B$7,"Sterke niche",IF($P827&gt;=Instellingen!$B$8,"Belofte - opvolgen",IF($P827&gt;=Instellingen!$B$9,"Zwak - twijfel","Vermijden"))))</f>
        <v/>
      </c>
      <c r="R827" s="5"/>
      <c r="T827" s="1" t="str">
        <f aca="false">IF($C827="","",IF($P827=_xlfn.MAXIFS($P$3:$P$1000,$B$3:$B$1000,$B827),"★ Cash cow – handmatig onderzoeken",""))</f>
        <v/>
      </c>
    </row>
    <row r="828" customFormat="false" ht="14.25" hidden="false" customHeight="true" outlineLevel="0" collapsed="false">
      <c r="A828" s="4"/>
      <c r="B828" s="5"/>
      <c r="C828" s="5"/>
      <c r="D828" s="5"/>
      <c r="E828" s="6"/>
      <c r="F828" s="7"/>
      <c r="G828" s="8"/>
      <c r="H828" s="7"/>
      <c r="I828" s="7"/>
      <c r="J828" s="6"/>
      <c r="K828" s="9" t="str">
        <f aca="false">IF(OR($J828="",$J828=0),"",$I828/$J828)</f>
        <v/>
      </c>
      <c r="L828" s="9" t="str">
        <f aca="false">IF(OR($E828="",$E828=0),"",$H828/$E828)</f>
        <v/>
      </c>
      <c r="M828" s="10" t="str">
        <f aca="false">IF(OR($L828="",$L828=0),"",($I828/30)/$L828)</f>
        <v/>
      </c>
      <c r="N828" s="8"/>
      <c r="O828" s="11" t="str">
        <f aca="false">IF(OR($I828="",$N828=""),"",($I828/1000)*$N828)</f>
        <v/>
      </c>
      <c r="P828" s="12" t="str">
        <f aca="false">IF($C828="","",IFERROR(ROUND(MIN(25,($N828/Instellingen!$B$3)*25)+MIN(25,($I828/Instellingen!$B$4)*25)+MIN(25,($J828/Instellingen!$B$5)*25)+MIN(25,(IF($M828="",0,$M828)/Instellingen!$B$6)*25),0),""))</f>
        <v/>
      </c>
      <c r="Q828" s="13" t="str">
        <f aca="false">IF($P828="","",IF($P828&gt;=Instellingen!$B$7,"Sterke niche",IF($P828&gt;=Instellingen!$B$8,"Belofte - opvolgen",IF($P828&gt;=Instellingen!$B$9,"Zwak - twijfel","Vermijden"))))</f>
        <v/>
      </c>
      <c r="R828" s="5"/>
      <c r="T828" s="1" t="str">
        <f aca="false">IF($C828="","",IF($P828=_xlfn.MAXIFS($P$3:$P$1000,$B$3:$B$1000,$B828),"★ Cash cow – handmatig onderzoeken",""))</f>
        <v/>
      </c>
    </row>
    <row r="829" customFormat="false" ht="14.25" hidden="false" customHeight="true" outlineLevel="0" collapsed="false">
      <c r="A829" s="4"/>
      <c r="B829" s="5"/>
      <c r="C829" s="5"/>
      <c r="D829" s="5"/>
      <c r="E829" s="6"/>
      <c r="F829" s="7"/>
      <c r="G829" s="8"/>
      <c r="H829" s="7"/>
      <c r="I829" s="7"/>
      <c r="J829" s="6"/>
      <c r="K829" s="9" t="str">
        <f aca="false">IF(OR($J829="",$J829=0),"",$I829/$J829)</f>
        <v/>
      </c>
      <c r="L829" s="9" t="str">
        <f aca="false">IF(OR($E829="",$E829=0),"",$H829/$E829)</f>
        <v/>
      </c>
      <c r="M829" s="10" t="str">
        <f aca="false">IF(OR($L829="",$L829=0),"",($I829/30)/$L829)</f>
        <v/>
      </c>
      <c r="N829" s="8"/>
      <c r="O829" s="11" t="str">
        <f aca="false">IF(OR($I829="",$N829=""),"",($I829/1000)*$N829)</f>
        <v/>
      </c>
      <c r="P829" s="12" t="str">
        <f aca="false">IF($C829="","",IFERROR(ROUND(MIN(25,($N829/Instellingen!$B$3)*25)+MIN(25,($I829/Instellingen!$B$4)*25)+MIN(25,($J829/Instellingen!$B$5)*25)+MIN(25,(IF($M829="",0,$M829)/Instellingen!$B$6)*25),0),""))</f>
        <v/>
      </c>
      <c r="Q829" s="13" t="str">
        <f aca="false">IF($P829="","",IF($P829&gt;=Instellingen!$B$7,"Sterke niche",IF($P829&gt;=Instellingen!$B$8,"Belofte - opvolgen",IF($P829&gt;=Instellingen!$B$9,"Zwak - twijfel","Vermijden"))))</f>
        <v/>
      </c>
      <c r="R829" s="5"/>
      <c r="T829" s="1" t="str">
        <f aca="false">IF($C829="","",IF($P829=_xlfn.MAXIFS($P$3:$P$1000,$B$3:$B$1000,$B829),"★ Cash cow – handmatig onderzoeken",""))</f>
        <v/>
      </c>
    </row>
    <row r="830" customFormat="false" ht="14.25" hidden="false" customHeight="true" outlineLevel="0" collapsed="false">
      <c r="A830" s="4"/>
      <c r="B830" s="5"/>
      <c r="C830" s="5"/>
      <c r="D830" s="5"/>
      <c r="E830" s="6"/>
      <c r="F830" s="7"/>
      <c r="G830" s="8"/>
      <c r="H830" s="7"/>
      <c r="I830" s="7"/>
      <c r="J830" s="6"/>
      <c r="K830" s="9" t="str">
        <f aca="false">IF(OR($J830="",$J830=0),"",$I830/$J830)</f>
        <v/>
      </c>
      <c r="L830" s="9" t="str">
        <f aca="false">IF(OR($E830="",$E830=0),"",$H830/$E830)</f>
        <v/>
      </c>
      <c r="M830" s="10" t="str">
        <f aca="false">IF(OR($L830="",$L830=0),"",($I830/30)/$L830)</f>
        <v/>
      </c>
      <c r="N830" s="8"/>
      <c r="O830" s="11" t="str">
        <f aca="false">IF(OR($I830="",$N830=""),"",($I830/1000)*$N830)</f>
        <v/>
      </c>
      <c r="P830" s="12" t="str">
        <f aca="false">IF($C830="","",IFERROR(ROUND(MIN(25,($N830/Instellingen!$B$3)*25)+MIN(25,($I830/Instellingen!$B$4)*25)+MIN(25,($J830/Instellingen!$B$5)*25)+MIN(25,(IF($M830="",0,$M830)/Instellingen!$B$6)*25),0),""))</f>
        <v/>
      </c>
      <c r="Q830" s="13" t="str">
        <f aca="false">IF($P830="","",IF($P830&gt;=Instellingen!$B$7,"Sterke niche",IF($P830&gt;=Instellingen!$B$8,"Belofte - opvolgen",IF($P830&gt;=Instellingen!$B$9,"Zwak - twijfel","Vermijden"))))</f>
        <v/>
      </c>
      <c r="R830" s="5"/>
      <c r="T830" s="1" t="str">
        <f aca="false">IF($C830="","",IF($P830=_xlfn.MAXIFS($P$3:$P$1000,$B$3:$B$1000,$B830),"★ Cash cow – handmatig onderzoeken",""))</f>
        <v/>
      </c>
    </row>
    <row r="831" customFormat="false" ht="14.25" hidden="false" customHeight="true" outlineLevel="0" collapsed="false">
      <c r="A831" s="4"/>
      <c r="B831" s="5"/>
      <c r="C831" s="5"/>
      <c r="D831" s="5"/>
      <c r="E831" s="6"/>
      <c r="F831" s="7"/>
      <c r="G831" s="8"/>
      <c r="H831" s="7"/>
      <c r="I831" s="7"/>
      <c r="J831" s="6"/>
      <c r="K831" s="9" t="str">
        <f aca="false">IF(OR($J831="",$J831=0),"",$I831/$J831)</f>
        <v/>
      </c>
      <c r="L831" s="9" t="str">
        <f aca="false">IF(OR($E831="",$E831=0),"",$H831/$E831)</f>
        <v/>
      </c>
      <c r="M831" s="10" t="str">
        <f aca="false">IF(OR($L831="",$L831=0),"",($I831/30)/$L831)</f>
        <v/>
      </c>
      <c r="N831" s="8"/>
      <c r="O831" s="11" t="str">
        <f aca="false">IF(OR($I831="",$N831=""),"",($I831/1000)*$N831)</f>
        <v/>
      </c>
      <c r="P831" s="12" t="str">
        <f aca="false">IF($C831="","",IFERROR(ROUND(MIN(25,($N831/Instellingen!$B$3)*25)+MIN(25,($I831/Instellingen!$B$4)*25)+MIN(25,($J831/Instellingen!$B$5)*25)+MIN(25,(IF($M831="",0,$M831)/Instellingen!$B$6)*25),0),""))</f>
        <v/>
      </c>
      <c r="Q831" s="13" t="str">
        <f aca="false">IF($P831="","",IF($P831&gt;=Instellingen!$B$7,"Sterke niche",IF($P831&gt;=Instellingen!$B$8,"Belofte - opvolgen",IF($P831&gt;=Instellingen!$B$9,"Zwak - twijfel","Vermijden"))))</f>
        <v/>
      </c>
      <c r="R831" s="5"/>
      <c r="T831" s="1" t="str">
        <f aca="false">IF($C831="","",IF($P831=_xlfn.MAXIFS($P$3:$P$1000,$B$3:$B$1000,$B831),"★ Cash cow – handmatig onderzoeken",""))</f>
        <v/>
      </c>
    </row>
    <row r="832" customFormat="false" ht="14.25" hidden="false" customHeight="true" outlineLevel="0" collapsed="false">
      <c r="A832" s="4"/>
      <c r="B832" s="5"/>
      <c r="C832" s="5"/>
      <c r="D832" s="5"/>
      <c r="E832" s="6"/>
      <c r="F832" s="7"/>
      <c r="G832" s="8"/>
      <c r="H832" s="7"/>
      <c r="I832" s="7"/>
      <c r="J832" s="6"/>
      <c r="K832" s="9" t="str">
        <f aca="false">IF(OR($J832="",$J832=0),"",$I832/$J832)</f>
        <v/>
      </c>
      <c r="L832" s="9" t="str">
        <f aca="false">IF(OR($E832="",$E832=0),"",$H832/$E832)</f>
        <v/>
      </c>
      <c r="M832" s="10" t="str">
        <f aca="false">IF(OR($L832="",$L832=0),"",($I832/30)/$L832)</f>
        <v/>
      </c>
      <c r="N832" s="8"/>
      <c r="O832" s="11" t="str">
        <f aca="false">IF(OR($I832="",$N832=""),"",($I832/1000)*$N832)</f>
        <v/>
      </c>
      <c r="P832" s="12" t="str">
        <f aca="false">IF($C832="","",IFERROR(ROUND(MIN(25,($N832/Instellingen!$B$3)*25)+MIN(25,($I832/Instellingen!$B$4)*25)+MIN(25,($J832/Instellingen!$B$5)*25)+MIN(25,(IF($M832="",0,$M832)/Instellingen!$B$6)*25),0),""))</f>
        <v/>
      </c>
      <c r="Q832" s="13" t="str">
        <f aca="false">IF($P832="","",IF($P832&gt;=Instellingen!$B$7,"Sterke niche",IF($P832&gt;=Instellingen!$B$8,"Belofte - opvolgen",IF($P832&gt;=Instellingen!$B$9,"Zwak - twijfel","Vermijden"))))</f>
        <v/>
      </c>
      <c r="R832" s="5"/>
      <c r="T832" s="1" t="str">
        <f aca="false">IF($C832="","",IF($P832=_xlfn.MAXIFS($P$3:$P$1000,$B$3:$B$1000,$B832),"★ Cash cow – handmatig onderzoeken",""))</f>
        <v/>
      </c>
    </row>
    <row r="833" customFormat="false" ht="14.25" hidden="false" customHeight="true" outlineLevel="0" collapsed="false">
      <c r="A833" s="4"/>
      <c r="B833" s="5"/>
      <c r="C833" s="5"/>
      <c r="D833" s="5"/>
      <c r="E833" s="6"/>
      <c r="F833" s="7"/>
      <c r="G833" s="8"/>
      <c r="H833" s="7"/>
      <c r="I833" s="7"/>
      <c r="J833" s="6"/>
      <c r="K833" s="9" t="str">
        <f aca="false">IF(OR($J833="",$J833=0),"",$I833/$J833)</f>
        <v/>
      </c>
      <c r="L833" s="9" t="str">
        <f aca="false">IF(OR($E833="",$E833=0),"",$H833/$E833)</f>
        <v/>
      </c>
      <c r="M833" s="10" t="str">
        <f aca="false">IF(OR($L833="",$L833=0),"",($I833/30)/$L833)</f>
        <v/>
      </c>
      <c r="N833" s="8"/>
      <c r="O833" s="11" t="str">
        <f aca="false">IF(OR($I833="",$N833=""),"",($I833/1000)*$N833)</f>
        <v/>
      </c>
      <c r="P833" s="12" t="str">
        <f aca="false">IF($C833="","",IFERROR(ROUND(MIN(25,($N833/Instellingen!$B$3)*25)+MIN(25,($I833/Instellingen!$B$4)*25)+MIN(25,($J833/Instellingen!$B$5)*25)+MIN(25,(IF($M833="",0,$M833)/Instellingen!$B$6)*25),0),""))</f>
        <v/>
      </c>
      <c r="Q833" s="13" t="str">
        <f aca="false">IF($P833="","",IF($P833&gt;=Instellingen!$B$7,"Sterke niche",IF($P833&gt;=Instellingen!$B$8,"Belofte - opvolgen",IF($P833&gt;=Instellingen!$B$9,"Zwak - twijfel","Vermijden"))))</f>
        <v/>
      </c>
      <c r="R833" s="5"/>
      <c r="T833" s="1" t="str">
        <f aca="false">IF($C833="","",IF($P833=_xlfn.MAXIFS($P$3:$P$1000,$B$3:$B$1000,$B833),"★ Cash cow – handmatig onderzoeken",""))</f>
        <v/>
      </c>
    </row>
    <row r="834" customFormat="false" ht="14.25" hidden="false" customHeight="true" outlineLevel="0" collapsed="false">
      <c r="A834" s="4"/>
      <c r="B834" s="5"/>
      <c r="C834" s="5"/>
      <c r="D834" s="5"/>
      <c r="E834" s="6"/>
      <c r="F834" s="7"/>
      <c r="G834" s="8"/>
      <c r="H834" s="7"/>
      <c r="I834" s="7"/>
      <c r="J834" s="6"/>
      <c r="K834" s="9" t="str">
        <f aca="false">IF(OR($J834="",$J834=0),"",$I834/$J834)</f>
        <v/>
      </c>
      <c r="L834" s="9" t="str">
        <f aca="false">IF(OR($E834="",$E834=0),"",$H834/$E834)</f>
        <v/>
      </c>
      <c r="M834" s="10" t="str">
        <f aca="false">IF(OR($L834="",$L834=0),"",($I834/30)/$L834)</f>
        <v/>
      </c>
      <c r="N834" s="8"/>
      <c r="O834" s="11" t="str">
        <f aca="false">IF(OR($I834="",$N834=""),"",($I834/1000)*$N834)</f>
        <v/>
      </c>
      <c r="P834" s="12" t="str">
        <f aca="false">IF($C834="","",IFERROR(ROUND(MIN(25,($N834/Instellingen!$B$3)*25)+MIN(25,($I834/Instellingen!$B$4)*25)+MIN(25,($J834/Instellingen!$B$5)*25)+MIN(25,(IF($M834="",0,$M834)/Instellingen!$B$6)*25),0),""))</f>
        <v/>
      </c>
      <c r="Q834" s="13" t="str">
        <f aca="false">IF($P834="","",IF($P834&gt;=Instellingen!$B$7,"Sterke niche",IF($P834&gt;=Instellingen!$B$8,"Belofte - opvolgen",IF($P834&gt;=Instellingen!$B$9,"Zwak - twijfel","Vermijden"))))</f>
        <v/>
      </c>
      <c r="R834" s="5"/>
      <c r="T834" s="1" t="str">
        <f aca="false">IF($C834="","",IF($P834=_xlfn.MAXIFS($P$3:$P$1000,$B$3:$B$1000,$B834),"★ Cash cow – handmatig onderzoeken",""))</f>
        <v/>
      </c>
    </row>
    <row r="835" customFormat="false" ht="14.25" hidden="false" customHeight="true" outlineLevel="0" collapsed="false">
      <c r="A835" s="4"/>
      <c r="B835" s="5"/>
      <c r="C835" s="5"/>
      <c r="D835" s="5"/>
      <c r="E835" s="6"/>
      <c r="F835" s="7"/>
      <c r="G835" s="8"/>
      <c r="H835" s="7"/>
      <c r="I835" s="7"/>
      <c r="J835" s="6"/>
      <c r="K835" s="9" t="str">
        <f aca="false">IF(OR($J835="",$J835=0),"",$I835/$J835)</f>
        <v/>
      </c>
      <c r="L835" s="9" t="str">
        <f aca="false">IF(OR($E835="",$E835=0),"",$H835/$E835)</f>
        <v/>
      </c>
      <c r="M835" s="10" t="str">
        <f aca="false">IF(OR($L835="",$L835=0),"",($I835/30)/$L835)</f>
        <v/>
      </c>
      <c r="N835" s="8"/>
      <c r="O835" s="11" t="str">
        <f aca="false">IF(OR($I835="",$N835=""),"",($I835/1000)*$N835)</f>
        <v/>
      </c>
      <c r="P835" s="12" t="str">
        <f aca="false">IF($C835="","",IFERROR(ROUND(MIN(25,($N835/Instellingen!$B$3)*25)+MIN(25,($I835/Instellingen!$B$4)*25)+MIN(25,($J835/Instellingen!$B$5)*25)+MIN(25,(IF($M835="",0,$M835)/Instellingen!$B$6)*25),0),""))</f>
        <v/>
      </c>
      <c r="Q835" s="13" t="str">
        <f aca="false">IF($P835="","",IF($P835&gt;=Instellingen!$B$7,"Sterke niche",IF($P835&gt;=Instellingen!$B$8,"Belofte - opvolgen",IF($P835&gt;=Instellingen!$B$9,"Zwak - twijfel","Vermijden"))))</f>
        <v/>
      </c>
      <c r="R835" s="5"/>
      <c r="T835" s="1" t="str">
        <f aca="false">IF($C835="","",IF($P835=_xlfn.MAXIFS($P$3:$P$1000,$B$3:$B$1000,$B835),"★ Cash cow – handmatig onderzoeken",""))</f>
        <v/>
      </c>
    </row>
    <row r="836" customFormat="false" ht="14.25" hidden="false" customHeight="true" outlineLevel="0" collapsed="false">
      <c r="A836" s="4"/>
      <c r="B836" s="5"/>
      <c r="C836" s="5"/>
      <c r="D836" s="5"/>
      <c r="E836" s="6"/>
      <c r="F836" s="7"/>
      <c r="G836" s="8"/>
      <c r="H836" s="7"/>
      <c r="I836" s="7"/>
      <c r="J836" s="6"/>
      <c r="K836" s="9" t="str">
        <f aca="false">IF(OR($J836="",$J836=0),"",$I836/$J836)</f>
        <v/>
      </c>
      <c r="L836" s="9" t="str">
        <f aca="false">IF(OR($E836="",$E836=0),"",$H836/$E836)</f>
        <v/>
      </c>
      <c r="M836" s="10" t="str">
        <f aca="false">IF(OR($L836="",$L836=0),"",($I836/30)/$L836)</f>
        <v/>
      </c>
      <c r="N836" s="8"/>
      <c r="O836" s="11" t="str">
        <f aca="false">IF(OR($I836="",$N836=""),"",($I836/1000)*$N836)</f>
        <v/>
      </c>
      <c r="P836" s="12" t="str">
        <f aca="false">IF($C836="","",IFERROR(ROUND(MIN(25,($N836/Instellingen!$B$3)*25)+MIN(25,($I836/Instellingen!$B$4)*25)+MIN(25,($J836/Instellingen!$B$5)*25)+MIN(25,(IF($M836="",0,$M836)/Instellingen!$B$6)*25),0),""))</f>
        <v/>
      </c>
      <c r="Q836" s="13" t="str">
        <f aca="false">IF($P836="","",IF($P836&gt;=Instellingen!$B$7,"Sterke niche",IF($P836&gt;=Instellingen!$B$8,"Belofte - opvolgen",IF($P836&gt;=Instellingen!$B$9,"Zwak - twijfel","Vermijden"))))</f>
        <v/>
      </c>
      <c r="R836" s="5"/>
      <c r="T836" s="1" t="str">
        <f aca="false">IF($C836="","",IF($P836=_xlfn.MAXIFS($P$3:$P$1000,$B$3:$B$1000,$B836),"★ Cash cow – handmatig onderzoeken",""))</f>
        <v/>
      </c>
    </row>
    <row r="837" customFormat="false" ht="14.25" hidden="false" customHeight="true" outlineLevel="0" collapsed="false">
      <c r="A837" s="4"/>
      <c r="B837" s="5"/>
      <c r="C837" s="5"/>
      <c r="D837" s="5"/>
      <c r="E837" s="6"/>
      <c r="F837" s="7"/>
      <c r="G837" s="8"/>
      <c r="H837" s="7"/>
      <c r="I837" s="7"/>
      <c r="J837" s="6"/>
      <c r="K837" s="9" t="str">
        <f aca="false">IF(OR($J837="",$J837=0),"",$I837/$J837)</f>
        <v/>
      </c>
      <c r="L837" s="9" t="str">
        <f aca="false">IF(OR($E837="",$E837=0),"",$H837/$E837)</f>
        <v/>
      </c>
      <c r="M837" s="10" t="str">
        <f aca="false">IF(OR($L837="",$L837=0),"",($I837/30)/$L837)</f>
        <v/>
      </c>
      <c r="N837" s="8"/>
      <c r="O837" s="11" t="str">
        <f aca="false">IF(OR($I837="",$N837=""),"",($I837/1000)*$N837)</f>
        <v/>
      </c>
      <c r="P837" s="12" t="str">
        <f aca="false">IF($C837="","",IFERROR(ROUND(MIN(25,($N837/Instellingen!$B$3)*25)+MIN(25,($I837/Instellingen!$B$4)*25)+MIN(25,($J837/Instellingen!$B$5)*25)+MIN(25,(IF($M837="",0,$M837)/Instellingen!$B$6)*25),0),""))</f>
        <v/>
      </c>
      <c r="Q837" s="13" t="str">
        <f aca="false">IF($P837="","",IF($P837&gt;=Instellingen!$B$7,"Sterke niche",IF($P837&gt;=Instellingen!$B$8,"Belofte - opvolgen",IF($P837&gt;=Instellingen!$B$9,"Zwak - twijfel","Vermijden"))))</f>
        <v/>
      </c>
      <c r="R837" s="5"/>
      <c r="T837" s="1" t="str">
        <f aca="false">IF($C837="","",IF($P837=_xlfn.MAXIFS($P$3:$P$1000,$B$3:$B$1000,$B837),"★ Cash cow – handmatig onderzoeken",""))</f>
        <v/>
      </c>
    </row>
    <row r="838" customFormat="false" ht="14.25" hidden="false" customHeight="true" outlineLevel="0" collapsed="false">
      <c r="A838" s="4"/>
      <c r="B838" s="5"/>
      <c r="C838" s="5"/>
      <c r="D838" s="5"/>
      <c r="E838" s="6"/>
      <c r="F838" s="7"/>
      <c r="G838" s="8"/>
      <c r="H838" s="7"/>
      <c r="I838" s="7"/>
      <c r="J838" s="6"/>
      <c r="K838" s="9" t="str">
        <f aca="false">IF(OR($J838="",$J838=0),"",$I838/$J838)</f>
        <v/>
      </c>
      <c r="L838" s="9" t="str">
        <f aca="false">IF(OR($E838="",$E838=0),"",$H838/$E838)</f>
        <v/>
      </c>
      <c r="M838" s="10" t="str">
        <f aca="false">IF(OR($L838="",$L838=0),"",($I838/30)/$L838)</f>
        <v/>
      </c>
      <c r="N838" s="8"/>
      <c r="O838" s="11" t="str">
        <f aca="false">IF(OR($I838="",$N838=""),"",($I838/1000)*$N838)</f>
        <v/>
      </c>
      <c r="P838" s="12" t="str">
        <f aca="false">IF($C838="","",IFERROR(ROUND(MIN(25,($N838/Instellingen!$B$3)*25)+MIN(25,($I838/Instellingen!$B$4)*25)+MIN(25,($J838/Instellingen!$B$5)*25)+MIN(25,(IF($M838="",0,$M838)/Instellingen!$B$6)*25),0),""))</f>
        <v/>
      </c>
      <c r="Q838" s="13" t="str">
        <f aca="false">IF($P838="","",IF($P838&gt;=Instellingen!$B$7,"Sterke niche",IF($P838&gt;=Instellingen!$B$8,"Belofte - opvolgen",IF($P838&gt;=Instellingen!$B$9,"Zwak - twijfel","Vermijden"))))</f>
        <v/>
      </c>
      <c r="R838" s="5"/>
      <c r="T838" s="1" t="str">
        <f aca="false">IF($C838="","",IF($P838=_xlfn.MAXIFS($P$3:$P$1000,$B$3:$B$1000,$B838),"★ Cash cow – handmatig onderzoeken",""))</f>
        <v/>
      </c>
    </row>
    <row r="839" customFormat="false" ht="14.25" hidden="false" customHeight="true" outlineLevel="0" collapsed="false">
      <c r="A839" s="4"/>
      <c r="B839" s="5"/>
      <c r="C839" s="5"/>
      <c r="D839" s="5"/>
      <c r="E839" s="6"/>
      <c r="F839" s="7"/>
      <c r="G839" s="8"/>
      <c r="H839" s="7"/>
      <c r="I839" s="7"/>
      <c r="J839" s="6"/>
      <c r="K839" s="9" t="str">
        <f aca="false">IF(OR($J839="",$J839=0),"",$I839/$J839)</f>
        <v/>
      </c>
      <c r="L839" s="9" t="str">
        <f aca="false">IF(OR($E839="",$E839=0),"",$H839/$E839)</f>
        <v/>
      </c>
      <c r="M839" s="10" t="str">
        <f aca="false">IF(OR($L839="",$L839=0),"",($I839/30)/$L839)</f>
        <v/>
      </c>
      <c r="N839" s="8"/>
      <c r="O839" s="11" t="str">
        <f aca="false">IF(OR($I839="",$N839=""),"",($I839/1000)*$N839)</f>
        <v/>
      </c>
      <c r="P839" s="12" t="str">
        <f aca="false">IF($C839="","",IFERROR(ROUND(MIN(25,($N839/Instellingen!$B$3)*25)+MIN(25,($I839/Instellingen!$B$4)*25)+MIN(25,($J839/Instellingen!$B$5)*25)+MIN(25,(IF($M839="",0,$M839)/Instellingen!$B$6)*25),0),""))</f>
        <v/>
      </c>
      <c r="Q839" s="13" t="str">
        <f aca="false">IF($P839="","",IF($P839&gt;=Instellingen!$B$7,"Sterke niche",IF($P839&gt;=Instellingen!$B$8,"Belofte - opvolgen",IF($P839&gt;=Instellingen!$B$9,"Zwak - twijfel","Vermijden"))))</f>
        <v/>
      </c>
      <c r="R839" s="5"/>
      <c r="T839" s="1" t="str">
        <f aca="false">IF($C839="","",IF($P839=_xlfn.MAXIFS($P$3:$P$1000,$B$3:$B$1000,$B839),"★ Cash cow – handmatig onderzoeken",""))</f>
        <v/>
      </c>
    </row>
    <row r="840" customFormat="false" ht="14.25" hidden="false" customHeight="true" outlineLevel="0" collapsed="false">
      <c r="A840" s="4"/>
      <c r="B840" s="5"/>
      <c r="C840" s="5"/>
      <c r="D840" s="5"/>
      <c r="E840" s="6"/>
      <c r="F840" s="7"/>
      <c r="G840" s="8"/>
      <c r="H840" s="7"/>
      <c r="I840" s="7"/>
      <c r="J840" s="6"/>
      <c r="K840" s="9" t="str">
        <f aca="false">IF(OR($J840="",$J840=0),"",$I840/$J840)</f>
        <v/>
      </c>
      <c r="L840" s="9" t="str">
        <f aca="false">IF(OR($E840="",$E840=0),"",$H840/$E840)</f>
        <v/>
      </c>
      <c r="M840" s="10" t="str">
        <f aca="false">IF(OR($L840="",$L840=0),"",($I840/30)/$L840)</f>
        <v/>
      </c>
      <c r="N840" s="8"/>
      <c r="O840" s="11" t="str">
        <f aca="false">IF(OR($I840="",$N840=""),"",($I840/1000)*$N840)</f>
        <v/>
      </c>
      <c r="P840" s="12" t="str">
        <f aca="false">IF($C840="","",IFERROR(ROUND(MIN(25,($N840/Instellingen!$B$3)*25)+MIN(25,($I840/Instellingen!$B$4)*25)+MIN(25,($J840/Instellingen!$B$5)*25)+MIN(25,(IF($M840="",0,$M840)/Instellingen!$B$6)*25),0),""))</f>
        <v/>
      </c>
      <c r="Q840" s="13" t="str">
        <f aca="false">IF($P840="","",IF($P840&gt;=Instellingen!$B$7,"Sterke niche",IF($P840&gt;=Instellingen!$B$8,"Belofte - opvolgen",IF($P840&gt;=Instellingen!$B$9,"Zwak - twijfel","Vermijden"))))</f>
        <v/>
      </c>
      <c r="R840" s="5"/>
      <c r="T840" s="1" t="str">
        <f aca="false">IF($C840="","",IF($P840=_xlfn.MAXIFS($P$3:$P$1000,$B$3:$B$1000,$B840),"★ Cash cow – handmatig onderzoeken",""))</f>
        <v/>
      </c>
    </row>
    <row r="841" customFormat="false" ht="14.25" hidden="false" customHeight="true" outlineLevel="0" collapsed="false">
      <c r="A841" s="4"/>
      <c r="B841" s="5"/>
      <c r="C841" s="5"/>
      <c r="D841" s="5"/>
      <c r="E841" s="6"/>
      <c r="F841" s="7"/>
      <c r="G841" s="8"/>
      <c r="H841" s="7"/>
      <c r="I841" s="7"/>
      <c r="J841" s="6"/>
      <c r="K841" s="9" t="str">
        <f aca="false">IF(OR($J841="",$J841=0),"",$I841/$J841)</f>
        <v/>
      </c>
      <c r="L841" s="9" t="str">
        <f aca="false">IF(OR($E841="",$E841=0),"",$H841/$E841)</f>
        <v/>
      </c>
      <c r="M841" s="10" t="str">
        <f aca="false">IF(OR($L841="",$L841=0),"",($I841/30)/$L841)</f>
        <v/>
      </c>
      <c r="N841" s="8"/>
      <c r="O841" s="11" t="str">
        <f aca="false">IF(OR($I841="",$N841=""),"",($I841/1000)*$N841)</f>
        <v/>
      </c>
      <c r="P841" s="12" t="str">
        <f aca="false">IF($C841="","",IFERROR(ROUND(MIN(25,($N841/Instellingen!$B$3)*25)+MIN(25,($I841/Instellingen!$B$4)*25)+MIN(25,($J841/Instellingen!$B$5)*25)+MIN(25,(IF($M841="",0,$M841)/Instellingen!$B$6)*25),0),""))</f>
        <v/>
      </c>
      <c r="Q841" s="13" t="str">
        <f aca="false">IF($P841="","",IF($P841&gt;=Instellingen!$B$7,"Sterke niche",IF($P841&gt;=Instellingen!$B$8,"Belofte - opvolgen",IF($P841&gt;=Instellingen!$B$9,"Zwak - twijfel","Vermijden"))))</f>
        <v/>
      </c>
      <c r="R841" s="5"/>
      <c r="T841" s="1" t="str">
        <f aca="false">IF($C841="","",IF($P841=_xlfn.MAXIFS($P$3:$P$1000,$B$3:$B$1000,$B841),"★ Cash cow – handmatig onderzoeken",""))</f>
        <v/>
      </c>
    </row>
    <row r="842" customFormat="false" ht="14.25" hidden="false" customHeight="true" outlineLevel="0" collapsed="false">
      <c r="A842" s="4"/>
      <c r="B842" s="5"/>
      <c r="C842" s="5"/>
      <c r="D842" s="5"/>
      <c r="E842" s="6"/>
      <c r="F842" s="7"/>
      <c r="G842" s="8"/>
      <c r="H842" s="7"/>
      <c r="I842" s="7"/>
      <c r="J842" s="6"/>
      <c r="K842" s="9" t="str">
        <f aca="false">IF(OR($J842="",$J842=0),"",$I842/$J842)</f>
        <v/>
      </c>
      <c r="L842" s="9" t="str">
        <f aca="false">IF(OR($E842="",$E842=0),"",$H842/$E842)</f>
        <v/>
      </c>
      <c r="M842" s="10" t="str">
        <f aca="false">IF(OR($L842="",$L842=0),"",($I842/30)/$L842)</f>
        <v/>
      </c>
      <c r="N842" s="8"/>
      <c r="O842" s="11" t="str">
        <f aca="false">IF(OR($I842="",$N842=""),"",($I842/1000)*$N842)</f>
        <v/>
      </c>
      <c r="P842" s="12" t="str">
        <f aca="false">IF($C842="","",IFERROR(ROUND(MIN(25,($N842/Instellingen!$B$3)*25)+MIN(25,($I842/Instellingen!$B$4)*25)+MIN(25,($J842/Instellingen!$B$5)*25)+MIN(25,(IF($M842="",0,$M842)/Instellingen!$B$6)*25),0),""))</f>
        <v/>
      </c>
      <c r="Q842" s="13" t="str">
        <f aca="false">IF($P842="","",IF($P842&gt;=Instellingen!$B$7,"Sterke niche",IF($P842&gt;=Instellingen!$B$8,"Belofte - opvolgen",IF($P842&gt;=Instellingen!$B$9,"Zwak - twijfel","Vermijden"))))</f>
        <v/>
      </c>
      <c r="R842" s="5"/>
      <c r="T842" s="1" t="str">
        <f aca="false">IF($C842="","",IF($P842=_xlfn.MAXIFS($P$3:$P$1000,$B$3:$B$1000,$B842),"★ Cash cow – handmatig onderzoeken",""))</f>
        <v/>
      </c>
    </row>
    <row r="843" customFormat="false" ht="14.25" hidden="false" customHeight="true" outlineLevel="0" collapsed="false">
      <c r="A843" s="4"/>
      <c r="B843" s="5"/>
      <c r="C843" s="5"/>
      <c r="D843" s="5"/>
      <c r="E843" s="6"/>
      <c r="F843" s="7"/>
      <c r="G843" s="8"/>
      <c r="H843" s="7"/>
      <c r="I843" s="7"/>
      <c r="J843" s="6"/>
      <c r="K843" s="9" t="str">
        <f aca="false">IF(OR($J843="",$J843=0),"",$I843/$J843)</f>
        <v/>
      </c>
      <c r="L843" s="9" t="str">
        <f aca="false">IF(OR($E843="",$E843=0),"",$H843/$E843)</f>
        <v/>
      </c>
      <c r="M843" s="10" t="str">
        <f aca="false">IF(OR($L843="",$L843=0),"",($I843/30)/$L843)</f>
        <v/>
      </c>
      <c r="N843" s="8"/>
      <c r="O843" s="11" t="str">
        <f aca="false">IF(OR($I843="",$N843=""),"",($I843/1000)*$N843)</f>
        <v/>
      </c>
      <c r="P843" s="12" t="str">
        <f aca="false">IF($C843="","",IFERROR(ROUND(MIN(25,($N843/Instellingen!$B$3)*25)+MIN(25,($I843/Instellingen!$B$4)*25)+MIN(25,($J843/Instellingen!$B$5)*25)+MIN(25,(IF($M843="",0,$M843)/Instellingen!$B$6)*25),0),""))</f>
        <v/>
      </c>
      <c r="Q843" s="13" t="str">
        <f aca="false">IF($P843="","",IF($P843&gt;=Instellingen!$B$7,"Sterke niche",IF($P843&gt;=Instellingen!$B$8,"Belofte - opvolgen",IF($P843&gt;=Instellingen!$B$9,"Zwak - twijfel","Vermijden"))))</f>
        <v/>
      </c>
      <c r="R843" s="5"/>
      <c r="T843" s="1" t="str">
        <f aca="false">IF($C843="","",IF($P843=_xlfn.MAXIFS($P$3:$P$1000,$B$3:$B$1000,$B843),"★ Cash cow – handmatig onderzoeken",""))</f>
        <v/>
      </c>
    </row>
    <row r="844" customFormat="false" ht="14.25" hidden="false" customHeight="true" outlineLevel="0" collapsed="false">
      <c r="A844" s="4"/>
      <c r="B844" s="5"/>
      <c r="C844" s="5"/>
      <c r="D844" s="5"/>
      <c r="E844" s="6"/>
      <c r="F844" s="7"/>
      <c r="G844" s="8"/>
      <c r="H844" s="7"/>
      <c r="I844" s="7"/>
      <c r="J844" s="6"/>
      <c r="K844" s="9" t="str">
        <f aca="false">IF(OR($J844="",$J844=0),"",$I844/$J844)</f>
        <v/>
      </c>
      <c r="L844" s="9" t="str">
        <f aca="false">IF(OR($E844="",$E844=0),"",$H844/$E844)</f>
        <v/>
      </c>
      <c r="M844" s="10" t="str">
        <f aca="false">IF(OR($L844="",$L844=0),"",($I844/30)/$L844)</f>
        <v/>
      </c>
      <c r="N844" s="8"/>
      <c r="O844" s="11" t="str">
        <f aca="false">IF(OR($I844="",$N844=""),"",($I844/1000)*$N844)</f>
        <v/>
      </c>
      <c r="P844" s="12" t="str">
        <f aca="false">IF($C844="","",IFERROR(ROUND(MIN(25,($N844/Instellingen!$B$3)*25)+MIN(25,($I844/Instellingen!$B$4)*25)+MIN(25,($J844/Instellingen!$B$5)*25)+MIN(25,(IF($M844="",0,$M844)/Instellingen!$B$6)*25),0),""))</f>
        <v/>
      </c>
      <c r="Q844" s="13" t="str">
        <f aca="false">IF($P844="","",IF($P844&gt;=Instellingen!$B$7,"Sterke niche",IF($P844&gt;=Instellingen!$B$8,"Belofte - opvolgen",IF($P844&gt;=Instellingen!$B$9,"Zwak - twijfel","Vermijden"))))</f>
        <v/>
      </c>
      <c r="R844" s="5"/>
      <c r="T844" s="1" t="str">
        <f aca="false">IF($C844="","",IF($P844=_xlfn.MAXIFS($P$3:$P$1000,$B$3:$B$1000,$B844),"★ Cash cow – handmatig onderzoeken",""))</f>
        <v/>
      </c>
    </row>
    <row r="845" customFormat="false" ht="14.25" hidden="false" customHeight="true" outlineLevel="0" collapsed="false">
      <c r="A845" s="4"/>
      <c r="B845" s="5"/>
      <c r="C845" s="5"/>
      <c r="D845" s="5"/>
      <c r="E845" s="6"/>
      <c r="F845" s="7"/>
      <c r="G845" s="8"/>
      <c r="H845" s="7"/>
      <c r="I845" s="7"/>
      <c r="J845" s="6"/>
      <c r="K845" s="9" t="str">
        <f aca="false">IF(OR($J845="",$J845=0),"",$I845/$J845)</f>
        <v/>
      </c>
      <c r="L845" s="9" t="str">
        <f aca="false">IF(OR($E845="",$E845=0),"",$H845/$E845)</f>
        <v/>
      </c>
      <c r="M845" s="10" t="str">
        <f aca="false">IF(OR($L845="",$L845=0),"",($I845/30)/$L845)</f>
        <v/>
      </c>
      <c r="N845" s="8"/>
      <c r="O845" s="11" t="str">
        <f aca="false">IF(OR($I845="",$N845=""),"",($I845/1000)*$N845)</f>
        <v/>
      </c>
      <c r="P845" s="12" t="str">
        <f aca="false">IF($C845="","",IFERROR(ROUND(MIN(25,($N845/Instellingen!$B$3)*25)+MIN(25,($I845/Instellingen!$B$4)*25)+MIN(25,($J845/Instellingen!$B$5)*25)+MIN(25,(IF($M845="",0,$M845)/Instellingen!$B$6)*25),0),""))</f>
        <v/>
      </c>
      <c r="Q845" s="13" t="str">
        <f aca="false">IF($P845="","",IF($P845&gt;=Instellingen!$B$7,"Sterke niche",IF($P845&gt;=Instellingen!$B$8,"Belofte - opvolgen",IF($P845&gt;=Instellingen!$B$9,"Zwak - twijfel","Vermijden"))))</f>
        <v/>
      </c>
      <c r="R845" s="5"/>
      <c r="T845" s="1" t="str">
        <f aca="false">IF($C845="","",IF($P845=_xlfn.MAXIFS($P$3:$P$1000,$B$3:$B$1000,$B845),"★ Cash cow – handmatig onderzoeken",""))</f>
        <v/>
      </c>
    </row>
    <row r="846" customFormat="false" ht="14.25" hidden="false" customHeight="true" outlineLevel="0" collapsed="false">
      <c r="A846" s="4"/>
      <c r="B846" s="5"/>
      <c r="C846" s="5"/>
      <c r="D846" s="5"/>
      <c r="E846" s="6"/>
      <c r="F846" s="7"/>
      <c r="G846" s="8"/>
      <c r="H846" s="7"/>
      <c r="I846" s="7"/>
      <c r="J846" s="6"/>
      <c r="K846" s="9" t="str">
        <f aca="false">IF(OR($J846="",$J846=0),"",$I846/$J846)</f>
        <v/>
      </c>
      <c r="L846" s="9" t="str">
        <f aca="false">IF(OR($E846="",$E846=0),"",$H846/$E846)</f>
        <v/>
      </c>
      <c r="M846" s="10" t="str">
        <f aca="false">IF(OR($L846="",$L846=0),"",($I846/30)/$L846)</f>
        <v/>
      </c>
      <c r="N846" s="8"/>
      <c r="O846" s="11" t="str">
        <f aca="false">IF(OR($I846="",$N846=""),"",($I846/1000)*$N846)</f>
        <v/>
      </c>
      <c r="P846" s="12" t="str">
        <f aca="false">IF($C846="","",IFERROR(ROUND(MIN(25,($N846/Instellingen!$B$3)*25)+MIN(25,($I846/Instellingen!$B$4)*25)+MIN(25,($J846/Instellingen!$B$5)*25)+MIN(25,(IF($M846="",0,$M846)/Instellingen!$B$6)*25),0),""))</f>
        <v/>
      </c>
      <c r="Q846" s="13" t="str">
        <f aca="false">IF($P846="","",IF($P846&gt;=Instellingen!$B$7,"Sterke niche",IF($P846&gt;=Instellingen!$B$8,"Belofte - opvolgen",IF($P846&gt;=Instellingen!$B$9,"Zwak - twijfel","Vermijden"))))</f>
        <v/>
      </c>
      <c r="R846" s="5"/>
      <c r="T846" s="1" t="str">
        <f aca="false">IF($C846="","",IF($P846=_xlfn.MAXIFS($P$3:$P$1000,$B$3:$B$1000,$B846),"★ Cash cow – handmatig onderzoeken",""))</f>
        <v/>
      </c>
    </row>
    <row r="847" customFormat="false" ht="14.25" hidden="false" customHeight="true" outlineLevel="0" collapsed="false">
      <c r="A847" s="4"/>
      <c r="B847" s="5"/>
      <c r="C847" s="5"/>
      <c r="D847" s="5"/>
      <c r="E847" s="6"/>
      <c r="F847" s="7"/>
      <c r="G847" s="8"/>
      <c r="H847" s="7"/>
      <c r="I847" s="7"/>
      <c r="J847" s="6"/>
      <c r="K847" s="9" t="str">
        <f aca="false">IF(OR($J847="",$J847=0),"",$I847/$J847)</f>
        <v/>
      </c>
      <c r="L847" s="9" t="str">
        <f aca="false">IF(OR($E847="",$E847=0),"",$H847/$E847)</f>
        <v/>
      </c>
      <c r="M847" s="10" t="str">
        <f aca="false">IF(OR($L847="",$L847=0),"",($I847/30)/$L847)</f>
        <v/>
      </c>
      <c r="N847" s="8"/>
      <c r="O847" s="11" t="str">
        <f aca="false">IF(OR($I847="",$N847=""),"",($I847/1000)*$N847)</f>
        <v/>
      </c>
      <c r="P847" s="12" t="str">
        <f aca="false">IF($C847="","",IFERROR(ROUND(MIN(25,($N847/Instellingen!$B$3)*25)+MIN(25,($I847/Instellingen!$B$4)*25)+MIN(25,($J847/Instellingen!$B$5)*25)+MIN(25,(IF($M847="",0,$M847)/Instellingen!$B$6)*25),0),""))</f>
        <v/>
      </c>
      <c r="Q847" s="13" t="str">
        <f aca="false">IF($P847="","",IF($P847&gt;=Instellingen!$B$7,"Sterke niche",IF($P847&gt;=Instellingen!$B$8,"Belofte - opvolgen",IF($P847&gt;=Instellingen!$B$9,"Zwak - twijfel","Vermijden"))))</f>
        <v/>
      </c>
      <c r="R847" s="5"/>
      <c r="T847" s="1" t="str">
        <f aca="false">IF($C847="","",IF($P847=_xlfn.MAXIFS($P$3:$P$1000,$B$3:$B$1000,$B847),"★ Cash cow – handmatig onderzoeken",""))</f>
        <v/>
      </c>
    </row>
    <row r="848" customFormat="false" ht="14.25" hidden="false" customHeight="true" outlineLevel="0" collapsed="false">
      <c r="A848" s="4"/>
      <c r="B848" s="5"/>
      <c r="C848" s="5"/>
      <c r="D848" s="5"/>
      <c r="E848" s="6"/>
      <c r="F848" s="7"/>
      <c r="G848" s="8"/>
      <c r="H848" s="7"/>
      <c r="I848" s="7"/>
      <c r="J848" s="6"/>
      <c r="K848" s="9" t="str">
        <f aca="false">IF(OR($J848="",$J848=0),"",$I848/$J848)</f>
        <v/>
      </c>
      <c r="L848" s="9" t="str">
        <f aca="false">IF(OR($E848="",$E848=0),"",$H848/$E848)</f>
        <v/>
      </c>
      <c r="M848" s="10" t="str">
        <f aca="false">IF(OR($L848="",$L848=0),"",($I848/30)/$L848)</f>
        <v/>
      </c>
      <c r="N848" s="8"/>
      <c r="O848" s="11" t="str">
        <f aca="false">IF(OR($I848="",$N848=""),"",($I848/1000)*$N848)</f>
        <v/>
      </c>
      <c r="P848" s="12" t="str">
        <f aca="false">IF($C848="","",IFERROR(ROUND(MIN(25,($N848/Instellingen!$B$3)*25)+MIN(25,($I848/Instellingen!$B$4)*25)+MIN(25,($J848/Instellingen!$B$5)*25)+MIN(25,(IF($M848="",0,$M848)/Instellingen!$B$6)*25),0),""))</f>
        <v/>
      </c>
      <c r="Q848" s="13" t="str">
        <f aca="false">IF($P848="","",IF($P848&gt;=Instellingen!$B$7,"Sterke niche",IF($P848&gt;=Instellingen!$B$8,"Belofte - opvolgen",IF($P848&gt;=Instellingen!$B$9,"Zwak - twijfel","Vermijden"))))</f>
        <v/>
      </c>
      <c r="R848" s="5"/>
      <c r="T848" s="1" t="str">
        <f aca="false">IF($C848="","",IF($P848=_xlfn.MAXIFS($P$3:$P$1000,$B$3:$B$1000,$B848),"★ Cash cow – handmatig onderzoeken",""))</f>
        <v/>
      </c>
    </row>
    <row r="849" customFormat="false" ht="14.25" hidden="false" customHeight="true" outlineLevel="0" collapsed="false">
      <c r="A849" s="4"/>
      <c r="B849" s="5"/>
      <c r="C849" s="5"/>
      <c r="D849" s="5"/>
      <c r="E849" s="6"/>
      <c r="F849" s="7"/>
      <c r="G849" s="8"/>
      <c r="H849" s="7"/>
      <c r="I849" s="7"/>
      <c r="J849" s="6"/>
      <c r="K849" s="9" t="str">
        <f aca="false">IF(OR($J849="",$J849=0),"",$I849/$J849)</f>
        <v/>
      </c>
      <c r="L849" s="9" t="str">
        <f aca="false">IF(OR($E849="",$E849=0),"",$H849/$E849)</f>
        <v/>
      </c>
      <c r="M849" s="10" t="str">
        <f aca="false">IF(OR($L849="",$L849=0),"",($I849/30)/$L849)</f>
        <v/>
      </c>
      <c r="N849" s="8"/>
      <c r="O849" s="11" t="str">
        <f aca="false">IF(OR($I849="",$N849=""),"",($I849/1000)*$N849)</f>
        <v/>
      </c>
      <c r="P849" s="12" t="str">
        <f aca="false">IF($C849="","",IFERROR(ROUND(MIN(25,($N849/Instellingen!$B$3)*25)+MIN(25,($I849/Instellingen!$B$4)*25)+MIN(25,($J849/Instellingen!$B$5)*25)+MIN(25,(IF($M849="",0,$M849)/Instellingen!$B$6)*25),0),""))</f>
        <v/>
      </c>
      <c r="Q849" s="13" t="str">
        <f aca="false">IF($P849="","",IF($P849&gt;=Instellingen!$B$7,"Sterke niche",IF($P849&gt;=Instellingen!$B$8,"Belofte - opvolgen",IF($P849&gt;=Instellingen!$B$9,"Zwak - twijfel","Vermijden"))))</f>
        <v/>
      </c>
      <c r="R849" s="5"/>
      <c r="T849" s="1" t="str">
        <f aca="false">IF($C849="","",IF($P849=_xlfn.MAXIFS($P$3:$P$1000,$B$3:$B$1000,$B849),"★ Cash cow – handmatig onderzoeken",""))</f>
        <v/>
      </c>
    </row>
    <row r="850" customFormat="false" ht="14.25" hidden="false" customHeight="true" outlineLevel="0" collapsed="false">
      <c r="A850" s="4"/>
      <c r="B850" s="5"/>
      <c r="C850" s="5"/>
      <c r="D850" s="5"/>
      <c r="E850" s="6"/>
      <c r="F850" s="7"/>
      <c r="G850" s="8"/>
      <c r="H850" s="7"/>
      <c r="I850" s="7"/>
      <c r="J850" s="6"/>
      <c r="K850" s="9" t="str">
        <f aca="false">IF(OR($J850="",$J850=0),"",$I850/$J850)</f>
        <v/>
      </c>
      <c r="L850" s="9" t="str">
        <f aca="false">IF(OR($E850="",$E850=0),"",$H850/$E850)</f>
        <v/>
      </c>
      <c r="M850" s="10" t="str">
        <f aca="false">IF(OR($L850="",$L850=0),"",($I850/30)/$L850)</f>
        <v/>
      </c>
      <c r="N850" s="8"/>
      <c r="O850" s="11" t="str">
        <f aca="false">IF(OR($I850="",$N850=""),"",($I850/1000)*$N850)</f>
        <v/>
      </c>
      <c r="P850" s="12" t="str">
        <f aca="false">IF($C850="","",IFERROR(ROUND(MIN(25,($N850/Instellingen!$B$3)*25)+MIN(25,($I850/Instellingen!$B$4)*25)+MIN(25,($J850/Instellingen!$B$5)*25)+MIN(25,(IF($M850="",0,$M850)/Instellingen!$B$6)*25),0),""))</f>
        <v/>
      </c>
      <c r="Q850" s="13" t="str">
        <f aca="false">IF($P850="","",IF($P850&gt;=Instellingen!$B$7,"Sterke niche",IF($P850&gt;=Instellingen!$B$8,"Belofte - opvolgen",IF($P850&gt;=Instellingen!$B$9,"Zwak - twijfel","Vermijden"))))</f>
        <v/>
      </c>
      <c r="R850" s="5"/>
      <c r="T850" s="1" t="str">
        <f aca="false">IF($C850="","",IF($P850=_xlfn.MAXIFS($P$3:$P$1000,$B$3:$B$1000,$B850),"★ Cash cow – handmatig onderzoeken",""))</f>
        <v/>
      </c>
    </row>
    <row r="851" customFormat="false" ht="14.25" hidden="false" customHeight="true" outlineLevel="0" collapsed="false">
      <c r="A851" s="4"/>
      <c r="B851" s="5"/>
      <c r="C851" s="5"/>
      <c r="D851" s="5"/>
      <c r="E851" s="6"/>
      <c r="F851" s="7"/>
      <c r="G851" s="8"/>
      <c r="H851" s="7"/>
      <c r="I851" s="7"/>
      <c r="J851" s="6"/>
      <c r="K851" s="9" t="str">
        <f aca="false">IF(OR($J851="",$J851=0),"",$I851/$J851)</f>
        <v/>
      </c>
      <c r="L851" s="9" t="str">
        <f aca="false">IF(OR($E851="",$E851=0),"",$H851/$E851)</f>
        <v/>
      </c>
      <c r="M851" s="10" t="str">
        <f aca="false">IF(OR($L851="",$L851=0),"",($I851/30)/$L851)</f>
        <v/>
      </c>
      <c r="N851" s="8"/>
      <c r="O851" s="11" t="str">
        <f aca="false">IF(OR($I851="",$N851=""),"",($I851/1000)*$N851)</f>
        <v/>
      </c>
      <c r="P851" s="12" t="str">
        <f aca="false">IF($C851="","",IFERROR(ROUND(MIN(25,($N851/Instellingen!$B$3)*25)+MIN(25,($I851/Instellingen!$B$4)*25)+MIN(25,($J851/Instellingen!$B$5)*25)+MIN(25,(IF($M851="",0,$M851)/Instellingen!$B$6)*25),0),""))</f>
        <v/>
      </c>
      <c r="Q851" s="13" t="str">
        <f aca="false">IF($P851="","",IF($P851&gt;=Instellingen!$B$7,"Sterke niche",IF($P851&gt;=Instellingen!$B$8,"Belofte - opvolgen",IF($P851&gt;=Instellingen!$B$9,"Zwak - twijfel","Vermijden"))))</f>
        <v/>
      </c>
      <c r="R851" s="5"/>
      <c r="T851" s="1" t="str">
        <f aca="false">IF($C851="","",IF($P851=_xlfn.MAXIFS($P$3:$P$1000,$B$3:$B$1000,$B851),"★ Cash cow – handmatig onderzoeken",""))</f>
        <v/>
      </c>
    </row>
    <row r="852" customFormat="false" ht="14.25" hidden="false" customHeight="true" outlineLevel="0" collapsed="false">
      <c r="A852" s="4"/>
      <c r="B852" s="5"/>
      <c r="C852" s="5"/>
      <c r="D852" s="5"/>
      <c r="E852" s="6"/>
      <c r="F852" s="7"/>
      <c r="G852" s="8"/>
      <c r="H852" s="7"/>
      <c r="I852" s="7"/>
      <c r="J852" s="6"/>
      <c r="K852" s="9" t="str">
        <f aca="false">IF(OR($J852="",$J852=0),"",$I852/$J852)</f>
        <v/>
      </c>
      <c r="L852" s="9" t="str">
        <f aca="false">IF(OR($E852="",$E852=0),"",$H852/$E852)</f>
        <v/>
      </c>
      <c r="M852" s="10" t="str">
        <f aca="false">IF(OR($L852="",$L852=0),"",($I852/30)/$L852)</f>
        <v/>
      </c>
      <c r="N852" s="8"/>
      <c r="O852" s="11" t="str">
        <f aca="false">IF(OR($I852="",$N852=""),"",($I852/1000)*$N852)</f>
        <v/>
      </c>
      <c r="P852" s="12" t="str">
        <f aca="false">IF($C852="","",IFERROR(ROUND(MIN(25,($N852/Instellingen!$B$3)*25)+MIN(25,($I852/Instellingen!$B$4)*25)+MIN(25,($J852/Instellingen!$B$5)*25)+MIN(25,(IF($M852="",0,$M852)/Instellingen!$B$6)*25),0),""))</f>
        <v/>
      </c>
      <c r="Q852" s="13" t="str">
        <f aca="false">IF($P852="","",IF($P852&gt;=Instellingen!$B$7,"Sterke niche",IF($P852&gt;=Instellingen!$B$8,"Belofte - opvolgen",IF($P852&gt;=Instellingen!$B$9,"Zwak - twijfel","Vermijden"))))</f>
        <v/>
      </c>
      <c r="R852" s="5"/>
      <c r="T852" s="1" t="str">
        <f aca="false">IF($C852="","",IF($P852=_xlfn.MAXIFS($P$3:$P$1000,$B$3:$B$1000,$B852),"★ Cash cow – handmatig onderzoeken",""))</f>
        <v/>
      </c>
    </row>
    <row r="853" customFormat="false" ht="14.25" hidden="false" customHeight="true" outlineLevel="0" collapsed="false">
      <c r="A853" s="4"/>
      <c r="B853" s="5"/>
      <c r="C853" s="5"/>
      <c r="D853" s="5"/>
      <c r="E853" s="6"/>
      <c r="F853" s="7"/>
      <c r="G853" s="8"/>
      <c r="H853" s="7"/>
      <c r="I853" s="7"/>
      <c r="J853" s="6"/>
      <c r="K853" s="9" t="str">
        <f aca="false">IF(OR($J853="",$J853=0),"",$I853/$J853)</f>
        <v/>
      </c>
      <c r="L853" s="9" t="str">
        <f aca="false">IF(OR($E853="",$E853=0),"",$H853/$E853)</f>
        <v/>
      </c>
      <c r="M853" s="10" t="str">
        <f aca="false">IF(OR($L853="",$L853=0),"",($I853/30)/$L853)</f>
        <v/>
      </c>
      <c r="N853" s="8"/>
      <c r="O853" s="11" t="str">
        <f aca="false">IF(OR($I853="",$N853=""),"",($I853/1000)*$N853)</f>
        <v/>
      </c>
      <c r="P853" s="12" t="str">
        <f aca="false">IF($C853="","",IFERROR(ROUND(MIN(25,($N853/Instellingen!$B$3)*25)+MIN(25,($I853/Instellingen!$B$4)*25)+MIN(25,($J853/Instellingen!$B$5)*25)+MIN(25,(IF($M853="",0,$M853)/Instellingen!$B$6)*25),0),""))</f>
        <v/>
      </c>
      <c r="Q853" s="13" t="str">
        <f aca="false">IF($P853="","",IF($P853&gt;=Instellingen!$B$7,"Sterke niche",IF($P853&gt;=Instellingen!$B$8,"Belofte - opvolgen",IF($P853&gt;=Instellingen!$B$9,"Zwak - twijfel","Vermijden"))))</f>
        <v/>
      </c>
      <c r="R853" s="5"/>
      <c r="T853" s="1" t="str">
        <f aca="false">IF($C853="","",IF($P853=_xlfn.MAXIFS($P$3:$P$1000,$B$3:$B$1000,$B853),"★ Cash cow – handmatig onderzoeken",""))</f>
        <v/>
      </c>
    </row>
    <row r="854" customFormat="false" ht="14.25" hidden="false" customHeight="true" outlineLevel="0" collapsed="false">
      <c r="A854" s="4"/>
      <c r="B854" s="5"/>
      <c r="C854" s="5"/>
      <c r="D854" s="5"/>
      <c r="E854" s="6"/>
      <c r="F854" s="7"/>
      <c r="G854" s="8"/>
      <c r="H854" s="7"/>
      <c r="I854" s="7"/>
      <c r="J854" s="6"/>
      <c r="K854" s="9" t="str">
        <f aca="false">IF(OR($J854="",$J854=0),"",$I854/$J854)</f>
        <v/>
      </c>
      <c r="L854" s="9" t="str">
        <f aca="false">IF(OR($E854="",$E854=0),"",$H854/$E854)</f>
        <v/>
      </c>
      <c r="M854" s="10" t="str">
        <f aca="false">IF(OR($L854="",$L854=0),"",($I854/30)/$L854)</f>
        <v/>
      </c>
      <c r="N854" s="8"/>
      <c r="O854" s="11" t="str">
        <f aca="false">IF(OR($I854="",$N854=""),"",($I854/1000)*$N854)</f>
        <v/>
      </c>
      <c r="P854" s="12" t="str">
        <f aca="false">IF($C854="","",IFERROR(ROUND(MIN(25,($N854/Instellingen!$B$3)*25)+MIN(25,($I854/Instellingen!$B$4)*25)+MIN(25,($J854/Instellingen!$B$5)*25)+MIN(25,(IF($M854="",0,$M854)/Instellingen!$B$6)*25),0),""))</f>
        <v/>
      </c>
      <c r="Q854" s="13" t="str">
        <f aca="false">IF($P854="","",IF($P854&gt;=Instellingen!$B$7,"Sterke niche",IF($P854&gt;=Instellingen!$B$8,"Belofte - opvolgen",IF($P854&gt;=Instellingen!$B$9,"Zwak - twijfel","Vermijden"))))</f>
        <v/>
      </c>
      <c r="R854" s="5"/>
      <c r="T854" s="1" t="str">
        <f aca="false">IF($C854="","",IF($P854=_xlfn.MAXIFS($P$3:$P$1000,$B$3:$B$1000,$B854),"★ Cash cow – handmatig onderzoeken",""))</f>
        <v/>
      </c>
    </row>
    <row r="855" customFormat="false" ht="14.25" hidden="false" customHeight="true" outlineLevel="0" collapsed="false">
      <c r="A855" s="4"/>
      <c r="B855" s="5"/>
      <c r="C855" s="5"/>
      <c r="D855" s="5"/>
      <c r="E855" s="6"/>
      <c r="F855" s="7"/>
      <c r="G855" s="8"/>
      <c r="H855" s="7"/>
      <c r="I855" s="7"/>
      <c r="J855" s="6"/>
      <c r="K855" s="9" t="str">
        <f aca="false">IF(OR($J855="",$J855=0),"",$I855/$J855)</f>
        <v/>
      </c>
      <c r="L855" s="9" t="str">
        <f aca="false">IF(OR($E855="",$E855=0),"",$H855/$E855)</f>
        <v/>
      </c>
      <c r="M855" s="10" t="str">
        <f aca="false">IF(OR($L855="",$L855=0),"",($I855/30)/$L855)</f>
        <v/>
      </c>
      <c r="N855" s="8"/>
      <c r="O855" s="11" t="str">
        <f aca="false">IF(OR($I855="",$N855=""),"",($I855/1000)*$N855)</f>
        <v/>
      </c>
      <c r="P855" s="12" t="str">
        <f aca="false">IF($C855="","",IFERROR(ROUND(MIN(25,($N855/Instellingen!$B$3)*25)+MIN(25,($I855/Instellingen!$B$4)*25)+MIN(25,($J855/Instellingen!$B$5)*25)+MIN(25,(IF($M855="",0,$M855)/Instellingen!$B$6)*25),0),""))</f>
        <v/>
      </c>
      <c r="Q855" s="13" t="str">
        <f aca="false">IF($P855="","",IF($P855&gt;=Instellingen!$B$7,"Sterke niche",IF($P855&gt;=Instellingen!$B$8,"Belofte - opvolgen",IF($P855&gt;=Instellingen!$B$9,"Zwak - twijfel","Vermijden"))))</f>
        <v/>
      </c>
      <c r="R855" s="5"/>
      <c r="T855" s="1" t="str">
        <f aca="false">IF($C855="","",IF($P855=_xlfn.MAXIFS($P$3:$P$1000,$B$3:$B$1000,$B855),"★ Cash cow – handmatig onderzoeken",""))</f>
        <v/>
      </c>
    </row>
    <row r="856" customFormat="false" ht="14.25" hidden="false" customHeight="true" outlineLevel="0" collapsed="false">
      <c r="A856" s="4"/>
      <c r="B856" s="5"/>
      <c r="C856" s="5"/>
      <c r="D856" s="5"/>
      <c r="E856" s="6"/>
      <c r="F856" s="7"/>
      <c r="G856" s="8"/>
      <c r="H856" s="7"/>
      <c r="I856" s="7"/>
      <c r="J856" s="6"/>
      <c r="K856" s="9" t="str">
        <f aca="false">IF(OR($J856="",$J856=0),"",$I856/$J856)</f>
        <v/>
      </c>
      <c r="L856" s="9" t="str">
        <f aca="false">IF(OR($E856="",$E856=0),"",$H856/$E856)</f>
        <v/>
      </c>
      <c r="M856" s="10" t="str">
        <f aca="false">IF(OR($L856="",$L856=0),"",($I856/30)/$L856)</f>
        <v/>
      </c>
      <c r="N856" s="8"/>
      <c r="O856" s="11" t="str">
        <f aca="false">IF(OR($I856="",$N856=""),"",($I856/1000)*$N856)</f>
        <v/>
      </c>
      <c r="P856" s="12" t="str">
        <f aca="false">IF($C856="","",IFERROR(ROUND(MIN(25,($N856/Instellingen!$B$3)*25)+MIN(25,($I856/Instellingen!$B$4)*25)+MIN(25,($J856/Instellingen!$B$5)*25)+MIN(25,(IF($M856="",0,$M856)/Instellingen!$B$6)*25),0),""))</f>
        <v/>
      </c>
      <c r="Q856" s="13" t="str">
        <f aca="false">IF($P856="","",IF($P856&gt;=Instellingen!$B$7,"Sterke niche",IF($P856&gt;=Instellingen!$B$8,"Belofte - opvolgen",IF($P856&gt;=Instellingen!$B$9,"Zwak - twijfel","Vermijden"))))</f>
        <v/>
      </c>
      <c r="R856" s="5"/>
      <c r="T856" s="1" t="str">
        <f aca="false">IF($C856="","",IF($P856=_xlfn.MAXIFS($P$3:$P$1000,$B$3:$B$1000,$B856),"★ Cash cow – handmatig onderzoeken",""))</f>
        <v/>
      </c>
    </row>
    <row r="857" customFormat="false" ht="14.25" hidden="false" customHeight="true" outlineLevel="0" collapsed="false">
      <c r="A857" s="4"/>
      <c r="B857" s="5"/>
      <c r="C857" s="5"/>
      <c r="D857" s="5"/>
      <c r="E857" s="6"/>
      <c r="F857" s="7"/>
      <c r="G857" s="8"/>
      <c r="H857" s="7"/>
      <c r="I857" s="7"/>
      <c r="J857" s="6"/>
      <c r="K857" s="9" t="str">
        <f aca="false">IF(OR($J857="",$J857=0),"",$I857/$J857)</f>
        <v/>
      </c>
      <c r="L857" s="9" t="str">
        <f aca="false">IF(OR($E857="",$E857=0),"",$H857/$E857)</f>
        <v/>
      </c>
      <c r="M857" s="10" t="str">
        <f aca="false">IF(OR($L857="",$L857=0),"",($I857/30)/$L857)</f>
        <v/>
      </c>
      <c r="N857" s="8"/>
      <c r="O857" s="11" t="str">
        <f aca="false">IF(OR($I857="",$N857=""),"",($I857/1000)*$N857)</f>
        <v/>
      </c>
      <c r="P857" s="12" t="str">
        <f aca="false">IF($C857="","",IFERROR(ROUND(MIN(25,($N857/Instellingen!$B$3)*25)+MIN(25,($I857/Instellingen!$B$4)*25)+MIN(25,($J857/Instellingen!$B$5)*25)+MIN(25,(IF($M857="",0,$M857)/Instellingen!$B$6)*25),0),""))</f>
        <v/>
      </c>
      <c r="Q857" s="13" t="str">
        <f aca="false">IF($P857="","",IF($P857&gt;=Instellingen!$B$7,"Sterke niche",IF($P857&gt;=Instellingen!$B$8,"Belofte - opvolgen",IF($P857&gt;=Instellingen!$B$9,"Zwak - twijfel","Vermijden"))))</f>
        <v/>
      </c>
      <c r="R857" s="5"/>
      <c r="T857" s="1" t="str">
        <f aca="false">IF($C857="","",IF($P857=_xlfn.MAXIFS($P$3:$P$1000,$B$3:$B$1000,$B857),"★ Cash cow – handmatig onderzoeken",""))</f>
        <v/>
      </c>
    </row>
    <row r="858" customFormat="false" ht="14.25" hidden="false" customHeight="true" outlineLevel="0" collapsed="false">
      <c r="A858" s="4"/>
      <c r="B858" s="5"/>
      <c r="C858" s="5"/>
      <c r="D858" s="5"/>
      <c r="E858" s="6"/>
      <c r="F858" s="7"/>
      <c r="G858" s="8"/>
      <c r="H858" s="7"/>
      <c r="I858" s="7"/>
      <c r="J858" s="6"/>
      <c r="K858" s="9" t="str">
        <f aca="false">IF(OR($J858="",$J858=0),"",$I858/$J858)</f>
        <v/>
      </c>
      <c r="L858" s="9" t="str">
        <f aca="false">IF(OR($E858="",$E858=0),"",$H858/$E858)</f>
        <v/>
      </c>
      <c r="M858" s="10" t="str">
        <f aca="false">IF(OR($L858="",$L858=0),"",($I858/30)/$L858)</f>
        <v/>
      </c>
      <c r="N858" s="8"/>
      <c r="O858" s="11" t="str">
        <f aca="false">IF(OR($I858="",$N858=""),"",($I858/1000)*$N858)</f>
        <v/>
      </c>
      <c r="P858" s="12" t="str">
        <f aca="false">IF($C858="","",IFERROR(ROUND(MIN(25,($N858/Instellingen!$B$3)*25)+MIN(25,($I858/Instellingen!$B$4)*25)+MIN(25,($J858/Instellingen!$B$5)*25)+MIN(25,(IF($M858="",0,$M858)/Instellingen!$B$6)*25),0),""))</f>
        <v/>
      </c>
      <c r="Q858" s="13" t="str">
        <f aca="false">IF($P858="","",IF($P858&gt;=Instellingen!$B$7,"Sterke niche",IF($P858&gt;=Instellingen!$B$8,"Belofte - opvolgen",IF($P858&gt;=Instellingen!$B$9,"Zwak - twijfel","Vermijden"))))</f>
        <v/>
      </c>
      <c r="R858" s="5"/>
      <c r="T858" s="1" t="str">
        <f aca="false">IF($C858="","",IF($P858=_xlfn.MAXIFS($P$3:$P$1000,$B$3:$B$1000,$B858),"★ Cash cow – handmatig onderzoeken",""))</f>
        <v/>
      </c>
    </row>
    <row r="859" customFormat="false" ht="14.25" hidden="false" customHeight="true" outlineLevel="0" collapsed="false">
      <c r="A859" s="4"/>
      <c r="B859" s="5"/>
      <c r="C859" s="5"/>
      <c r="D859" s="5"/>
      <c r="E859" s="6"/>
      <c r="F859" s="7"/>
      <c r="G859" s="8"/>
      <c r="H859" s="7"/>
      <c r="I859" s="7"/>
      <c r="J859" s="6"/>
      <c r="K859" s="9" t="str">
        <f aca="false">IF(OR($J859="",$J859=0),"",$I859/$J859)</f>
        <v/>
      </c>
      <c r="L859" s="9" t="str">
        <f aca="false">IF(OR($E859="",$E859=0),"",$H859/$E859)</f>
        <v/>
      </c>
      <c r="M859" s="10" t="str">
        <f aca="false">IF(OR($L859="",$L859=0),"",($I859/30)/$L859)</f>
        <v/>
      </c>
      <c r="N859" s="8"/>
      <c r="O859" s="11" t="str">
        <f aca="false">IF(OR($I859="",$N859=""),"",($I859/1000)*$N859)</f>
        <v/>
      </c>
      <c r="P859" s="12" t="str">
        <f aca="false">IF($C859="","",IFERROR(ROUND(MIN(25,($N859/Instellingen!$B$3)*25)+MIN(25,($I859/Instellingen!$B$4)*25)+MIN(25,($J859/Instellingen!$B$5)*25)+MIN(25,(IF($M859="",0,$M859)/Instellingen!$B$6)*25),0),""))</f>
        <v/>
      </c>
      <c r="Q859" s="13" t="str">
        <f aca="false">IF($P859="","",IF($P859&gt;=Instellingen!$B$7,"Sterke niche",IF($P859&gt;=Instellingen!$B$8,"Belofte - opvolgen",IF($P859&gt;=Instellingen!$B$9,"Zwak - twijfel","Vermijden"))))</f>
        <v/>
      </c>
      <c r="R859" s="5"/>
      <c r="T859" s="1" t="str">
        <f aca="false">IF($C859="","",IF($P859=_xlfn.MAXIFS($P$3:$P$1000,$B$3:$B$1000,$B859),"★ Cash cow – handmatig onderzoeken",""))</f>
        <v/>
      </c>
    </row>
    <row r="860" customFormat="false" ht="14.25" hidden="false" customHeight="true" outlineLevel="0" collapsed="false">
      <c r="A860" s="4"/>
      <c r="B860" s="5"/>
      <c r="C860" s="5"/>
      <c r="D860" s="5"/>
      <c r="E860" s="6"/>
      <c r="F860" s="7"/>
      <c r="G860" s="8"/>
      <c r="H860" s="7"/>
      <c r="I860" s="7"/>
      <c r="J860" s="6"/>
      <c r="K860" s="9" t="str">
        <f aca="false">IF(OR($J860="",$J860=0),"",$I860/$J860)</f>
        <v/>
      </c>
      <c r="L860" s="9" t="str">
        <f aca="false">IF(OR($E860="",$E860=0),"",$H860/$E860)</f>
        <v/>
      </c>
      <c r="M860" s="10" t="str">
        <f aca="false">IF(OR($L860="",$L860=0),"",($I860/30)/$L860)</f>
        <v/>
      </c>
      <c r="N860" s="8"/>
      <c r="O860" s="11" t="str">
        <f aca="false">IF(OR($I860="",$N860=""),"",($I860/1000)*$N860)</f>
        <v/>
      </c>
      <c r="P860" s="12" t="str">
        <f aca="false">IF($C860="","",IFERROR(ROUND(MIN(25,($N860/Instellingen!$B$3)*25)+MIN(25,($I860/Instellingen!$B$4)*25)+MIN(25,($J860/Instellingen!$B$5)*25)+MIN(25,(IF($M860="",0,$M860)/Instellingen!$B$6)*25),0),""))</f>
        <v/>
      </c>
      <c r="Q860" s="13" t="str">
        <f aca="false">IF($P860="","",IF($P860&gt;=Instellingen!$B$7,"Sterke niche",IF($P860&gt;=Instellingen!$B$8,"Belofte - opvolgen",IF($P860&gt;=Instellingen!$B$9,"Zwak - twijfel","Vermijden"))))</f>
        <v/>
      </c>
      <c r="R860" s="5"/>
      <c r="T860" s="1" t="str">
        <f aca="false">IF($C860="","",IF($P860=_xlfn.MAXIFS($P$3:$P$1000,$B$3:$B$1000,$B860),"★ Cash cow – handmatig onderzoeken",""))</f>
        <v/>
      </c>
    </row>
    <row r="861" customFormat="false" ht="14.25" hidden="false" customHeight="true" outlineLevel="0" collapsed="false">
      <c r="A861" s="4"/>
      <c r="B861" s="5"/>
      <c r="C861" s="5"/>
      <c r="D861" s="5"/>
      <c r="E861" s="6"/>
      <c r="F861" s="7"/>
      <c r="G861" s="8"/>
      <c r="H861" s="7"/>
      <c r="I861" s="7"/>
      <c r="J861" s="6"/>
      <c r="K861" s="9" t="str">
        <f aca="false">IF(OR($J861="",$J861=0),"",$I861/$J861)</f>
        <v/>
      </c>
      <c r="L861" s="9" t="str">
        <f aca="false">IF(OR($E861="",$E861=0),"",$H861/$E861)</f>
        <v/>
      </c>
      <c r="M861" s="10" t="str">
        <f aca="false">IF(OR($L861="",$L861=0),"",($I861/30)/$L861)</f>
        <v/>
      </c>
      <c r="N861" s="8"/>
      <c r="O861" s="11" t="str">
        <f aca="false">IF(OR($I861="",$N861=""),"",($I861/1000)*$N861)</f>
        <v/>
      </c>
      <c r="P861" s="12" t="str">
        <f aca="false">IF($C861="","",IFERROR(ROUND(MIN(25,($N861/Instellingen!$B$3)*25)+MIN(25,($I861/Instellingen!$B$4)*25)+MIN(25,($J861/Instellingen!$B$5)*25)+MIN(25,(IF($M861="",0,$M861)/Instellingen!$B$6)*25),0),""))</f>
        <v/>
      </c>
      <c r="Q861" s="13" t="str">
        <f aca="false">IF($P861="","",IF($P861&gt;=Instellingen!$B$7,"Sterke niche",IF($P861&gt;=Instellingen!$B$8,"Belofte - opvolgen",IF($P861&gt;=Instellingen!$B$9,"Zwak - twijfel","Vermijden"))))</f>
        <v/>
      </c>
      <c r="R861" s="5"/>
      <c r="T861" s="1" t="str">
        <f aca="false">IF($C861="","",IF($P861=_xlfn.MAXIFS($P$3:$P$1000,$B$3:$B$1000,$B861),"★ Cash cow – handmatig onderzoeken",""))</f>
        <v/>
      </c>
    </row>
    <row r="862" customFormat="false" ht="14.25" hidden="false" customHeight="true" outlineLevel="0" collapsed="false">
      <c r="A862" s="4"/>
      <c r="B862" s="5"/>
      <c r="C862" s="5"/>
      <c r="D862" s="5"/>
      <c r="E862" s="6"/>
      <c r="F862" s="7"/>
      <c r="G862" s="8"/>
      <c r="H862" s="7"/>
      <c r="I862" s="7"/>
      <c r="J862" s="6"/>
      <c r="K862" s="9" t="str">
        <f aca="false">IF(OR($J862="",$J862=0),"",$I862/$J862)</f>
        <v/>
      </c>
      <c r="L862" s="9" t="str">
        <f aca="false">IF(OR($E862="",$E862=0),"",$H862/$E862)</f>
        <v/>
      </c>
      <c r="M862" s="10" t="str">
        <f aca="false">IF(OR($L862="",$L862=0),"",($I862/30)/$L862)</f>
        <v/>
      </c>
      <c r="N862" s="8"/>
      <c r="O862" s="11" t="str">
        <f aca="false">IF(OR($I862="",$N862=""),"",($I862/1000)*$N862)</f>
        <v/>
      </c>
      <c r="P862" s="12" t="str">
        <f aca="false">IF($C862="","",IFERROR(ROUND(MIN(25,($N862/Instellingen!$B$3)*25)+MIN(25,($I862/Instellingen!$B$4)*25)+MIN(25,($J862/Instellingen!$B$5)*25)+MIN(25,(IF($M862="",0,$M862)/Instellingen!$B$6)*25),0),""))</f>
        <v/>
      </c>
      <c r="Q862" s="13" t="str">
        <f aca="false">IF($P862="","",IF($P862&gt;=Instellingen!$B$7,"Sterke niche",IF($P862&gt;=Instellingen!$B$8,"Belofte - opvolgen",IF($P862&gt;=Instellingen!$B$9,"Zwak - twijfel","Vermijden"))))</f>
        <v/>
      </c>
      <c r="R862" s="5"/>
      <c r="T862" s="1" t="str">
        <f aca="false">IF($C862="","",IF($P862=_xlfn.MAXIFS($P$3:$P$1000,$B$3:$B$1000,$B862),"★ Cash cow – handmatig onderzoeken",""))</f>
        <v/>
      </c>
    </row>
    <row r="863" customFormat="false" ht="14.25" hidden="false" customHeight="true" outlineLevel="0" collapsed="false">
      <c r="A863" s="4"/>
      <c r="B863" s="5"/>
      <c r="C863" s="5"/>
      <c r="D863" s="5"/>
      <c r="E863" s="6"/>
      <c r="F863" s="7"/>
      <c r="G863" s="8"/>
      <c r="H863" s="7"/>
      <c r="I863" s="7"/>
      <c r="J863" s="6"/>
      <c r="K863" s="9" t="str">
        <f aca="false">IF(OR($J863="",$J863=0),"",$I863/$J863)</f>
        <v/>
      </c>
      <c r="L863" s="9" t="str">
        <f aca="false">IF(OR($E863="",$E863=0),"",$H863/$E863)</f>
        <v/>
      </c>
      <c r="M863" s="10" t="str">
        <f aca="false">IF(OR($L863="",$L863=0),"",($I863/30)/$L863)</f>
        <v/>
      </c>
      <c r="N863" s="8"/>
      <c r="O863" s="11" t="str">
        <f aca="false">IF(OR($I863="",$N863=""),"",($I863/1000)*$N863)</f>
        <v/>
      </c>
      <c r="P863" s="12" t="str">
        <f aca="false">IF($C863="","",IFERROR(ROUND(MIN(25,($N863/Instellingen!$B$3)*25)+MIN(25,($I863/Instellingen!$B$4)*25)+MIN(25,($J863/Instellingen!$B$5)*25)+MIN(25,(IF($M863="",0,$M863)/Instellingen!$B$6)*25),0),""))</f>
        <v/>
      </c>
      <c r="Q863" s="13" t="str">
        <f aca="false">IF($P863="","",IF($P863&gt;=Instellingen!$B$7,"Sterke niche",IF($P863&gt;=Instellingen!$B$8,"Belofte - opvolgen",IF($P863&gt;=Instellingen!$B$9,"Zwak - twijfel","Vermijden"))))</f>
        <v/>
      </c>
      <c r="R863" s="5"/>
      <c r="T863" s="1" t="str">
        <f aca="false">IF($C863="","",IF($P863=_xlfn.MAXIFS($P$3:$P$1000,$B$3:$B$1000,$B863),"★ Cash cow – handmatig onderzoeken",""))</f>
        <v/>
      </c>
    </row>
    <row r="864" customFormat="false" ht="14.25" hidden="false" customHeight="true" outlineLevel="0" collapsed="false">
      <c r="A864" s="4"/>
      <c r="B864" s="5"/>
      <c r="C864" s="5"/>
      <c r="D864" s="5"/>
      <c r="E864" s="6"/>
      <c r="F864" s="7"/>
      <c r="G864" s="8"/>
      <c r="H864" s="7"/>
      <c r="I864" s="7"/>
      <c r="J864" s="6"/>
      <c r="K864" s="9" t="str">
        <f aca="false">IF(OR($J864="",$J864=0),"",$I864/$J864)</f>
        <v/>
      </c>
      <c r="L864" s="9" t="str">
        <f aca="false">IF(OR($E864="",$E864=0),"",$H864/$E864)</f>
        <v/>
      </c>
      <c r="M864" s="10" t="str">
        <f aca="false">IF(OR($L864="",$L864=0),"",($I864/30)/$L864)</f>
        <v/>
      </c>
      <c r="N864" s="8"/>
      <c r="O864" s="11" t="str">
        <f aca="false">IF(OR($I864="",$N864=""),"",($I864/1000)*$N864)</f>
        <v/>
      </c>
      <c r="P864" s="12" t="str">
        <f aca="false">IF($C864="","",IFERROR(ROUND(MIN(25,($N864/Instellingen!$B$3)*25)+MIN(25,($I864/Instellingen!$B$4)*25)+MIN(25,($J864/Instellingen!$B$5)*25)+MIN(25,(IF($M864="",0,$M864)/Instellingen!$B$6)*25),0),""))</f>
        <v/>
      </c>
      <c r="Q864" s="13" t="str">
        <f aca="false">IF($P864="","",IF($P864&gt;=Instellingen!$B$7,"Sterke niche",IF($P864&gt;=Instellingen!$B$8,"Belofte - opvolgen",IF($P864&gt;=Instellingen!$B$9,"Zwak - twijfel","Vermijden"))))</f>
        <v/>
      </c>
      <c r="R864" s="5"/>
      <c r="T864" s="1" t="str">
        <f aca="false">IF($C864="","",IF($P864=_xlfn.MAXIFS($P$3:$P$1000,$B$3:$B$1000,$B864),"★ Cash cow – handmatig onderzoeken",""))</f>
        <v/>
      </c>
    </row>
    <row r="865" customFormat="false" ht="14.25" hidden="false" customHeight="true" outlineLevel="0" collapsed="false">
      <c r="A865" s="4"/>
      <c r="B865" s="5"/>
      <c r="C865" s="5"/>
      <c r="D865" s="5"/>
      <c r="E865" s="6"/>
      <c r="F865" s="7"/>
      <c r="G865" s="8"/>
      <c r="H865" s="7"/>
      <c r="I865" s="7"/>
      <c r="J865" s="6"/>
      <c r="K865" s="9" t="str">
        <f aca="false">IF(OR($J865="",$J865=0),"",$I865/$J865)</f>
        <v/>
      </c>
      <c r="L865" s="9" t="str">
        <f aca="false">IF(OR($E865="",$E865=0),"",$H865/$E865)</f>
        <v/>
      </c>
      <c r="M865" s="10" t="str">
        <f aca="false">IF(OR($L865="",$L865=0),"",($I865/30)/$L865)</f>
        <v/>
      </c>
      <c r="N865" s="8"/>
      <c r="O865" s="11" t="str">
        <f aca="false">IF(OR($I865="",$N865=""),"",($I865/1000)*$N865)</f>
        <v/>
      </c>
      <c r="P865" s="12" t="str">
        <f aca="false">IF($C865="","",IFERROR(ROUND(MIN(25,($N865/Instellingen!$B$3)*25)+MIN(25,($I865/Instellingen!$B$4)*25)+MIN(25,($J865/Instellingen!$B$5)*25)+MIN(25,(IF($M865="",0,$M865)/Instellingen!$B$6)*25),0),""))</f>
        <v/>
      </c>
      <c r="Q865" s="13" t="str">
        <f aca="false">IF($P865="","",IF($P865&gt;=Instellingen!$B$7,"Sterke niche",IF($P865&gt;=Instellingen!$B$8,"Belofte - opvolgen",IF($P865&gt;=Instellingen!$B$9,"Zwak - twijfel","Vermijden"))))</f>
        <v/>
      </c>
      <c r="R865" s="5"/>
      <c r="T865" s="1" t="str">
        <f aca="false">IF($C865="","",IF($P865=_xlfn.MAXIFS($P$3:$P$1000,$B$3:$B$1000,$B865),"★ Cash cow – handmatig onderzoeken",""))</f>
        <v/>
      </c>
    </row>
    <row r="866" customFormat="false" ht="14.25" hidden="false" customHeight="true" outlineLevel="0" collapsed="false">
      <c r="A866" s="4"/>
      <c r="B866" s="5"/>
      <c r="C866" s="5"/>
      <c r="D866" s="5"/>
      <c r="E866" s="6"/>
      <c r="F866" s="7"/>
      <c r="G866" s="8"/>
      <c r="H866" s="7"/>
      <c r="I866" s="7"/>
      <c r="J866" s="6"/>
      <c r="K866" s="9" t="str">
        <f aca="false">IF(OR($J866="",$J866=0),"",$I866/$J866)</f>
        <v/>
      </c>
      <c r="L866" s="9" t="str">
        <f aca="false">IF(OR($E866="",$E866=0),"",$H866/$E866)</f>
        <v/>
      </c>
      <c r="M866" s="10" t="str">
        <f aca="false">IF(OR($L866="",$L866=0),"",($I866/30)/$L866)</f>
        <v/>
      </c>
      <c r="N866" s="8"/>
      <c r="O866" s="11" t="str">
        <f aca="false">IF(OR($I866="",$N866=""),"",($I866/1000)*$N866)</f>
        <v/>
      </c>
      <c r="P866" s="12" t="str">
        <f aca="false">IF($C866="","",IFERROR(ROUND(MIN(25,($N866/Instellingen!$B$3)*25)+MIN(25,($I866/Instellingen!$B$4)*25)+MIN(25,($J866/Instellingen!$B$5)*25)+MIN(25,(IF($M866="",0,$M866)/Instellingen!$B$6)*25),0),""))</f>
        <v/>
      </c>
      <c r="Q866" s="13" t="str">
        <f aca="false">IF($P866="","",IF($P866&gt;=Instellingen!$B$7,"Sterke niche",IF($P866&gt;=Instellingen!$B$8,"Belofte - opvolgen",IF($P866&gt;=Instellingen!$B$9,"Zwak - twijfel","Vermijden"))))</f>
        <v/>
      </c>
      <c r="R866" s="5"/>
      <c r="T866" s="1" t="str">
        <f aca="false">IF($C866="","",IF($P866=_xlfn.MAXIFS($P$3:$P$1000,$B$3:$B$1000,$B866),"★ Cash cow – handmatig onderzoeken",""))</f>
        <v/>
      </c>
    </row>
    <row r="867" customFormat="false" ht="14.25" hidden="false" customHeight="true" outlineLevel="0" collapsed="false">
      <c r="A867" s="4"/>
      <c r="B867" s="5"/>
      <c r="C867" s="5"/>
      <c r="D867" s="5"/>
      <c r="E867" s="6"/>
      <c r="F867" s="7"/>
      <c r="G867" s="8"/>
      <c r="H867" s="7"/>
      <c r="I867" s="7"/>
      <c r="J867" s="6"/>
      <c r="K867" s="9" t="str">
        <f aca="false">IF(OR($J867="",$J867=0),"",$I867/$J867)</f>
        <v/>
      </c>
      <c r="L867" s="9" t="str">
        <f aca="false">IF(OR($E867="",$E867=0),"",$H867/$E867)</f>
        <v/>
      </c>
      <c r="M867" s="10" t="str">
        <f aca="false">IF(OR($L867="",$L867=0),"",($I867/30)/$L867)</f>
        <v/>
      </c>
      <c r="N867" s="8"/>
      <c r="O867" s="11" t="str">
        <f aca="false">IF(OR($I867="",$N867=""),"",($I867/1000)*$N867)</f>
        <v/>
      </c>
      <c r="P867" s="12" t="str">
        <f aca="false">IF($C867="","",IFERROR(ROUND(MIN(25,($N867/Instellingen!$B$3)*25)+MIN(25,($I867/Instellingen!$B$4)*25)+MIN(25,($J867/Instellingen!$B$5)*25)+MIN(25,(IF($M867="",0,$M867)/Instellingen!$B$6)*25),0),""))</f>
        <v/>
      </c>
      <c r="Q867" s="13" t="str">
        <f aca="false">IF($P867="","",IF($P867&gt;=Instellingen!$B$7,"Sterke niche",IF($P867&gt;=Instellingen!$B$8,"Belofte - opvolgen",IF($P867&gt;=Instellingen!$B$9,"Zwak - twijfel","Vermijden"))))</f>
        <v/>
      </c>
      <c r="R867" s="5"/>
      <c r="T867" s="1" t="str">
        <f aca="false">IF($C867="","",IF($P867=_xlfn.MAXIFS($P$3:$P$1000,$B$3:$B$1000,$B867),"★ Cash cow – handmatig onderzoeken",""))</f>
        <v/>
      </c>
    </row>
    <row r="868" customFormat="false" ht="14.25" hidden="false" customHeight="true" outlineLevel="0" collapsed="false">
      <c r="A868" s="4"/>
      <c r="B868" s="5"/>
      <c r="C868" s="5"/>
      <c r="D868" s="5"/>
      <c r="E868" s="6"/>
      <c r="F868" s="7"/>
      <c r="G868" s="8"/>
      <c r="H868" s="7"/>
      <c r="I868" s="7"/>
      <c r="J868" s="6"/>
      <c r="K868" s="9" t="str">
        <f aca="false">IF(OR($J868="",$J868=0),"",$I868/$J868)</f>
        <v/>
      </c>
      <c r="L868" s="9" t="str">
        <f aca="false">IF(OR($E868="",$E868=0),"",$H868/$E868)</f>
        <v/>
      </c>
      <c r="M868" s="10" t="str">
        <f aca="false">IF(OR($L868="",$L868=0),"",($I868/30)/$L868)</f>
        <v/>
      </c>
      <c r="N868" s="8"/>
      <c r="O868" s="11" t="str">
        <f aca="false">IF(OR($I868="",$N868=""),"",($I868/1000)*$N868)</f>
        <v/>
      </c>
      <c r="P868" s="12" t="str">
        <f aca="false">IF($C868="","",IFERROR(ROUND(MIN(25,($N868/Instellingen!$B$3)*25)+MIN(25,($I868/Instellingen!$B$4)*25)+MIN(25,($J868/Instellingen!$B$5)*25)+MIN(25,(IF($M868="",0,$M868)/Instellingen!$B$6)*25),0),""))</f>
        <v/>
      </c>
      <c r="Q868" s="13" t="str">
        <f aca="false">IF($P868="","",IF($P868&gt;=Instellingen!$B$7,"Sterke niche",IF($P868&gt;=Instellingen!$B$8,"Belofte - opvolgen",IF($P868&gt;=Instellingen!$B$9,"Zwak - twijfel","Vermijden"))))</f>
        <v/>
      </c>
      <c r="R868" s="5"/>
      <c r="T868" s="1" t="str">
        <f aca="false">IF($C868="","",IF($P868=_xlfn.MAXIFS($P$3:$P$1000,$B$3:$B$1000,$B868),"★ Cash cow – handmatig onderzoeken",""))</f>
        <v/>
      </c>
    </row>
    <row r="869" customFormat="false" ht="14.25" hidden="false" customHeight="true" outlineLevel="0" collapsed="false">
      <c r="A869" s="4"/>
      <c r="B869" s="5"/>
      <c r="C869" s="5"/>
      <c r="D869" s="5"/>
      <c r="E869" s="6"/>
      <c r="F869" s="7"/>
      <c r="G869" s="8"/>
      <c r="H869" s="7"/>
      <c r="I869" s="7"/>
      <c r="J869" s="6"/>
      <c r="K869" s="9" t="str">
        <f aca="false">IF(OR($J869="",$J869=0),"",$I869/$J869)</f>
        <v/>
      </c>
      <c r="L869" s="9" t="str">
        <f aca="false">IF(OR($E869="",$E869=0),"",$H869/$E869)</f>
        <v/>
      </c>
      <c r="M869" s="10" t="str">
        <f aca="false">IF(OR($L869="",$L869=0),"",($I869/30)/$L869)</f>
        <v/>
      </c>
      <c r="N869" s="8"/>
      <c r="O869" s="11" t="str">
        <f aca="false">IF(OR($I869="",$N869=""),"",($I869/1000)*$N869)</f>
        <v/>
      </c>
      <c r="P869" s="12" t="str">
        <f aca="false">IF($C869="","",IFERROR(ROUND(MIN(25,($N869/Instellingen!$B$3)*25)+MIN(25,($I869/Instellingen!$B$4)*25)+MIN(25,($J869/Instellingen!$B$5)*25)+MIN(25,(IF($M869="",0,$M869)/Instellingen!$B$6)*25),0),""))</f>
        <v/>
      </c>
      <c r="Q869" s="13" t="str">
        <f aca="false">IF($P869="","",IF($P869&gt;=Instellingen!$B$7,"Sterke niche",IF($P869&gt;=Instellingen!$B$8,"Belofte - opvolgen",IF($P869&gt;=Instellingen!$B$9,"Zwak - twijfel","Vermijden"))))</f>
        <v/>
      </c>
      <c r="R869" s="5"/>
      <c r="T869" s="1" t="str">
        <f aca="false">IF($C869="","",IF($P869=_xlfn.MAXIFS($P$3:$P$1000,$B$3:$B$1000,$B869),"★ Cash cow – handmatig onderzoeken",""))</f>
        <v/>
      </c>
    </row>
    <row r="870" customFormat="false" ht="14.25" hidden="false" customHeight="true" outlineLevel="0" collapsed="false">
      <c r="A870" s="4"/>
      <c r="B870" s="5"/>
      <c r="C870" s="5"/>
      <c r="D870" s="5"/>
      <c r="E870" s="6"/>
      <c r="F870" s="7"/>
      <c r="G870" s="8"/>
      <c r="H870" s="7"/>
      <c r="I870" s="7"/>
      <c r="J870" s="6"/>
      <c r="K870" s="9" t="str">
        <f aca="false">IF(OR($J870="",$J870=0),"",$I870/$J870)</f>
        <v/>
      </c>
      <c r="L870" s="9" t="str">
        <f aca="false">IF(OR($E870="",$E870=0),"",$H870/$E870)</f>
        <v/>
      </c>
      <c r="M870" s="10" t="str">
        <f aca="false">IF(OR($L870="",$L870=0),"",($I870/30)/$L870)</f>
        <v/>
      </c>
      <c r="N870" s="8"/>
      <c r="O870" s="11" t="str">
        <f aca="false">IF(OR($I870="",$N870=""),"",($I870/1000)*$N870)</f>
        <v/>
      </c>
      <c r="P870" s="12" t="str">
        <f aca="false">IF($C870="","",IFERROR(ROUND(MIN(25,($N870/Instellingen!$B$3)*25)+MIN(25,($I870/Instellingen!$B$4)*25)+MIN(25,($J870/Instellingen!$B$5)*25)+MIN(25,(IF($M870="",0,$M870)/Instellingen!$B$6)*25),0),""))</f>
        <v/>
      </c>
      <c r="Q870" s="13" t="str">
        <f aca="false">IF($P870="","",IF($P870&gt;=Instellingen!$B$7,"Sterke niche",IF($P870&gt;=Instellingen!$B$8,"Belofte - opvolgen",IF($P870&gt;=Instellingen!$B$9,"Zwak - twijfel","Vermijden"))))</f>
        <v/>
      </c>
      <c r="R870" s="5"/>
      <c r="T870" s="1" t="str">
        <f aca="false">IF($C870="","",IF($P870=_xlfn.MAXIFS($P$3:$P$1000,$B$3:$B$1000,$B870),"★ Cash cow – handmatig onderzoeken",""))</f>
        <v/>
      </c>
    </row>
    <row r="871" customFormat="false" ht="14.25" hidden="false" customHeight="true" outlineLevel="0" collapsed="false">
      <c r="A871" s="4"/>
      <c r="B871" s="5"/>
      <c r="C871" s="5"/>
      <c r="D871" s="5"/>
      <c r="E871" s="6"/>
      <c r="F871" s="7"/>
      <c r="G871" s="8"/>
      <c r="H871" s="7"/>
      <c r="I871" s="7"/>
      <c r="J871" s="6"/>
      <c r="K871" s="9" t="str">
        <f aca="false">IF(OR($J871="",$J871=0),"",$I871/$J871)</f>
        <v/>
      </c>
      <c r="L871" s="9" t="str">
        <f aca="false">IF(OR($E871="",$E871=0),"",$H871/$E871)</f>
        <v/>
      </c>
      <c r="M871" s="10" t="str">
        <f aca="false">IF(OR($L871="",$L871=0),"",($I871/30)/$L871)</f>
        <v/>
      </c>
      <c r="N871" s="8"/>
      <c r="O871" s="11" t="str">
        <f aca="false">IF(OR($I871="",$N871=""),"",($I871/1000)*$N871)</f>
        <v/>
      </c>
      <c r="P871" s="12" t="str">
        <f aca="false">IF($C871="","",IFERROR(ROUND(MIN(25,($N871/Instellingen!$B$3)*25)+MIN(25,($I871/Instellingen!$B$4)*25)+MIN(25,($J871/Instellingen!$B$5)*25)+MIN(25,(IF($M871="",0,$M871)/Instellingen!$B$6)*25),0),""))</f>
        <v/>
      </c>
      <c r="Q871" s="13" t="str">
        <f aca="false">IF($P871="","",IF($P871&gt;=Instellingen!$B$7,"Sterke niche",IF($P871&gt;=Instellingen!$B$8,"Belofte - opvolgen",IF($P871&gt;=Instellingen!$B$9,"Zwak - twijfel","Vermijden"))))</f>
        <v/>
      </c>
      <c r="R871" s="5"/>
      <c r="T871" s="1" t="str">
        <f aca="false">IF($C871="","",IF($P871=_xlfn.MAXIFS($P$3:$P$1000,$B$3:$B$1000,$B871),"★ Cash cow – handmatig onderzoeken",""))</f>
        <v/>
      </c>
    </row>
    <row r="872" customFormat="false" ht="14.25" hidden="false" customHeight="true" outlineLevel="0" collapsed="false">
      <c r="A872" s="4"/>
      <c r="B872" s="5"/>
      <c r="C872" s="5"/>
      <c r="D872" s="5"/>
      <c r="E872" s="6"/>
      <c r="F872" s="7"/>
      <c r="G872" s="8"/>
      <c r="H872" s="7"/>
      <c r="I872" s="7"/>
      <c r="J872" s="6"/>
      <c r="K872" s="9" t="str">
        <f aca="false">IF(OR($J872="",$J872=0),"",$I872/$J872)</f>
        <v/>
      </c>
      <c r="L872" s="9" t="str">
        <f aca="false">IF(OR($E872="",$E872=0),"",$H872/$E872)</f>
        <v/>
      </c>
      <c r="M872" s="10" t="str">
        <f aca="false">IF(OR($L872="",$L872=0),"",($I872/30)/$L872)</f>
        <v/>
      </c>
      <c r="N872" s="8"/>
      <c r="O872" s="11" t="str">
        <f aca="false">IF(OR($I872="",$N872=""),"",($I872/1000)*$N872)</f>
        <v/>
      </c>
      <c r="P872" s="12" t="str">
        <f aca="false">IF($C872="","",IFERROR(ROUND(MIN(25,($N872/Instellingen!$B$3)*25)+MIN(25,($I872/Instellingen!$B$4)*25)+MIN(25,($J872/Instellingen!$B$5)*25)+MIN(25,(IF($M872="",0,$M872)/Instellingen!$B$6)*25),0),""))</f>
        <v/>
      </c>
      <c r="Q872" s="13" t="str">
        <f aca="false">IF($P872="","",IF($P872&gt;=Instellingen!$B$7,"Sterke niche",IF($P872&gt;=Instellingen!$B$8,"Belofte - opvolgen",IF($P872&gt;=Instellingen!$B$9,"Zwak - twijfel","Vermijden"))))</f>
        <v/>
      </c>
      <c r="R872" s="5"/>
      <c r="T872" s="1" t="str">
        <f aca="false">IF($C872="","",IF($P872=_xlfn.MAXIFS($P$3:$P$1000,$B$3:$B$1000,$B872),"★ Cash cow – handmatig onderzoeken",""))</f>
        <v/>
      </c>
    </row>
    <row r="873" customFormat="false" ht="14.25" hidden="false" customHeight="true" outlineLevel="0" collapsed="false">
      <c r="A873" s="4"/>
      <c r="B873" s="5"/>
      <c r="C873" s="5"/>
      <c r="D873" s="5"/>
      <c r="E873" s="6"/>
      <c r="F873" s="7"/>
      <c r="G873" s="8"/>
      <c r="H873" s="7"/>
      <c r="I873" s="7"/>
      <c r="J873" s="6"/>
      <c r="K873" s="9" t="str">
        <f aca="false">IF(OR($J873="",$J873=0),"",$I873/$J873)</f>
        <v/>
      </c>
      <c r="L873" s="9" t="str">
        <f aca="false">IF(OR($E873="",$E873=0),"",$H873/$E873)</f>
        <v/>
      </c>
      <c r="M873" s="10" t="str">
        <f aca="false">IF(OR($L873="",$L873=0),"",($I873/30)/$L873)</f>
        <v/>
      </c>
      <c r="N873" s="8"/>
      <c r="O873" s="11" t="str">
        <f aca="false">IF(OR($I873="",$N873=""),"",($I873/1000)*$N873)</f>
        <v/>
      </c>
      <c r="P873" s="12" t="str">
        <f aca="false">IF($C873="","",IFERROR(ROUND(MIN(25,($N873/Instellingen!$B$3)*25)+MIN(25,($I873/Instellingen!$B$4)*25)+MIN(25,($J873/Instellingen!$B$5)*25)+MIN(25,(IF($M873="",0,$M873)/Instellingen!$B$6)*25),0),""))</f>
        <v/>
      </c>
      <c r="Q873" s="13" t="str">
        <f aca="false">IF($P873="","",IF($P873&gt;=Instellingen!$B$7,"Sterke niche",IF($P873&gt;=Instellingen!$B$8,"Belofte - opvolgen",IF($P873&gt;=Instellingen!$B$9,"Zwak - twijfel","Vermijden"))))</f>
        <v/>
      </c>
      <c r="R873" s="5"/>
      <c r="T873" s="1" t="str">
        <f aca="false">IF($C873="","",IF($P873=_xlfn.MAXIFS($P$3:$P$1000,$B$3:$B$1000,$B873),"★ Cash cow – handmatig onderzoeken",""))</f>
        <v/>
      </c>
    </row>
    <row r="874" customFormat="false" ht="14.25" hidden="false" customHeight="true" outlineLevel="0" collapsed="false">
      <c r="A874" s="4"/>
      <c r="B874" s="5"/>
      <c r="C874" s="5"/>
      <c r="D874" s="5"/>
      <c r="E874" s="6"/>
      <c r="F874" s="7"/>
      <c r="G874" s="8"/>
      <c r="H874" s="7"/>
      <c r="I874" s="7"/>
      <c r="J874" s="6"/>
      <c r="K874" s="9" t="str">
        <f aca="false">IF(OR($J874="",$J874=0),"",$I874/$J874)</f>
        <v/>
      </c>
      <c r="L874" s="9" t="str">
        <f aca="false">IF(OR($E874="",$E874=0),"",$H874/$E874)</f>
        <v/>
      </c>
      <c r="M874" s="10" t="str">
        <f aca="false">IF(OR($L874="",$L874=0),"",($I874/30)/$L874)</f>
        <v/>
      </c>
      <c r="N874" s="8"/>
      <c r="O874" s="11" t="str">
        <f aca="false">IF(OR($I874="",$N874=""),"",($I874/1000)*$N874)</f>
        <v/>
      </c>
      <c r="P874" s="12" t="str">
        <f aca="false">IF($C874="","",IFERROR(ROUND(MIN(25,($N874/Instellingen!$B$3)*25)+MIN(25,($I874/Instellingen!$B$4)*25)+MIN(25,($J874/Instellingen!$B$5)*25)+MIN(25,(IF($M874="",0,$M874)/Instellingen!$B$6)*25),0),""))</f>
        <v/>
      </c>
      <c r="Q874" s="13" t="str">
        <f aca="false">IF($P874="","",IF($P874&gt;=Instellingen!$B$7,"Sterke niche",IF($P874&gt;=Instellingen!$B$8,"Belofte - opvolgen",IF($P874&gt;=Instellingen!$B$9,"Zwak - twijfel","Vermijden"))))</f>
        <v/>
      </c>
      <c r="R874" s="5"/>
      <c r="T874" s="1" t="str">
        <f aca="false">IF($C874="","",IF($P874=_xlfn.MAXIFS($P$3:$P$1000,$B$3:$B$1000,$B874),"★ Cash cow – handmatig onderzoeken",""))</f>
        <v/>
      </c>
    </row>
    <row r="875" customFormat="false" ht="14.25" hidden="false" customHeight="true" outlineLevel="0" collapsed="false">
      <c r="A875" s="4"/>
      <c r="B875" s="5"/>
      <c r="C875" s="5"/>
      <c r="D875" s="5"/>
      <c r="E875" s="6"/>
      <c r="F875" s="7"/>
      <c r="G875" s="8"/>
      <c r="H875" s="7"/>
      <c r="I875" s="7"/>
      <c r="J875" s="6"/>
      <c r="K875" s="9" t="str">
        <f aca="false">IF(OR($J875="",$J875=0),"",$I875/$J875)</f>
        <v/>
      </c>
      <c r="L875" s="9" t="str">
        <f aca="false">IF(OR($E875="",$E875=0),"",$H875/$E875)</f>
        <v/>
      </c>
      <c r="M875" s="10" t="str">
        <f aca="false">IF(OR($L875="",$L875=0),"",($I875/30)/$L875)</f>
        <v/>
      </c>
      <c r="N875" s="8"/>
      <c r="O875" s="11" t="str">
        <f aca="false">IF(OR($I875="",$N875=""),"",($I875/1000)*$N875)</f>
        <v/>
      </c>
      <c r="P875" s="12" t="str">
        <f aca="false">IF($C875="","",IFERROR(ROUND(MIN(25,($N875/Instellingen!$B$3)*25)+MIN(25,($I875/Instellingen!$B$4)*25)+MIN(25,($J875/Instellingen!$B$5)*25)+MIN(25,(IF($M875="",0,$M875)/Instellingen!$B$6)*25),0),""))</f>
        <v/>
      </c>
      <c r="Q875" s="13" t="str">
        <f aca="false">IF($P875="","",IF($P875&gt;=Instellingen!$B$7,"Sterke niche",IF($P875&gt;=Instellingen!$B$8,"Belofte - opvolgen",IF($P875&gt;=Instellingen!$B$9,"Zwak - twijfel","Vermijden"))))</f>
        <v/>
      </c>
      <c r="R875" s="5"/>
      <c r="T875" s="1" t="str">
        <f aca="false">IF($C875="","",IF($P875=_xlfn.MAXIFS($P$3:$P$1000,$B$3:$B$1000,$B875),"★ Cash cow – handmatig onderzoeken",""))</f>
        <v/>
      </c>
    </row>
    <row r="876" customFormat="false" ht="14.25" hidden="false" customHeight="true" outlineLevel="0" collapsed="false">
      <c r="A876" s="4"/>
      <c r="B876" s="5"/>
      <c r="C876" s="5"/>
      <c r="D876" s="5"/>
      <c r="E876" s="6"/>
      <c r="F876" s="7"/>
      <c r="G876" s="8"/>
      <c r="H876" s="7"/>
      <c r="I876" s="7"/>
      <c r="J876" s="6"/>
      <c r="K876" s="9" t="str">
        <f aca="false">IF(OR($J876="",$J876=0),"",$I876/$J876)</f>
        <v/>
      </c>
      <c r="L876" s="9" t="str">
        <f aca="false">IF(OR($E876="",$E876=0),"",$H876/$E876)</f>
        <v/>
      </c>
      <c r="M876" s="10" t="str">
        <f aca="false">IF(OR($L876="",$L876=0),"",($I876/30)/$L876)</f>
        <v/>
      </c>
      <c r="N876" s="8"/>
      <c r="O876" s="11" t="str">
        <f aca="false">IF(OR($I876="",$N876=""),"",($I876/1000)*$N876)</f>
        <v/>
      </c>
      <c r="P876" s="12" t="str">
        <f aca="false">IF($C876="","",IFERROR(ROUND(MIN(25,($N876/Instellingen!$B$3)*25)+MIN(25,($I876/Instellingen!$B$4)*25)+MIN(25,($J876/Instellingen!$B$5)*25)+MIN(25,(IF($M876="",0,$M876)/Instellingen!$B$6)*25),0),""))</f>
        <v/>
      </c>
      <c r="Q876" s="13" t="str">
        <f aca="false">IF($P876="","",IF($P876&gt;=Instellingen!$B$7,"Sterke niche",IF($P876&gt;=Instellingen!$B$8,"Belofte - opvolgen",IF($P876&gt;=Instellingen!$B$9,"Zwak - twijfel","Vermijden"))))</f>
        <v/>
      </c>
      <c r="R876" s="5"/>
      <c r="T876" s="1" t="str">
        <f aca="false">IF($C876="","",IF($P876=_xlfn.MAXIFS($P$3:$P$1000,$B$3:$B$1000,$B876),"★ Cash cow – handmatig onderzoeken",""))</f>
        <v/>
      </c>
    </row>
    <row r="877" customFormat="false" ht="14.25" hidden="false" customHeight="true" outlineLevel="0" collapsed="false">
      <c r="A877" s="4"/>
      <c r="B877" s="5"/>
      <c r="C877" s="5"/>
      <c r="D877" s="5"/>
      <c r="E877" s="6"/>
      <c r="F877" s="7"/>
      <c r="G877" s="8"/>
      <c r="H877" s="7"/>
      <c r="I877" s="7"/>
      <c r="J877" s="6"/>
      <c r="K877" s="9" t="str">
        <f aca="false">IF(OR($J877="",$J877=0),"",$I877/$J877)</f>
        <v/>
      </c>
      <c r="L877" s="9" t="str">
        <f aca="false">IF(OR($E877="",$E877=0),"",$H877/$E877)</f>
        <v/>
      </c>
      <c r="M877" s="10" t="str">
        <f aca="false">IF(OR($L877="",$L877=0),"",($I877/30)/$L877)</f>
        <v/>
      </c>
      <c r="N877" s="8"/>
      <c r="O877" s="11" t="str">
        <f aca="false">IF(OR($I877="",$N877=""),"",($I877/1000)*$N877)</f>
        <v/>
      </c>
      <c r="P877" s="12" t="str">
        <f aca="false">IF($C877="","",IFERROR(ROUND(MIN(25,($N877/Instellingen!$B$3)*25)+MIN(25,($I877/Instellingen!$B$4)*25)+MIN(25,($J877/Instellingen!$B$5)*25)+MIN(25,(IF($M877="",0,$M877)/Instellingen!$B$6)*25),0),""))</f>
        <v/>
      </c>
      <c r="Q877" s="13" t="str">
        <f aca="false">IF($P877="","",IF($P877&gt;=Instellingen!$B$7,"Sterke niche",IF($P877&gt;=Instellingen!$B$8,"Belofte - opvolgen",IF($P877&gt;=Instellingen!$B$9,"Zwak - twijfel","Vermijden"))))</f>
        <v/>
      </c>
      <c r="R877" s="5"/>
      <c r="T877" s="1" t="str">
        <f aca="false">IF($C877="","",IF($P877=_xlfn.MAXIFS($P$3:$P$1000,$B$3:$B$1000,$B877),"★ Cash cow – handmatig onderzoeken",""))</f>
        <v/>
      </c>
    </row>
    <row r="878" customFormat="false" ht="14.25" hidden="false" customHeight="true" outlineLevel="0" collapsed="false">
      <c r="A878" s="4"/>
      <c r="B878" s="5"/>
      <c r="C878" s="5"/>
      <c r="D878" s="5"/>
      <c r="E878" s="6"/>
      <c r="F878" s="7"/>
      <c r="G878" s="8"/>
      <c r="H878" s="7"/>
      <c r="I878" s="7"/>
      <c r="J878" s="6"/>
      <c r="K878" s="9" t="str">
        <f aca="false">IF(OR($J878="",$J878=0),"",$I878/$J878)</f>
        <v/>
      </c>
      <c r="L878" s="9" t="str">
        <f aca="false">IF(OR($E878="",$E878=0),"",$H878/$E878)</f>
        <v/>
      </c>
      <c r="M878" s="10" t="str">
        <f aca="false">IF(OR($L878="",$L878=0),"",($I878/30)/$L878)</f>
        <v/>
      </c>
      <c r="N878" s="8"/>
      <c r="O878" s="11" t="str">
        <f aca="false">IF(OR($I878="",$N878=""),"",($I878/1000)*$N878)</f>
        <v/>
      </c>
      <c r="P878" s="12" t="str">
        <f aca="false">IF($C878="","",IFERROR(ROUND(MIN(25,($N878/Instellingen!$B$3)*25)+MIN(25,($I878/Instellingen!$B$4)*25)+MIN(25,($J878/Instellingen!$B$5)*25)+MIN(25,(IF($M878="",0,$M878)/Instellingen!$B$6)*25),0),""))</f>
        <v/>
      </c>
      <c r="Q878" s="13" t="str">
        <f aca="false">IF($P878="","",IF($P878&gt;=Instellingen!$B$7,"Sterke niche",IF($P878&gt;=Instellingen!$B$8,"Belofte - opvolgen",IF($P878&gt;=Instellingen!$B$9,"Zwak - twijfel","Vermijden"))))</f>
        <v/>
      </c>
      <c r="R878" s="5"/>
      <c r="T878" s="1" t="str">
        <f aca="false">IF($C878="","",IF($P878=_xlfn.MAXIFS($P$3:$P$1000,$B$3:$B$1000,$B878),"★ Cash cow – handmatig onderzoeken",""))</f>
        <v/>
      </c>
    </row>
    <row r="879" customFormat="false" ht="14.25" hidden="false" customHeight="true" outlineLevel="0" collapsed="false">
      <c r="A879" s="4"/>
      <c r="B879" s="5"/>
      <c r="C879" s="5"/>
      <c r="D879" s="5"/>
      <c r="E879" s="6"/>
      <c r="F879" s="7"/>
      <c r="G879" s="8"/>
      <c r="H879" s="7"/>
      <c r="I879" s="7"/>
      <c r="J879" s="6"/>
      <c r="K879" s="9" t="str">
        <f aca="false">IF(OR($J879="",$J879=0),"",$I879/$J879)</f>
        <v/>
      </c>
      <c r="L879" s="9" t="str">
        <f aca="false">IF(OR($E879="",$E879=0),"",$H879/$E879)</f>
        <v/>
      </c>
      <c r="M879" s="10" t="str">
        <f aca="false">IF(OR($L879="",$L879=0),"",($I879/30)/$L879)</f>
        <v/>
      </c>
      <c r="N879" s="8"/>
      <c r="O879" s="11" t="str">
        <f aca="false">IF(OR($I879="",$N879=""),"",($I879/1000)*$N879)</f>
        <v/>
      </c>
      <c r="P879" s="12" t="str">
        <f aca="false">IF($C879="","",IFERROR(ROUND(MIN(25,($N879/Instellingen!$B$3)*25)+MIN(25,($I879/Instellingen!$B$4)*25)+MIN(25,($J879/Instellingen!$B$5)*25)+MIN(25,(IF($M879="",0,$M879)/Instellingen!$B$6)*25),0),""))</f>
        <v/>
      </c>
      <c r="Q879" s="13" t="str">
        <f aca="false">IF($P879="","",IF($P879&gt;=Instellingen!$B$7,"Sterke niche",IF($P879&gt;=Instellingen!$B$8,"Belofte - opvolgen",IF($P879&gt;=Instellingen!$B$9,"Zwak - twijfel","Vermijden"))))</f>
        <v/>
      </c>
      <c r="R879" s="5"/>
      <c r="T879" s="1" t="str">
        <f aca="false">IF($C879="","",IF($P879=_xlfn.MAXIFS($P$3:$P$1000,$B$3:$B$1000,$B879),"★ Cash cow – handmatig onderzoeken",""))</f>
        <v/>
      </c>
    </row>
    <row r="880" customFormat="false" ht="14.25" hidden="false" customHeight="true" outlineLevel="0" collapsed="false">
      <c r="A880" s="4"/>
      <c r="B880" s="5"/>
      <c r="C880" s="5"/>
      <c r="D880" s="5"/>
      <c r="E880" s="6"/>
      <c r="F880" s="7"/>
      <c r="G880" s="8"/>
      <c r="H880" s="7"/>
      <c r="I880" s="7"/>
      <c r="J880" s="6"/>
      <c r="K880" s="9" t="str">
        <f aca="false">IF(OR($J880="",$J880=0),"",$I880/$J880)</f>
        <v/>
      </c>
      <c r="L880" s="9" t="str">
        <f aca="false">IF(OR($E880="",$E880=0),"",$H880/$E880)</f>
        <v/>
      </c>
      <c r="M880" s="10" t="str">
        <f aca="false">IF(OR($L880="",$L880=0),"",($I880/30)/$L880)</f>
        <v/>
      </c>
      <c r="N880" s="8"/>
      <c r="O880" s="11" t="str">
        <f aca="false">IF(OR($I880="",$N880=""),"",($I880/1000)*$N880)</f>
        <v/>
      </c>
      <c r="P880" s="12" t="str">
        <f aca="false">IF($C880="","",IFERROR(ROUND(MIN(25,($N880/Instellingen!$B$3)*25)+MIN(25,($I880/Instellingen!$B$4)*25)+MIN(25,($J880/Instellingen!$B$5)*25)+MIN(25,(IF($M880="",0,$M880)/Instellingen!$B$6)*25),0),""))</f>
        <v/>
      </c>
      <c r="Q880" s="13" t="str">
        <f aca="false">IF($P880="","",IF($P880&gt;=Instellingen!$B$7,"Sterke niche",IF($P880&gt;=Instellingen!$B$8,"Belofte - opvolgen",IF($P880&gt;=Instellingen!$B$9,"Zwak - twijfel","Vermijden"))))</f>
        <v/>
      </c>
      <c r="R880" s="5"/>
      <c r="T880" s="1" t="str">
        <f aca="false">IF($C880="","",IF($P880=_xlfn.MAXIFS($P$3:$P$1000,$B$3:$B$1000,$B880),"★ Cash cow – handmatig onderzoeken",""))</f>
        <v/>
      </c>
    </row>
    <row r="881" customFormat="false" ht="14.25" hidden="false" customHeight="true" outlineLevel="0" collapsed="false">
      <c r="A881" s="4"/>
      <c r="B881" s="5"/>
      <c r="C881" s="5"/>
      <c r="D881" s="5"/>
      <c r="E881" s="6"/>
      <c r="F881" s="7"/>
      <c r="G881" s="8"/>
      <c r="H881" s="7"/>
      <c r="I881" s="7"/>
      <c r="J881" s="6"/>
      <c r="K881" s="9" t="str">
        <f aca="false">IF(OR($J881="",$J881=0),"",$I881/$J881)</f>
        <v/>
      </c>
      <c r="L881" s="9" t="str">
        <f aca="false">IF(OR($E881="",$E881=0),"",$H881/$E881)</f>
        <v/>
      </c>
      <c r="M881" s="10" t="str">
        <f aca="false">IF(OR($L881="",$L881=0),"",($I881/30)/$L881)</f>
        <v/>
      </c>
      <c r="N881" s="8"/>
      <c r="O881" s="11" t="str">
        <f aca="false">IF(OR($I881="",$N881=""),"",($I881/1000)*$N881)</f>
        <v/>
      </c>
      <c r="P881" s="12" t="str">
        <f aca="false">IF($C881="","",IFERROR(ROUND(MIN(25,($N881/Instellingen!$B$3)*25)+MIN(25,($I881/Instellingen!$B$4)*25)+MIN(25,($J881/Instellingen!$B$5)*25)+MIN(25,(IF($M881="",0,$M881)/Instellingen!$B$6)*25),0),""))</f>
        <v/>
      </c>
      <c r="Q881" s="13" t="str">
        <f aca="false">IF($P881="","",IF($P881&gt;=Instellingen!$B$7,"Sterke niche",IF($P881&gt;=Instellingen!$B$8,"Belofte - opvolgen",IF($P881&gt;=Instellingen!$B$9,"Zwak - twijfel","Vermijden"))))</f>
        <v/>
      </c>
      <c r="R881" s="5"/>
      <c r="T881" s="1" t="str">
        <f aca="false">IF($C881="","",IF($P881=_xlfn.MAXIFS($P$3:$P$1000,$B$3:$B$1000,$B881),"★ Cash cow – handmatig onderzoeken",""))</f>
        <v/>
      </c>
    </row>
    <row r="882" customFormat="false" ht="14.25" hidden="false" customHeight="true" outlineLevel="0" collapsed="false">
      <c r="A882" s="4"/>
      <c r="B882" s="5"/>
      <c r="C882" s="5"/>
      <c r="D882" s="5"/>
      <c r="E882" s="6"/>
      <c r="F882" s="7"/>
      <c r="G882" s="8"/>
      <c r="H882" s="7"/>
      <c r="I882" s="7"/>
      <c r="J882" s="6"/>
      <c r="K882" s="9" t="str">
        <f aca="false">IF(OR($J882="",$J882=0),"",$I882/$J882)</f>
        <v/>
      </c>
      <c r="L882" s="9" t="str">
        <f aca="false">IF(OR($E882="",$E882=0),"",$H882/$E882)</f>
        <v/>
      </c>
      <c r="M882" s="10" t="str">
        <f aca="false">IF(OR($L882="",$L882=0),"",($I882/30)/$L882)</f>
        <v/>
      </c>
      <c r="N882" s="8"/>
      <c r="O882" s="11" t="str">
        <f aca="false">IF(OR($I882="",$N882=""),"",($I882/1000)*$N882)</f>
        <v/>
      </c>
      <c r="P882" s="12" t="str">
        <f aca="false">IF($C882="","",IFERROR(ROUND(MIN(25,($N882/Instellingen!$B$3)*25)+MIN(25,($I882/Instellingen!$B$4)*25)+MIN(25,($J882/Instellingen!$B$5)*25)+MIN(25,(IF($M882="",0,$M882)/Instellingen!$B$6)*25),0),""))</f>
        <v/>
      </c>
      <c r="Q882" s="13" t="str">
        <f aca="false">IF($P882="","",IF($P882&gt;=Instellingen!$B$7,"Sterke niche",IF($P882&gt;=Instellingen!$B$8,"Belofte - opvolgen",IF($P882&gt;=Instellingen!$B$9,"Zwak - twijfel","Vermijden"))))</f>
        <v/>
      </c>
      <c r="R882" s="5"/>
      <c r="T882" s="1" t="str">
        <f aca="false">IF($C882="","",IF($P882=_xlfn.MAXIFS($P$3:$P$1000,$B$3:$B$1000,$B882),"★ Cash cow – handmatig onderzoeken",""))</f>
        <v/>
      </c>
    </row>
    <row r="883" customFormat="false" ht="14.25" hidden="false" customHeight="true" outlineLevel="0" collapsed="false">
      <c r="A883" s="4"/>
      <c r="B883" s="5"/>
      <c r="C883" s="5"/>
      <c r="D883" s="5"/>
      <c r="E883" s="6"/>
      <c r="F883" s="7"/>
      <c r="G883" s="8"/>
      <c r="H883" s="7"/>
      <c r="I883" s="7"/>
      <c r="J883" s="6"/>
      <c r="K883" s="9" t="str">
        <f aca="false">IF(OR($J883="",$J883=0),"",$I883/$J883)</f>
        <v/>
      </c>
      <c r="L883" s="9" t="str">
        <f aca="false">IF(OR($E883="",$E883=0),"",$H883/$E883)</f>
        <v/>
      </c>
      <c r="M883" s="10" t="str">
        <f aca="false">IF(OR($L883="",$L883=0),"",($I883/30)/$L883)</f>
        <v/>
      </c>
      <c r="N883" s="8"/>
      <c r="O883" s="11" t="str">
        <f aca="false">IF(OR($I883="",$N883=""),"",($I883/1000)*$N883)</f>
        <v/>
      </c>
      <c r="P883" s="12" t="str">
        <f aca="false">IF($C883="","",IFERROR(ROUND(MIN(25,($N883/Instellingen!$B$3)*25)+MIN(25,($I883/Instellingen!$B$4)*25)+MIN(25,($J883/Instellingen!$B$5)*25)+MIN(25,(IF($M883="",0,$M883)/Instellingen!$B$6)*25),0),""))</f>
        <v/>
      </c>
      <c r="Q883" s="13" t="str">
        <f aca="false">IF($P883="","",IF($P883&gt;=Instellingen!$B$7,"Sterke niche",IF($P883&gt;=Instellingen!$B$8,"Belofte - opvolgen",IF($P883&gt;=Instellingen!$B$9,"Zwak - twijfel","Vermijden"))))</f>
        <v/>
      </c>
      <c r="R883" s="5"/>
      <c r="T883" s="1" t="str">
        <f aca="false">IF($C883="","",IF($P883=_xlfn.MAXIFS($P$3:$P$1000,$B$3:$B$1000,$B883),"★ Cash cow – handmatig onderzoeken",""))</f>
        <v/>
      </c>
    </row>
    <row r="884" customFormat="false" ht="14.25" hidden="false" customHeight="true" outlineLevel="0" collapsed="false">
      <c r="A884" s="4"/>
      <c r="B884" s="5"/>
      <c r="C884" s="5"/>
      <c r="D884" s="5"/>
      <c r="E884" s="6"/>
      <c r="F884" s="7"/>
      <c r="G884" s="8"/>
      <c r="H884" s="7"/>
      <c r="I884" s="7"/>
      <c r="J884" s="6"/>
      <c r="K884" s="9" t="str">
        <f aca="false">IF(OR($J884="",$J884=0),"",$I884/$J884)</f>
        <v/>
      </c>
      <c r="L884" s="9" t="str">
        <f aca="false">IF(OR($E884="",$E884=0),"",$H884/$E884)</f>
        <v/>
      </c>
      <c r="M884" s="10" t="str">
        <f aca="false">IF(OR($L884="",$L884=0),"",($I884/30)/$L884)</f>
        <v/>
      </c>
      <c r="N884" s="8"/>
      <c r="O884" s="11" t="str">
        <f aca="false">IF(OR($I884="",$N884=""),"",($I884/1000)*$N884)</f>
        <v/>
      </c>
      <c r="P884" s="12" t="str">
        <f aca="false">IF($C884="","",IFERROR(ROUND(MIN(25,($N884/Instellingen!$B$3)*25)+MIN(25,($I884/Instellingen!$B$4)*25)+MIN(25,($J884/Instellingen!$B$5)*25)+MIN(25,(IF($M884="",0,$M884)/Instellingen!$B$6)*25),0),""))</f>
        <v/>
      </c>
      <c r="Q884" s="13" t="str">
        <f aca="false">IF($P884="","",IF($P884&gt;=Instellingen!$B$7,"Sterke niche",IF($P884&gt;=Instellingen!$B$8,"Belofte - opvolgen",IF($P884&gt;=Instellingen!$B$9,"Zwak - twijfel","Vermijden"))))</f>
        <v/>
      </c>
      <c r="R884" s="5"/>
      <c r="T884" s="1" t="str">
        <f aca="false">IF($C884="","",IF($P884=_xlfn.MAXIFS($P$3:$P$1000,$B$3:$B$1000,$B884),"★ Cash cow – handmatig onderzoeken",""))</f>
        <v/>
      </c>
    </row>
    <row r="885" customFormat="false" ht="14.25" hidden="false" customHeight="true" outlineLevel="0" collapsed="false">
      <c r="A885" s="4"/>
      <c r="B885" s="5"/>
      <c r="C885" s="5"/>
      <c r="D885" s="5"/>
      <c r="E885" s="6"/>
      <c r="F885" s="7"/>
      <c r="G885" s="8"/>
      <c r="H885" s="7"/>
      <c r="I885" s="7"/>
      <c r="J885" s="6"/>
      <c r="K885" s="9" t="str">
        <f aca="false">IF(OR($J885="",$J885=0),"",$I885/$J885)</f>
        <v/>
      </c>
      <c r="L885" s="9" t="str">
        <f aca="false">IF(OR($E885="",$E885=0),"",$H885/$E885)</f>
        <v/>
      </c>
      <c r="M885" s="10" t="str">
        <f aca="false">IF(OR($L885="",$L885=0),"",($I885/30)/$L885)</f>
        <v/>
      </c>
      <c r="N885" s="8"/>
      <c r="O885" s="11" t="str">
        <f aca="false">IF(OR($I885="",$N885=""),"",($I885/1000)*$N885)</f>
        <v/>
      </c>
      <c r="P885" s="12" t="str">
        <f aca="false">IF($C885="","",IFERROR(ROUND(MIN(25,($N885/Instellingen!$B$3)*25)+MIN(25,($I885/Instellingen!$B$4)*25)+MIN(25,($J885/Instellingen!$B$5)*25)+MIN(25,(IF($M885="",0,$M885)/Instellingen!$B$6)*25),0),""))</f>
        <v/>
      </c>
      <c r="Q885" s="13" t="str">
        <f aca="false">IF($P885="","",IF($P885&gt;=Instellingen!$B$7,"Sterke niche",IF($P885&gt;=Instellingen!$B$8,"Belofte - opvolgen",IF($P885&gt;=Instellingen!$B$9,"Zwak - twijfel","Vermijden"))))</f>
        <v/>
      </c>
      <c r="R885" s="5"/>
      <c r="T885" s="1" t="str">
        <f aca="false">IF($C885="","",IF($P885=_xlfn.MAXIFS($P$3:$P$1000,$B$3:$B$1000,$B885),"★ Cash cow – handmatig onderzoeken",""))</f>
        <v/>
      </c>
    </row>
    <row r="886" customFormat="false" ht="14.25" hidden="false" customHeight="true" outlineLevel="0" collapsed="false">
      <c r="A886" s="4"/>
      <c r="B886" s="5"/>
      <c r="C886" s="5"/>
      <c r="D886" s="5"/>
      <c r="E886" s="6"/>
      <c r="F886" s="7"/>
      <c r="G886" s="8"/>
      <c r="H886" s="7"/>
      <c r="I886" s="7"/>
      <c r="J886" s="6"/>
      <c r="K886" s="9" t="str">
        <f aca="false">IF(OR($J886="",$J886=0),"",$I886/$J886)</f>
        <v/>
      </c>
      <c r="L886" s="9" t="str">
        <f aca="false">IF(OR($E886="",$E886=0),"",$H886/$E886)</f>
        <v/>
      </c>
      <c r="M886" s="10" t="str">
        <f aca="false">IF(OR($L886="",$L886=0),"",($I886/30)/$L886)</f>
        <v/>
      </c>
      <c r="N886" s="8"/>
      <c r="O886" s="11" t="str">
        <f aca="false">IF(OR($I886="",$N886=""),"",($I886/1000)*$N886)</f>
        <v/>
      </c>
      <c r="P886" s="12" t="str">
        <f aca="false">IF($C886="","",IFERROR(ROUND(MIN(25,($N886/Instellingen!$B$3)*25)+MIN(25,($I886/Instellingen!$B$4)*25)+MIN(25,($J886/Instellingen!$B$5)*25)+MIN(25,(IF($M886="",0,$M886)/Instellingen!$B$6)*25),0),""))</f>
        <v/>
      </c>
      <c r="Q886" s="13" t="str">
        <f aca="false">IF($P886="","",IF($P886&gt;=Instellingen!$B$7,"Sterke niche",IF($P886&gt;=Instellingen!$B$8,"Belofte - opvolgen",IF($P886&gt;=Instellingen!$B$9,"Zwak - twijfel","Vermijden"))))</f>
        <v/>
      </c>
      <c r="R886" s="5"/>
      <c r="T886" s="1" t="str">
        <f aca="false">IF($C886="","",IF($P886=_xlfn.MAXIFS($P$3:$P$1000,$B$3:$B$1000,$B886),"★ Cash cow – handmatig onderzoeken",""))</f>
        <v/>
      </c>
    </row>
    <row r="887" customFormat="false" ht="14.25" hidden="false" customHeight="true" outlineLevel="0" collapsed="false">
      <c r="A887" s="4"/>
      <c r="B887" s="5"/>
      <c r="C887" s="5"/>
      <c r="D887" s="5"/>
      <c r="E887" s="6"/>
      <c r="F887" s="7"/>
      <c r="G887" s="8"/>
      <c r="H887" s="7"/>
      <c r="I887" s="7"/>
      <c r="J887" s="6"/>
      <c r="K887" s="9" t="str">
        <f aca="false">IF(OR($J887="",$J887=0),"",$I887/$J887)</f>
        <v/>
      </c>
      <c r="L887" s="9" t="str">
        <f aca="false">IF(OR($E887="",$E887=0),"",$H887/$E887)</f>
        <v/>
      </c>
      <c r="M887" s="10" t="str">
        <f aca="false">IF(OR($L887="",$L887=0),"",($I887/30)/$L887)</f>
        <v/>
      </c>
      <c r="N887" s="8"/>
      <c r="O887" s="11" t="str">
        <f aca="false">IF(OR($I887="",$N887=""),"",($I887/1000)*$N887)</f>
        <v/>
      </c>
      <c r="P887" s="12" t="str">
        <f aca="false">IF($C887="","",IFERROR(ROUND(MIN(25,($N887/Instellingen!$B$3)*25)+MIN(25,($I887/Instellingen!$B$4)*25)+MIN(25,($J887/Instellingen!$B$5)*25)+MIN(25,(IF($M887="",0,$M887)/Instellingen!$B$6)*25),0),""))</f>
        <v/>
      </c>
      <c r="Q887" s="13" t="str">
        <f aca="false">IF($P887="","",IF($P887&gt;=Instellingen!$B$7,"Sterke niche",IF($P887&gt;=Instellingen!$B$8,"Belofte - opvolgen",IF($P887&gt;=Instellingen!$B$9,"Zwak - twijfel","Vermijden"))))</f>
        <v/>
      </c>
      <c r="R887" s="5"/>
      <c r="T887" s="1" t="str">
        <f aca="false">IF($C887="","",IF($P887=_xlfn.MAXIFS($P$3:$P$1000,$B$3:$B$1000,$B887),"★ Cash cow – handmatig onderzoeken",""))</f>
        <v/>
      </c>
    </row>
    <row r="888" customFormat="false" ht="14.25" hidden="false" customHeight="true" outlineLevel="0" collapsed="false">
      <c r="A888" s="4"/>
      <c r="B888" s="5"/>
      <c r="C888" s="5"/>
      <c r="D888" s="5"/>
      <c r="E888" s="6"/>
      <c r="F888" s="7"/>
      <c r="G888" s="8"/>
      <c r="H888" s="7"/>
      <c r="I888" s="7"/>
      <c r="J888" s="6"/>
      <c r="K888" s="9" t="str">
        <f aca="false">IF(OR($J888="",$J888=0),"",$I888/$J888)</f>
        <v/>
      </c>
      <c r="L888" s="9" t="str">
        <f aca="false">IF(OR($E888="",$E888=0),"",$H888/$E888)</f>
        <v/>
      </c>
      <c r="M888" s="10" t="str">
        <f aca="false">IF(OR($L888="",$L888=0),"",($I888/30)/$L888)</f>
        <v/>
      </c>
      <c r="N888" s="8"/>
      <c r="O888" s="11" t="str">
        <f aca="false">IF(OR($I888="",$N888=""),"",($I888/1000)*$N888)</f>
        <v/>
      </c>
      <c r="P888" s="12" t="str">
        <f aca="false">IF($C888="","",IFERROR(ROUND(MIN(25,($N888/Instellingen!$B$3)*25)+MIN(25,($I888/Instellingen!$B$4)*25)+MIN(25,($J888/Instellingen!$B$5)*25)+MIN(25,(IF($M888="",0,$M888)/Instellingen!$B$6)*25),0),""))</f>
        <v/>
      </c>
      <c r="Q888" s="13" t="str">
        <f aca="false">IF($P888="","",IF($P888&gt;=Instellingen!$B$7,"Sterke niche",IF($P888&gt;=Instellingen!$B$8,"Belofte - opvolgen",IF($P888&gt;=Instellingen!$B$9,"Zwak - twijfel","Vermijden"))))</f>
        <v/>
      </c>
      <c r="R888" s="5"/>
      <c r="T888" s="1" t="str">
        <f aca="false">IF($C888="","",IF($P888=_xlfn.MAXIFS($P$3:$P$1000,$B$3:$B$1000,$B888),"★ Cash cow – handmatig onderzoeken",""))</f>
        <v/>
      </c>
    </row>
    <row r="889" customFormat="false" ht="14.25" hidden="false" customHeight="true" outlineLevel="0" collapsed="false">
      <c r="A889" s="4"/>
      <c r="B889" s="5"/>
      <c r="C889" s="5"/>
      <c r="D889" s="5"/>
      <c r="E889" s="6"/>
      <c r="F889" s="7"/>
      <c r="G889" s="8"/>
      <c r="H889" s="7"/>
      <c r="I889" s="7"/>
      <c r="J889" s="6"/>
      <c r="K889" s="9" t="str">
        <f aca="false">IF(OR($J889="",$J889=0),"",$I889/$J889)</f>
        <v/>
      </c>
      <c r="L889" s="9" t="str">
        <f aca="false">IF(OR($E889="",$E889=0),"",$H889/$E889)</f>
        <v/>
      </c>
      <c r="M889" s="10" t="str">
        <f aca="false">IF(OR($L889="",$L889=0),"",($I889/30)/$L889)</f>
        <v/>
      </c>
      <c r="N889" s="8"/>
      <c r="O889" s="11" t="str">
        <f aca="false">IF(OR($I889="",$N889=""),"",($I889/1000)*$N889)</f>
        <v/>
      </c>
      <c r="P889" s="12" t="str">
        <f aca="false">IF($C889="","",IFERROR(ROUND(MIN(25,($N889/Instellingen!$B$3)*25)+MIN(25,($I889/Instellingen!$B$4)*25)+MIN(25,($J889/Instellingen!$B$5)*25)+MIN(25,(IF($M889="",0,$M889)/Instellingen!$B$6)*25),0),""))</f>
        <v/>
      </c>
      <c r="Q889" s="13" t="str">
        <f aca="false">IF($P889="","",IF($P889&gt;=Instellingen!$B$7,"Sterke niche",IF($P889&gt;=Instellingen!$B$8,"Belofte - opvolgen",IF($P889&gt;=Instellingen!$B$9,"Zwak - twijfel","Vermijden"))))</f>
        <v/>
      </c>
      <c r="R889" s="5"/>
      <c r="T889" s="1" t="str">
        <f aca="false">IF($C889="","",IF($P889=_xlfn.MAXIFS($P$3:$P$1000,$B$3:$B$1000,$B889),"★ Cash cow – handmatig onderzoeken",""))</f>
        <v/>
      </c>
    </row>
    <row r="890" customFormat="false" ht="14.25" hidden="false" customHeight="true" outlineLevel="0" collapsed="false">
      <c r="A890" s="4"/>
      <c r="B890" s="5"/>
      <c r="C890" s="5"/>
      <c r="D890" s="5"/>
      <c r="E890" s="6"/>
      <c r="F890" s="7"/>
      <c r="G890" s="8"/>
      <c r="H890" s="7"/>
      <c r="I890" s="7"/>
      <c r="J890" s="6"/>
      <c r="K890" s="9" t="str">
        <f aca="false">IF(OR($J890="",$J890=0),"",$I890/$J890)</f>
        <v/>
      </c>
      <c r="L890" s="9" t="str">
        <f aca="false">IF(OR($E890="",$E890=0),"",$H890/$E890)</f>
        <v/>
      </c>
      <c r="M890" s="10" t="str">
        <f aca="false">IF(OR($L890="",$L890=0),"",($I890/30)/$L890)</f>
        <v/>
      </c>
      <c r="N890" s="8"/>
      <c r="O890" s="11" t="str">
        <f aca="false">IF(OR($I890="",$N890=""),"",($I890/1000)*$N890)</f>
        <v/>
      </c>
      <c r="P890" s="12" t="str">
        <f aca="false">IF($C890="","",IFERROR(ROUND(MIN(25,($N890/Instellingen!$B$3)*25)+MIN(25,($I890/Instellingen!$B$4)*25)+MIN(25,($J890/Instellingen!$B$5)*25)+MIN(25,(IF($M890="",0,$M890)/Instellingen!$B$6)*25),0),""))</f>
        <v/>
      </c>
      <c r="Q890" s="13" t="str">
        <f aca="false">IF($P890="","",IF($P890&gt;=Instellingen!$B$7,"Sterke niche",IF($P890&gt;=Instellingen!$B$8,"Belofte - opvolgen",IF($P890&gt;=Instellingen!$B$9,"Zwak - twijfel","Vermijden"))))</f>
        <v/>
      </c>
      <c r="R890" s="5"/>
      <c r="T890" s="1" t="str">
        <f aca="false">IF($C890="","",IF($P890=_xlfn.MAXIFS($P$3:$P$1000,$B$3:$B$1000,$B890),"★ Cash cow – handmatig onderzoeken",""))</f>
        <v/>
      </c>
    </row>
    <row r="891" customFormat="false" ht="14.25" hidden="false" customHeight="true" outlineLevel="0" collapsed="false">
      <c r="A891" s="4"/>
      <c r="B891" s="5"/>
      <c r="C891" s="5"/>
      <c r="D891" s="5"/>
      <c r="E891" s="6"/>
      <c r="F891" s="7"/>
      <c r="G891" s="8"/>
      <c r="H891" s="7"/>
      <c r="I891" s="7"/>
      <c r="J891" s="6"/>
      <c r="K891" s="9" t="str">
        <f aca="false">IF(OR($J891="",$J891=0),"",$I891/$J891)</f>
        <v/>
      </c>
      <c r="L891" s="9" t="str">
        <f aca="false">IF(OR($E891="",$E891=0),"",$H891/$E891)</f>
        <v/>
      </c>
      <c r="M891" s="10" t="str">
        <f aca="false">IF(OR($L891="",$L891=0),"",($I891/30)/$L891)</f>
        <v/>
      </c>
      <c r="N891" s="8"/>
      <c r="O891" s="11" t="str">
        <f aca="false">IF(OR($I891="",$N891=""),"",($I891/1000)*$N891)</f>
        <v/>
      </c>
      <c r="P891" s="12" t="str">
        <f aca="false">IF($C891="","",IFERROR(ROUND(MIN(25,($N891/Instellingen!$B$3)*25)+MIN(25,($I891/Instellingen!$B$4)*25)+MIN(25,($J891/Instellingen!$B$5)*25)+MIN(25,(IF($M891="",0,$M891)/Instellingen!$B$6)*25),0),""))</f>
        <v/>
      </c>
      <c r="Q891" s="13" t="str">
        <f aca="false">IF($P891="","",IF($P891&gt;=Instellingen!$B$7,"Sterke niche",IF($P891&gt;=Instellingen!$B$8,"Belofte - opvolgen",IF($P891&gt;=Instellingen!$B$9,"Zwak - twijfel","Vermijden"))))</f>
        <v/>
      </c>
      <c r="R891" s="5"/>
      <c r="T891" s="1" t="str">
        <f aca="false">IF($C891="","",IF($P891=_xlfn.MAXIFS($P$3:$P$1000,$B$3:$B$1000,$B891),"★ Cash cow – handmatig onderzoeken",""))</f>
        <v/>
      </c>
    </row>
    <row r="892" customFormat="false" ht="14.25" hidden="false" customHeight="true" outlineLevel="0" collapsed="false">
      <c r="A892" s="4"/>
      <c r="B892" s="5"/>
      <c r="C892" s="5"/>
      <c r="D892" s="5"/>
      <c r="E892" s="6"/>
      <c r="F892" s="7"/>
      <c r="G892" s="8"/>
      <c r="H892" s="7"/>
      <c r="I892" s="7"/>
      <c r="J892" s="6"/>
      <c r="K892" s="9" t="str">
        <f aca="false">IF(OR($J892="",$J892=0),"",$I892/$J892)</f>
        <v/>
      </c>
      <c r="L892" s="9" t="str">
        <f aca="false">IF(OR($E892="",$E892=0),"",$H892/$E892)</f>
        <v/>
      </c>
      <c r="M892" s="10" t="str">
        <f aca="false">IF(OR($L892="",$L892=0),"",($I892/30)/$L892)</f>
        <v/>
      </c>
      <c r="N892" s="8"/>
      <c r="O892" s="11" t="str">
        <f aca="false">IF(OR($I892="",$N892=""),"",($I892/1000)*$N892)</f>
        <v/>
      </c>
      <c r="P892" s="12" t="str">
        <f aca="false">IF($C892="","",IFERROR(ROUND(MIN(25,($N892/Instellingen!$B$3)*25)+MIN(25,($I892/Instellingen!$B$4)*25)+MIN(25,($J892/Instellingen!$B$5)*25)+MIN(25,(IF($M892="",0,$M892)/Instellingen!$B$6)*25),0),""))</f>
        <v/>
      </c>
      <c r="Q892" s="13" t="str">
        <f aca="false">IF($P892="","",IF($P892&gt;=Instellingen!$B$7,"Sterke niche",IF($P892&gt;=Instellingen!$B$8,"Belofte - opvolgen",IF($P892&gt;=Instellingen!$B$9,"Zwak - twijfel","Vermijden"))))</f>
        <v/>
      </c>
      <c r="R892" s="5"/>
      <c r="T892" s="1" t="str">
        <f aca="false">IF($C892="","",IF($P892=_xlfn.MAXIFS($P$3:$P$1000,$B$3:$B$1000,$B892),"★ Cash cow – handmatig onderzoeken",""))</f>
        <v/>
      </c>
    </row>
    <row r="893" customFormat="false" ht="14.25" hidden="false" customHeight="true" outlineLevel="0" collapsed="false">
      <c r="A893" s="4"/>
      <c r="B893" s="5"/>
      <c r="C893" s="5"/>
      <c r="D893" s="5"/>
      <c r="E893" s="6"/>
      <c r="F893" s="7"/>
      <c r="G893" s="8"/>
      <c r="H893" s="7"/>
      <c r="I893" s="7"/>
      <c r="J893" s="6"/>
      <c r="K893" s="9" t="str">
        <f aca="false">IF(OR($J893="",$J893=0),"",$I893/$J893)</f>
        <v/>
      </c>
      <c r="L893" s="9" t="str">
        <f aca="false">IF(OR($E893="",$E893=0),"",$H893/$E893)</f>
        <v/>
      </c>
      <c r="M893" s="10" t="str">
        <f aca="false">IF(OR($L893="",$L893=0),"",($I893/30)/$L893)</f>
        <v/>
      </c>
      <c r="N893" s="8"/>
      <c r="O893" s="11" t="str">
        <f aca="false">IF(OR($I893="",$N893=""),"",($I893/1000)*$N893)</f>
        <v/>
      </c>
      <c r="P893" s="12" t="str">
        <f aca="false">IF($C893="","",IFERROR(ROUND(MIN(25,($N893/Instellingen!$B$3)*25)+MIN(25,($I893/Instellingen!$B$4)*25)+MIN(25,($J893/Instellingen!$B$5)*25)+MIN(25,(IF($M893="",0,$M893)/Instellingen!$B$6)*25),0),""))</f>
        <v/>
      </c>
      <c r="Q893" s="13" t="str">
        <f aca="false">IF($P893="","",IF($P893&gt;=Instellingen!$B$7,"Sterke niche",IF($P893&gt;=Instellingen!$B$8,"Belofte - opvolgen",IF($P893&gt;=Instellingen!$B$9,"Zwak - twijfel","Vermijden"))))</f>
        <v/>
      </c>
      <c r="R893" s="5"/>
      <c r="T893" s="1" t="str">
        <f aca="false">IF($C893="","",IF($P893=_xlfn.MAXIFS($P$3:$P$1000,$B$3:$B$1000,$B893),"★ Cash cow – handmatig onderzoeken",""))</f>
        <v/>
      </c>
    </row>
    <row r="894" customFormat="false" ht="14.25" hidden="false" customHeight="true" outlineLevel="0" collapsed="false">
      <c r="A894" s="4"/>
      <c r="B894" s="5"/>
      <c r="C894" s="5"/>
      <c r="D894" s="5"/>
      <c r="E894" s="6"/>
      <c r="F894" s="7"/>
      <c r="G894" s="8"/>
      <c r="H894" s="7"/>
      <c r="I894" s="7"/>
      <c r="J894" s="6"/>
      <c r="K894" s="9" t="str">
        <f aca="false">IF(OR($J894="",$J894=0),"",$I894/$J894)</f>
        <v/>
      </c>
      <c r="L894" s="9" t="str">
        <f aca="false">IF(OR($E894="",$E894=0),"",$H894/$E894)</f>
        <v/>
      </c>
      <c r="M894" s="10" t="str">
        <f aca="false">IF(OR($L894="",$L894=0),"",($I894/30)/$L894)</f>
        <v/>
      </c>
      <c r="N894" s="8"/>
      <c r="O894" s="11" t="str">
        <f aca="false">IF(OR($I894="",$N894=""),"",($I894/1000)*$N894)</f>
        <v/>
      </c>
      <c r="P894" s="12" t="str">
        <f aca="false">IF($C894="","",IFERROR(ROUND(MIN(25,($N894/Instellingen!$B$3)*25)+MIN(25,($I894/Instellingen!$B$4)*25)+MIN(25,($J894/Instellingen!$B$5)*25)+MIN(25,(IF($M894="",0,$M894)/Instellingen!$B$6)*25),0),""))</f>
        <v/>
      </c>
      <c r="Q894" s="13" t="str">
        <f aca="false">IF($P894="","",IF($P894&gt;=Instellingen!$B$7,"Sterke niche",IF($P894&gt;=Instellingen!$B$8,"Belofte - opvolgen",IF($P894&gt;=Instellingen!$B$9,"Zwak - twijfel","Vermijden"))))</f>
        <v/>
      </c>
      <c r="R894" s="5"/>
      <c r="T894" s="1" t="str">
        <f aca="false">IF($C894="","",IF($P894=_xlfn.MAXIFS($P$3:$P$1000,$B$3:$B$1000,$B894),"★ Cash cow – handmatig onderzoeken",""))</f>
        <v/>
      </c>
    </row>
    <row r="895" customFormat="false" ht="14.25" hidden="false" customHeight="true" outlineLevel="0" collapsed="false">
      <c r="A895" s="4"/>
      <c r="B895" s="5"/>
      <c r="C895" s="5"/>
      <c r="D895" s="5"/>
      <c r="E895" s="6"/>
      <c r="F895" s="7"/>
      <c r="G895" s="8"/>
      <c r="H895" s="7"/>
      <c r="I895" s="7"/>
      <c r="J895" s="6"/>
      <c r="K895" s="9" t="str">
        <f aca="false">IF(OR($J895="",$J895=0),"",$I895/$J895)</f>
        <v/>
      </c>
      <c r="L895" s="9" t="str">
        <f aca="false">IF(OR($E895="",$E895=0),"",$H895/$E895)</f>
        <v/>
      </c>
      <c r="M895" s="10" t="str">
        <f aca="false">IF(OR($L895="",$L895=0),"",($I895/30)/$L895)</f>
        <v/>
      </c>
      <c r="N895" s="8"/>
      <c r="O895" s="11" t="str">
        <f aca="false">IF(OR($I895="",$N895=""),"",($I895/1000)*$N895)</f>
        <v/>
      </c>
      <c r="P895" s="12" t="str">
        <f aca="false">IF($C895="","",IFERROR(ROUND(MIN(25,($N895/Instellingen!$B$3)*25)+MIN(25,($I895/Instellingen!$B$4)*25)+MIN(25,($J895/Instellingen!$B$5)*25)+MIN(25,(IF($M895="",0,$M895)/Instellingen!$B$6)*25),0),""))</f>
        <v/>
      </c>
      <c r="Q895" s="13" t="str">
        <f aca="false">IF($P895="","",IF($P895&gt;=Instellingen!$B$7,"Sterke niche",IF($P895&gt;=Instellingen!$B$8,"Belofte - opvolgen",IF($P895&gt;=Instellingen!$B$9,"Zwak - twijfel","Vermijden"))))</f>
        <v/>
      </c>
      <c r="R895" s="5"/>
      <c r="T895" s="1" t="str">
        <f aca="false">IF($C895="","",IF($P895=_xlfn.MAXIFS($P$3:$P$1000,$B$3:$B$1000,$B895),"★ Cash cow – handmatig onderzoeken",""))</f>
        <v/>
      </c>
    </row>
    <row r="896" customFormat="false" ht="14.25" hidden="false" customHeight="true" outlineLevel="0" collapsed="false">
      <c r="A896" s="4"/>
      <c r="B896" s="5"/>
      <c r="C896" s="5"/>
      <c r="D896" s="5"/>
      <c r="E896" s="6"/>
      <c r="F896" s="7"/>
      <c r="G896" s="8"/>
      <c r="H896" s="7"/>
      <c r="I896" s="7"/>
      <c r="J896" s="6"/>
      <c r="K896" s="9" t="str">
        <f aca="false">IF(OR($J896="",$J896=0),"",$I896/$J896)</f>
        <v/>
      </c>
      <c r="L896" s="9" t="str">
        <f aca="false">IF(OR($E896="",$E896=0),"",$H896/$E896)</f>
        <v/>
      </c>
      <c r="M896" s="10" t="str">
        <f aca="false">IF(OR($L896="",$L896=0),"",($I896/30)/$L896)</f>
        <v/>
      </c>
      <c r="N896" s="8"/>
      <c r="O896" s="11" t="str">
        <f aca="false">IF(OR($I896="",$N896=""),"",($I896/1000)*$N896)</f>
        <v/>
      </c>
      <c r="P896" s="12" t="str">
        <f aca="false">IF($C896="","",IFERROR(ROUND(MIN(25,($N896/Instellingen!$B$3)*25)+MIN(25,($I896/Instellingen!$B$4)*25)+MIN(25,($J896/Instellingen!$B$5)*25)+MIN(25,(IF($M896="",0,$M896)/Instellingen!$B$6)*25),0),""))</f>
        <v/>
      </c>
      <c r="Q896" s="13" t="str">
        <f aca="false">IF($P896="","",IF($P896&gt;=Instellingen!$B$7,"Sterke niche",IF($P896&gt;=Instellingen!$B$8,"Belofte - opvolgen",IF($P896&gt;=Instellingen!$B$9,"Zwak - twijfel","Vermijden"))))</f>
        <v/>
      </c>
      <c r="R896" s="5"/>
      <c r="T896" s="1" t="str">
        <f aca="false">IF($C896="","",IF($P896=_xlfn.MAXIFS($P$3:$P$1000,$B$3:$B$1000,$B896),"★ Cash cow – handmatig onderzoeken",""))</f>
        <v/>
      </c>
    </row>
    <row r="897" customFormat="false" ht="14.25" hidden="false" customHeight="true" outlineLevel="0" collapsed="false">
      <c r="A897" s="4"/>
      <c r="B897" s="5"/>
      <c r="C897" s="5"/>
      <c r="D897" s="5"/>
      <c r="E897" s="6"/>
      <c r="F897" s="7"/>
      <c r="G897" s="8"/>
      <c r="H897" s="7"/>
      <c r="I897" s="7"/>
      <c r="J897" s="6"/>
      <c r="K897" s="9" t="str">
        <f aca="false">IF(OR($J897="",$J897=0),"",$I897/$J897)</f>
        <v/>
      </c>
      <c r="L897" s="9" t="str">
        <f aca="false">IF(OR($E897="",$E897=0),"",$H897/$E897)</f>
        <v/>
      </c>
      <c r="M897" s="10" t="str">
        <f aca="false">IF(OR($L897="",$L897=0),"",($I897/30)/$L897)</f>
        <v/>
      </c>
      <c r="N897" s="8"/>
      <c r="O897" s="11" t="str">
        <f aca="false">IF(OR($I897="",$N897=""),"",($I897/1000)*$N897)</f>
        <v/>
      </c>
      <c r="P897" s="12" t="str">
        <f aca="false">IF($C897="","",IFERROR(ROUND(MIN(25,($N897/Instellingen!$B$3)*25)+MIN(25,($I897/Instellingen!$B$4)*25)+MIN(25,($J897/Instellingen!$B$5)*25)+MIN(25,(IF($M897="",0,$M897)/Instellingen!$B$6)*25),0),""))</f>
        <v/>
      </c>
      <c r="Q897" s="13" t="str">
        <f aca="false">IF($P897="","",IF($P897&gt;=Instellingen!$B$7,"Sterke niche",IF($P897&gt;=Instellingen!$B$8,"Belofte - opvolgen",IF($P897&gt;=Instellingen!$B$9,"Zwak - twijfel","Vermijden"))))</f>
        <v/>
      </c>
      <c r="R897" s="5"/>
      <c r="T897" s="1" t="str">
        <f aca="false">IF($C897="","",IF($P897=_xlfn.MAXIFS($P$3:$P$1000,$B$3:$B$1000,$B897),"★ Cash cow – handmatig onderzoeken",""))</f>
        <v/>
      </c>
    </row>
    <row r="898" customFormat="false" ht="14.25" hidden="false" customHeight="true" outlineLevel="0" collapsed="false">
      <c r="A898" s="4"/>
      <c r="B898" s="5"/>
      <c r="C898" s="5"/>
      <c r="D898" s="5"/>
      <c r="E898" s="6"/>
      <c r="F898" s="7"/>
      <c r="G898" s="8"/>
      <c r="H898" s="7"/>
      <c r="I898" s="7"/>
      <c r="J898" s="6"/>
      <c r="K898" s="9" t="str">
        <f aca="false">IF(OR($J898="",$J898=0),"",$I898/$J898)</f>
        <v/>
      </c>
      <c r="L898" s="9" t="str">
        <f aca="false">IF(OR($E898="",$E898=0),"",$H898/$E898)</f>
        <v/>
      </c>
      <c r="M898" s="10" t="str">
        <f aca="false">IF(OR($L898="",$L898=0),"",($I898/30)/$L898)</f>
        <v/>
      </c>
      <c r="N898" s="8"/>
      <c r="O898" s="11" t="str">
        <f aca="false">IF(OR($I898="",$N898=""),"",($I898/1000)*$N898)</f>
        <v/>
      </c>
      <c r="P898" s="12" t="str">
        <f aca="false">IF($C898="","",IFERROR(ROUND(MIN(25,($N898/Instellingen!$B$3)*25)+MIN(25,($I898/Instellingen!$B$4)*25)+MIN(25,($J898/Instellingen!$B$5)*25)+MIN(25,(IF($M898="",0,$M898)/Instellingen!$B$6)*25),0),""))</f>
        <v/>
      </c>
      <c r="Q898" s="13" t="str">
        <f aca="false">IF($P898="","",IF($P898&gt;=Instellingen!$B$7,"Sterke niche",IF($P898&gt;=Instellingen!$B$8,"Belofte - opvolgen",IF($P898&gt;=Instellingen!$B$9,"Zwak - twijfel","Vermijden"))))</f>
        <v/>
      </c>
      <c r="R898" s="5"/>
      <c r="T898" s="1" t="str">
        <f aca="false">IF($C898="","",IF($P898=_xlfn.MAXIFS($P$3:$P$1000,$B$3:$B$1000,$B898),"★ Cash cow – handmatig onderzoeken",""))</f>
        <v/>
      </c>
    </row>
    <row r="899" customFormat="false" ht="14.25" hidden="false" customHeight="true" outlineLevel="0" collapsed="false">
      <c r="A899" s="4"/>
      <c r="B899" s="5"/>
      <c r="C899" s="5"/>
      <c r="D899" s="5"/>
      <c r="E899" s="6"/>
      <c r="F899" s="7"/>
      <c r="G899" s="8"/>
      <c r="H899" s="7"/>
      <c r="I899" s="7"/>
      <c r="J899" s="6"/>
      <c r="K899" s="9" t="str">
        <f aca="false">IF(OR($J899="",$J899=0),"",$I899/$J899)</f>
        <v/>
      </c>
      <c r="L899" s="9" t="str">
        <f aca="false">IF(OR($E899="",$E899=0),"",$H899/$E899)</f>
        <v/>
      </c>
      <c r="M899" s="10" t="str">
        <f aca="false">IF(OR($L899="",$L899=0),"",($I899/30)/$L899)</f>
        <v/>
      </c>
      <c r="N899" s="8"/>
      <c r="O899" s="11" t="str">
        <f aca="false">IF(OR($I899="",$N899=""),"",($I899/1000)*$N899)</f>
        <v/>
      </c>
      <c r="P899" s="12" t="str">
        <f aca="false">IF($C899="","",IFERROR(ROUND(MIN(25,($N899/Instellingen!$B$3)*25)+MIN(25,($I899/Instellingen!$B$4)*25)+MIN(25,($J899/Instellingen!$B$5)*25)+MIN(25,(IF($M899="",0,$M899)/Instellingen!$B$6)*25),0),""))</f>
        <v/>
      </c>
      <c r="Q899" s="13" t="str">
        <f aca="false">IF($P899="","",IF($P899&gt;=Instellingen!$B$7,"Sterke niche",IF($P899&gt;=Instellingen!$B$8,"Belofte - opvolgen",IF($P899&gt;=Instellingen!$B$9,"Zwak - twijfel","Vermijden"))))</f>
        <v/>
      </c>
      <c r="R899" s="5"/>
      <c r="T899" s="1" t="str">
        <f aca="false">IF($C899="","",IF($P899=_xlfn.MAXIFS($P$3:$P$1000,$B$3:$B$1000,$B899),"★ Cash cow – handmatig onderzoeken",""))</f>
        <v/>
      </c>
    </row>
    <row r="900" customFormat="false" ht="14.25" hidden="false" customHeight="true" outlineLevel="0" collapsed="false">
      <c r="A900" s="4"/>
      <c r="B900" s="5"/>
      <c r="C900" s="5"/>
      <c r="D900" s="5"/>
      <c r="E900" s="6"/>
      <c r="F900" s="7"/>
      <c r="G900" s="8"/>
      <c r="H900" s="7"/>
      <c r="I900" s="7"/>
      <c r="J900" s="6"/>
      <c r="K900" s="9" t="str">
        <f aca="false">IF(OR($J900="",$J900=0),"",$I900/$J900)</f>
        <v/>
      </c>
      <c r="L900" s="9" t="str">
        <f aca="false">IF(OR($E900="",$E900=0),"",$H900/$E900)</f>
        <v/>
      </c>
      <c r="M900" s="10" t="str">
        <f aca="false">IF(OR($L900="",$L900=0),"",($I900/30)/$L900)</f>
        <v/>
      </c>
      <c r="N900" s="8"/>
      <c r="O900" s="11" t="str">
        <f aca="false">IF(OR($I900="",$N900=""),"",($I900/1000)*$N900)</f>
        <v/>
      </c>
      <c r="P900" s="12" t="str">
        <f aca="false">IF($C900="","",IFERROR(ROUND(MIN(25,($N900/Instellingen!$B$3)*25)+MIN(25,($I900/Instellingen!$B$4)*25)+MIN(25,($J900/Instellingen!$B$5)*25)+MIN(25,(IF($M900="",0,$M900)/Instellingen!$B$6)*25),0),""))</f>
        <v/>
      </c>
      <c r="Q900" s="13" t="str">
        <f aca="false">IF($P900="","",IF($P900&gt;=Instellingen!$B$7,"Sterke niche",IF($P900&gt;=Instellingen!$B$8,"Belofte - opvolgen",IF($P900&gt;=Instellingen!$B$9,"Zwak - twijfel","Vermijden"))))</f>
        <v/>
      </c>
      <c r="R900" s="5"/>
      <c r="T900" s="1" t="str">
        <f aca="false">IF($C900="","",IF($P900=_xlfn.MAXIFS($P$3:$P$1000,$B$3:$B$1000,$B900),"★ Cash cow – handmatig onderzoeken",""))</f>
        <v/>
      </c>
    </row>
    <row r="901" customFormat="false" ht="14.25" hidden="false" customHeight="true" outlineLevel="0" collapsed="false">
      <c r="A901" s="4"/>
      <c r="B901" s="5"/>
      <c r="C901" s="5"/>
      <c r="D901" s="5"/>
      <c r="E901" s="6"/>
      <c r="F901" s="7"/>
      <c r="G901" s="8"/>
      <c r="H901" s="7"/>
      <c r="I901" s="7"/>
      <c r="J901" s="6"/>
      <c r="K901" s="9" t="str">
        <f aca="false">IF(OR($J901="",$J901=0),"",$I901/$J901)</f>
        <v/>
      </c>
      <c r="L901" s="9" t="str">
        <f aca="false">IF(OR($E901="",$E901=0),"",$H901/$E901)</f>
        <v/>
      </c>
      <c r="M901" s="10" t="str">
        <f aca="false">IF(OR($L901="",$L901=0),"",($I901/30)/$L901)</f>
        <v/>
      </c>
      <c r="N901" s="8"/>
      <c r="O901" s="11" t="str">
        <f aca="false">IF(OR($I901="",$N901=""),"",($I901/1000)*$N901)</f>
        <v/>
      </c>
      <c r="P901" s="12" t="str">
        <f aca="false">IF($C901="","",IFERROR(ROUND(MIN(25,($N901/Instellingen!$B$3)*25)+MIN(25,($I901/Instellingen!$B$4)*25)+MIN(25,($J901/Instellingen!$B$5)*25)+MIN(25,(IF($M901="",0,$M901)/Instellingen!$B$6)*25),0),""))</f>
        <v/>
      </c>
      <c r="Q901" s="13" t="str">
        <f aca="false">IF($P901="","",IF($P901&gt;=Instellingen!$B$7,"Sterke niche",IF($P901&gt;=Instellingen!$B$8,"Belofte - opvolgen",IF($P901&gt;=Instellingen!$B$9,"Zwak - twijfel","Vermijden"))))</f>
        <v/>
      </c>
      <c r="R901" s="5"/>
      <c r="T901" s="1" t="str">
        <f aca="false">IF($C901="","",IF($P901=_xlfn.MAXIFS($P$3:$P$1000,$B$3:$B$1000,$B901),"★ Cash cow – handmatig onderzoeken",""))</f>
        <v/>
      </c>
    </row>
    <row r="902" customFormat="false" ht="14.25" hidden="false" customHeight="true" outlineLevel="0" collapsed="false">
      <c r="A902" s="4"/>
      <c r="B902" s="5"/>
      <c r="C902" s="5"/>
      <c r="D902" s="5"/>
      <c r="E902" s="6"/>
      <c r="F902" s="7"/>
      <c r="G902" s="8"/>
      <c r="H902" s="7"/>
      <c r="I902" s="7"/>
      <c r="J902" s="6"/>
      <c r="K902" s="9" t="str">
        <f aca="false">IF(OR($J902="",$J902=0),"",$I902/$J902)</f>
        <v/>
      </c>
      <c r="L902" s="9" t="str">
        <f aca="false">IF(OR($E902="",$E902=0),"",$H902/$E902)</f>
        <v/>
      </c>
      <c r="M902" s="10" t="str">
        <f aca="false">IF(OR($L902="",$L902=0),"",($I902/30)/$L902)</f>
        <v/>
      </c>
      <c r="N902" s="8"/>
      <c r="O902" s="11" t="str">
        <f aca="false">IF(OR($I902="",$N902=""),"",($I902/1000)*$N902)</f>
        <v/>
      </c>
      <c r="P902" s="12" t="str">
        <f aca="false">IF($C902="","",IFERROR(ROUND(MIN(25,($N902/Instellingen!$B$3)*25)+MIN(25,($I902/Instellingen!$B$4)*25)+MIN(25,($J902/Instellingen!$B$5)*25)+MIN(25,(IF($M902="",0,$M902)/Instellingen!$B$6)*25),0),""))</f>
        <v/>
      </c>
      <c r="Q902" s="13" t="str">
        <f aca="false">IF($P902="","",IF($P902&gt;=Instellingen!$B$7,"Sterke niche",IF($P902&gt;=Instellingen!$B$8,"Belofte - opvolgen",IF($P902&gt;=Instellingen!$B$9,"Zwak - twijfel","Vermijden"))))</f>
        <v/>
      </c>
      <c r="R902" s="5"/>
      <c r="T902" s="1" t="str">
        <f aca="false">IF($C902="","",IF($P902=_xlfn.MAXIFS($P$3:$P$1000,$B$3:$B$1000,$B902),"★ Cash cow – handmatig onderzoeken",""))</f>
        <v/>
      </c>
    </row>
    <row r="903" customFormat="false" ht="14.25" hidden="false" customHeight="true" outlineLevel="0" collapsed="false">
      <c r="A903" s="4"/>
      <c r="B903" s="5"/>
      <c r="C903" s="5"/>
      <c r="D903" s="5"/>
      <c r="E903" s="6"/>
      <c r="F903" s="7"/>
      <c r="G903" s="8"/>
      <c r="H903" s="7"/>
      <c r="I903" s="7"/>
      <c r="J903" s="6"/>
      <c r="K903" s="9" t="str">
        <f aca="false">IF(OR($J903="",$J903=0),"",$I903/$J903)</f>
        <v/>
      </c>
      <c r="L903" s="9" t="str">
        <f aca="false">IF(OR($E903="",$E903=0),"",$H903/$E903)</f>
        <v/>
      </c>
      <c r="M903" s="10" t="str">
        <f aca="false">IF(OR($L903="",$L903=0),"",($I903/30)/$L903)</f>
        <v/>
      </c>
      <c r="N903" s="8"/>
      <c r="O903" s="11" t="str">
        <f aca="false">IF(OR($I903="",$N903=""),"",($I903/1000)*$N903)</f>
        <v/>
      </c>
      <c r="P903" s="12" t="str">
        <f aca="false">IF($C903="","",IFERROR(ROUND(MIN(25,($N903/Instellingen!$B$3)*25)+MIN(25,($I903/Instellingen!$B$4)*25)+MIN(25,($J903/Instellingen!$B$5)*25)+MIN(25,(IF($M903="",0,$M903)/Instellingen!$B$6)*25),0),""))</f>
        <v/>
      </c>
      <c r="Q903" s="13" t="str">
        <f aca="false">IF($P903="","",IF($P903&gt;=Instellingen!$B$7,"Sterke niche",IF($P903&gt;=Instellingen!$B$8,"Belofte - opvolgen",IF($P903&gt;=Instellingen!$B$9,"Zwak - twijfel","Vermijden"))))</f>
        <v/>
      </c>
      <c r="R903" s="5"/>
      <c r="T903" s="1" t="str">
        <f aca="false">IF($C903="","",IF($P903=_xlfn.MAXIFS($P$3:$P$1000,$B$3:$B$1000,$B903),"★ Cash cow – handmatig onderzoeken",""))</f>
        <v/>
      </c>
    </row>
    <row r="904" customFormat="false" ht="14.25" hidden="false" customHeight="true" outlineLevel="0" collapsed="false">
      <c r="A904" s="4"/>
      <c r="B904" s="5"/>
      <c r="C904" s="5"/>
      <c r="D904" s="5"/>
      <c r="E904" s="6"/>
      <c r="F904" s="7"/>
      <c r="G904" s="8"/>
      <c r="H904" s="7"/>
      <c r="I904" s="7"/>
      <c r="J904" s="6"/>
      <c r="K904" s="9" t="str">
        <f aca="false">IF(OR($J904="",$J904=0),"",$I904/$J904)</f>
        <v/>
      </c>
      <c r="L904" s="9" t="str">
        <f aca="false">IF(OR($E904="",$E904=0),"",$H904/$E904)</f>
        <v/>
      </c>
      <c r="M904" s="10" t="str">
        <f aca="false">IF(OR($L904="",$L904=0),"",($I904/30)/$L904)</f>
        <v/>
      </c>
      <c r="N904" s="8"/>
      <c r="O904" s="11" t="str">
        <f aca="false">IF(OR($I904="",$N904=""),"",($I904/1000)*$N904)</f>
        <v/>
      </c>
      <c r="P904" s="12" t="str">
        <f aca="false">IF($C904="","",IFERROR(ROUND(MIN(25,($N904/Instellingen!$B$3)*25)+MIN(25,($I904/Instellingen!$B$4)*25)+MIN(25,($J904/Instellingen!$B$5)*25)+MIN(25,(IF($M904="",0,$M904)/Instellingen!$B$6)*25),0),""))</f>
        <v/>
      </c>
      <c r="Q904" s="13" t="str">
        <f aca="false">IF($P904="","",IF($P904&gt;=Instellingen!$B$7,"Sterke niche",IF($P904&gt;=Instellingen!$B$8,"Belofte - opvolgen",IF($P904&gt;=Instellingen!$B$9,"Zwak - twijfel","Vermijden"))))</f>
        <v/>
      </c>
      <c r="R904" s="5"/>
      <c r="T904" s="1" t="str">
        <f aca="false">IF($C904="","",IF($P904=_xlfn.MAXIFS($P$3:$P$1000,$B$3:$B$1000,$B904),"★ Cash cow – handmatig onderzoeken",""))</f>
        <v/>
      </c>
    </row>
    <row r="905" customFormat="false" ht="14.25" hidden="false" customHeight="true" outlineLevel="0" collapsed="false">
      <c r="A905" s="4"/>
      <c r="B905" s="5"/>
      <c r="C905" s="5"/>
      <c r="D905" s="5"/>
      <c r="E905" s="6"/>
      <c r="F905" s="7"/>
      <c r="G905" s="8"/>
      <c r="H905" s="7"/>
      <c r="I905" s="7"/>
      <c r="J905" s="6"/>
      <c r="K905" s="9" t="str">
        <f aca="false">IF(OR($J905="",$J905=0),"",$I905/$J905)</f>
        <v/>
      </c>
      <c r="L905" s="9" t="str">
        <f aca="false">IF(OR($E905="",$E905=0),"",$H905/$E905)</f>
        <v/>
      </c>
      <c r="M905" s="10" t="str">
        <f aca="false">IF(OR($L905="",$L905=0),"",($I905/30)/$L905)</f>
        <v/>
      </c>
      <c r="N905" s="8"/>
      <c r="O905" s="11" t="str">
        <f aca="false">IF(OR($I905="",$N905=""),"",($I905/1000)*$N905)</f>
        <v/>
      </c>
      <c r="P905" s="12" t="str">
        <f aca="false">IF($C905="","",IFERROR(ROUND(MIN(25,($N905/Instellingen!$B$3)*25)+MIN(25,($I905/Instellingen!$B$4)*25)+MIN(25,($J905/Instellingen!$B$5)*25)+MIN(25,(IF($M905="",0,$M905)/Instellingen!$B$6)*25),0),""))</f>
        <v/>
      </c>
      <c r="Q905" s="13" t="str">
        <f aca="false">IF($P905="","",IF($P905&gt;=Instellingen!$B$7,"Sterke niche",IF($P905&gt;=Instellingen!$B$8,"Belofte - opvolgen",IF($P905&gt;=Instellingen!$B$9,"Zwak - twijfel","Vermijden"))))</f>
        <v/>
      </c>
      <c r="R905" s="5"/>
      <c r="T905" s="1" t="str">
        <f aca="false">IF($C905="","",IF($P905=_xlfn.MAXIFS($P$3:$P$1000,$B$3:$B$1000,$B905),"★ Cash cow – handmatig onderzoeken",""))</f>
        <v/>
      </c>
    </row>
    <row r="906" customFormat="false" ht="14.25" hidden="false" customHeight="true" outlineLevel="0" collapsed="false">
      <c r="A906" s="4"/>
      <c r="B906" s="5"/>
      <c r="C906" s="5"/>
      <c r="D906" s="5"/>
      <c r="E906" s="6"/>
      <c r="F906" s="7"/>
      <c r="G906" s="8"/>
      <c r="H906" s="7"/>
      <c r="I906" s="7"/>
      <c r="J906" s="6"/>
      <c r="K906" s="9" t="str">
        <f aca="false">IF(OR($J906="",$J906=0),"",$I906/$J906)</f>
        <v/>
      </c>
      <c r="L906" s="9" t="str">
        <f aca="false">IF(OR($E906="",$E906=0),"",$H906/$E906)</f>
        <v/>
      </c>
      <c r="M906" s="10" t="str">
        <f aca="false">IF(OR($L906="",$L906=0),"",($I906/30)/$L906)</f>
        <v/>
      </c>
      <c r="N906" s="8"/>
      <c r="O906" s="11" t="str">
        <f aca="false">IF(OR($I906="",$N906=""),"",($I906/1000)*$N906)</f>
        <v/>
      </c>
      <c r="P906" s="12" t="str">
        <f aca="false">IF($C906="","",IFERROR(ROUND(MIN(25,($N906/Instellingen!$B$3)*25)+MIN(25,($I906/Instellingen!$B$4)*25)+MIN(25,($J906/Instellingen!$B$5)*25)+MIN(25,(IF($M906="",0,$M906)/Instellingen!$B$6)*25),0),""))</f>
        <v/>
      </c>
      <c r="Q906" s="13" t="str">
        <f aca="false">IF($P906="","",IF($P906&gt;=Instellingen!$B$7,"Sterke niche",IF($P906&gt;=Instellingen!$B$8,"Belofte - opvolgen",IF($P906&gt;=Instellingen!$B$9,"Zwak - twijfel","Vermijden"))))</f>
        <v/>
      </c>
      <c r="R906" s="5"/>
      <c r="T906" s="1" t="str">
        <f aca="false">IF($C906="","",IF($P906=_xlfn.MAXIFS($P$3:$P$1000,$B$3:$B$1000,$B906),"★ Cash cow – handmatig onderzoeken",""))</f>
        <v/>
      </c>
    </row>
    <row r="907" customFormat="false" ht="14.25" hidden="false" customHeight="true" outlineLevel="0" collapsed="false">
      <c r="A907" s="4"/>
      <c r="B907" s="5"/>
      <c r="C907" s="5"/>
      <c r="D907" s="5"/>
      <c r="E907" s="6"/>
      <c r="F907" s="7"/>
      <c r="G907" s="8"/>
      <c r="H907" s="7"/>
      <c r="I907" s="7"/>
      <c r="J907" s="6"/>
      <c r="K907" s="9" t="str">
        <f aca="false">IF(OR($J907="",$J907=0),"",$I907/$J907)</f>
        <v/>
      </c>
      <c r="L907" s="9" t="str">
        <f aca="false">IF(OR($E907="",$E907=0),"",$H907/$E907)</f>
        <v/>
      </c>
      <c r="M907" s="10" t="str">
        <f aca="false">IF(OR($L907="",$L907=0),"",($I907/30)/$L907)</f>
        <v/>
      </c>
      <c r="N907" s="8"/>
      <c r="O907" s="11" t="str">
        <f aca="false">IF(OR($I907="",$N907=""),"",($I907/1000)*$N907)</f>
        <v/>
      </c>
      <c r="P907" s="12" t="str">
        <f aca="false">IF($C907="","",IFERROR(ROUND(MIN(25,($N907/Instellingen!$B$3)*25)+MIN(25,($I907/Instellingen!$B$4)*25)+MIN(25,($J907/Instellingen!$B$5)*25)+MIN(25,(IF($M907="",0,$M907)/Instellingen!$B$6)*25),0),""))</f>
        <v/>
      </c>
      <c r="Q907" s="13" t="str">
        <f aca="false">IF($P907="","",IF($P907&gt;=Instellingen!$B$7,"Sterke niche",IF($P907&gt;=Instellingen!$B$8,"Belofte - opvolgen",IF($P907&gt;=Instellingen!$B$9,"Zwak - twijfel","Vermijden"))))</f>
        <v/>
      </c>
      <c r="R907" s="5"/>
      <c r="T907" s="1" t="str">
        <f aca="false">IF($C907="","",IF($P907=_xlfn.MAXIFS($P$3:$P$1000,$B$3:$B$1000,$B907),"★ Cash cow – handmatig onderzoeken",""))</f>
        <v/>
      </c>
    </row>
    <row r="908" customFormat="false" ht="14.25" hidden="false" customHeight="true" outlineLevel="0" collapsed="false">
      <c r="A908" s="4"/>
      <c r="B908" s="5"/>
      <c r="C908" s="5"/>
      <c r="D908" s="5"/>
      <c r="E908" s="6"/>
      <c r="F908" s="7"/>
      <c r="G908" s="8"/>
      <c r="H908" s="7"/>
      <c r="I908" s="7"/>
      <c r="J908" s="6"/>
      <c r="K908" s="9" t="str">
        <f aca="false">IF(OR($J908="",$J908=0),"",$I908/$J908)</f>
        <v/>
      </c>
      <c r="L908" s="9" t="str">
        <f aca="false">IF(OR($E908="",$E908=0),"",$H908/$E908)</f>
        <v/>
      </c>
      <c r="M908" s="10" t="str">
        <f aca="false">IF(OR($L908="",$L908=0),"",($I908/30)/$L908)</f>
        <v/>
      </c>
      <c r="N908" s="8"/>
      <c r="O908" s="11" t="str">
        <f aca="false">IF(OR($I908="",$N908=""),"",($I908/1000)*$N908)</f>
        <v/>
      </c>
      <c r="P908" s="12" t="str">
        <f aca="false">IF($C908="","",IFERROR(ROUND(MIN(25,($N908/Instellingen!$B$3)*25)+MIN(25,($I908/Instellingen!$B$4)*25)+MIN(25,($J908/Instellingen!$B$5)*25)+MIN(25,(IF($M908="",0,$M908)/Instellingen!$B$6)*25),0),""))</f>
        <v/>
      </c>
      <c r="Q908" s="13" t="str">
        <f aca="false">IF($P908="","",IF($P908&gt;=Instellingen!$B$7,"Sterke niche",IF($P908&gt;=Instellingen!$B$8,"Belofte - opvolgen",IF($P908&gt;=Instellingen!$B$9,"Zwak - twijfel","Vermijden"))))</f>
        <v/>
      </c>
      <c r="R908" s="5"/>
      <c r="T908" s="1" t="str">
        <f aca="false">IF($C908="","",IF($P908=_xlfn.MAXIFS($P$3:$P$1000,$B$3:$B$1000,$B908),"★ Cash cow – handmatig onderzoeken",""))</f>
        <v/>
      </c>
    </row>
    <row r="909" customFormat="false" ht="14.25" hidden="false" customHeight="true" outlineLevel="0" collapsed="false">
      <c r="A909" s="4"/>
      <c r="B909" s="5"/>
      <c r="C909" s="5"/>
      <c r="D909" s="5"/>
      <c r="E909" s="6"/>
      <c r="F909" s="7"/>
      <c r="G909" s="8"/>
      <c r="H909" s="7"/>
      <c r="I909" s="7"/>
      <c r="J909" s="6"/>
      <c r="K909" s="9" t="str">
        <f aca="false">IF(OR($J909="",$J909=0),"",$I909/$J909)</f>
        <v/>
      </c>
      <c r="L909" s="9" t="str">
        <f aca="false">IF(OR($E909="",$E909=0),"",$H909/$E909)</f>
        <v/>
      </c>
      <c r="M909" s="10" t="str">
        <f aca="false">IF(OR($L909="",$L909=0),"",($I909/30)/$L909)</f>
        <v/>
      </c>
      <c r="N909" s="8"/>
      <c r="O909" s="11" t="str">
        <f aca="false">IF(OR($I909="",$N909=""),"",($I909/1000)*$N909)</f>
        <v/>
      </c>
      <c r="P909" s="12" t="str">
        <f aca="false">IF($C909="","",IFERROR(ROUND(MIN(25,($N909/Instellingen!$B$3)*25)+MIN(25,($I909/Instellingen!$B$4)*25)+MIN(25,($J909/Instellingen!$B$5)*25)+MIN(25,(IF($M909="",0,$M909)/Instellingen!$B$6)*25),0),""))</f>
        <v/>
      </c>
      <c r="Q909" s="13" t="str">
        <f aca="false">IF($P909="","",IF($P909&gt;=Instellingen!$B$7,"Sterke niche",IF($P909&gt;=Instellingen!$B$8,"Belofte - opvolgen",IF($P909&gt;=Instellingen!$B$9,"Zwak - twijfel","Vermijden"))))</f>
        <v/>
      </c>
      <c r="R909" s="5"/>
      <c r="T909" s="1" t="str">
        <f aca="false">IF($C909="","",IF($P909=_xlfn.MAXIFS($P$3:$P$1000,$B$3:$B$1000,$B909),"★ Cash cow – handmatig onderzoeken",""))</f>
        <v/>
      </c>
    </row>
    <row r="910" customFormat="false" ht="14.25" hidden="false" customHeight="true" outlineLevel="0" collapsed="false">
      <c r="A910" s="4"/>
      <c r="B910" s="5"/>
      <c r="C910" s="5"/>
      <c r="D910" s="5"/>
      <c r="E910" s="6"/>
      <c r="F910" s="7"/>
      <c r="G910" s="8"/>
      <c r="H910" s="7"/>
      <c r="I910" s="7"/>
      <c r="J910" s="6"/>
      <c r="K910" s="9" t="str">
        <f aca="false">IF(OR($J910="",$J910=0),"",$I910/$J910)</f>
        <v/>
      </c>
      <c r="L910" s="9" t="str">
        <f aca="false">IF(OR($E910="",$E910=0),"",$H910/$E910)</f>
        <v/>
      </c>
      <c r="M910" s="10" t="str">
        <f aca="false">IF(OR($L910="",$L910=0),"",($I910/30)/$L910)</f>
        <v/>
      </c>
      <c r="N910" s="8"/>
      <c r="O910" s="11" t="str">
        <f aca="false">IF(OR($I910="",$N910=""),"",($I910/1000)*$N910)</f>
        <v/>
      </c>
      <c r="P910" s="12" t="str">
        <f aca="false">IF($C910="","",IFERROR(ROUND(MIN(25,($N910/Instellingen!$B$3)*25)+MIN(25,($I910/Instellingen!$B$4)*25)+MIN(25,($J910/Instellingen!$B$5)*25)+MIN(25,(IF($M910="",0,$M910)/Instellingen!$B$6)*25),0),""))</f>
        <v/>
      </c>
      <c r="Q910" s="13" t="str">
        <f aca="false">IF($P910="","",IF($P910&gt;=Instellingen!$B$7,"Sterke niche",IF($P910&gt;=Instellingen!$B$8,"Belofte - opvolgen",IF($P910&gt;=Instellingen!$B$9,"Zwak - twijfel","Vermijden"))))</f>
        <v/>
      </c>
      <c r="R910" s="5"/>
      <c r="T910" s="1" t="str">
        <f aca="false">IF($C910="","",IF($P910=_xlfn.MAXIFS($P$3:$P$1000,$B$3:$B$1000,$B910),"★ Cash cow – handmatig onderzoeken",""))</f>
        <v/>
      </c>
    </row>
    <row r="911" customFormat="false" ht="14.25" hidden="false" customHeight="true" outlineLevel="0" collapsed="false">
      <c r="A911" s="4"/>
      <c r="B911" s="5"/>
      <c r="C911" s="5"/>
      <c r="D911" s="5"/>
      <c r="E911" s="6"/>
      <c r="F911" s="7"/>
      <c r="G911" s="8"/>
      <c r="H911" s="7"/>
      <c r="I911" s="7"/>
      <c r="J911" s="6"/>
      <c r="K911" s="9" t="str">
        <f aca="false">IF(OR($J911="",$J911=0),"",$I911/$J911)</f>
        <v/>
      </c>
      <c r="L911" s="9" t="str">
        <f aca="false">IF(OR($E911="",$E911=0),"",$H911/$E911)</f>
        <v/>
      </c>
      <c r="M911" s="10" t="str">
        <f aca="false">IF(OR($L911="",$L911=0),"",($I911/30)/$L911)</f>
        <v/>
      </c>
      <c r="N911" s="8"/>
      <c r="O911" s="11" t="str">
        <f aca="false">IF(OR($I911="",$N911=""),"",($I911/1000)*$N911)</f>
        <v/>
      </c>
      <c r="P911" s="12" t="str">
        <f aca="false">IF($C911="","",IFERROR(ROUND(MIN(25,($N911/Instellingen!$B$3)*25)+MIN(25,($I911/Instellingen!$B$4)*25)+MIN(25,($J911/Instellingen!$B$5)*25)+MIN(25,(IF($M911="",0,$M911)/Instellingen!$B$6)*25),0),""))</f>
        <v/>
      </c>
      <c r="Q911" s="13" t="str">
        <f aca="false">IF($P911="","",IF($P911&gt;=Instellingen!$B$7,"Sterke niche",IF($P911&gt;=Instellingen!$B$8,"Belofte - opvolgen",IF($P911&gt;=Instellingen!$B$9,"Zwak - twijfel","Vermijden"))))</f>
        <v/>
      </c>
      <c r="R911" s="5"/>
      <c r="T911" s="1" t="str">
        <f aca="false">IF($C911="","",IF($P911=_xlfn.MAXIFS($P$3:$P$1000,$B$3:$B$1000,$B911),"★ Cash cow – handmatig onderzoeken",""))</f>
        <v/>
      </c>
    </row>
    <row r="912" customFormat="false" ht="14.25" hidden="false" customHeight="true" outlineLevel="0" collapsed="false">
      <c r="A912" s="4"/>
      <c r="B912" s="5"/>
      <c r="C912" s="5"/>
      <c r="D912" s="5"/>
      <c r="E912" s="6"/>
      <c r="F912" s="7"/>
      <c r="G912" s="8"/>
      <c r="H912" s="7"/>
      <c r="I912" s="7"/>
      <c r="J912" s="6"/>
      <c r="K912" s="9" t="str">
        <f aca="false">IF(OR($J912="",$J912=0),"",$I912/$J912)</f>
        <v/>
      </c>
      <c r="L912" s="9" t="str">
        <f aca="false">IF(OR($E912="",$E912=0),"",$H912/$E912)</f>
        <v/>
      </c>
      <c r="M912" s="10" t="str">
        <f aca="false">IF(OR($L912="",$L912=0),"",($I912/30)/$L912)</f>
        <v/>
      </c>
      <c r="N912" s="8"/>
      <c r="O912" s="11" t="str">
        <f aca="false">IF(OR($I912="",$N912=""),"",($I912/1000)*$N912)</f>
        <v/>
      </c>
      <c r="P912" s="12" t="str">
        <f aca="false">IF($C912="","",IFERROR(ROUND(MIN(25,($N912/Instellingen!$B$3)*25)+MIN(25,($I912/Instellingen!$B$4)*25)+MIN(25,($J912/Instellingen!$B$5)*25)+MIN(25,(IF($M912="",0,$M912)/Instellingen!$B$6)*25),0),""))</f>
        <v/>
      </c>
      <c r="Q912" s="13" t="str">
        <f aca="false">IF($P912="","",IF($P912&gt;=Instellingen!$B$7,"Sterke niche",IF($P912&gt;=Instellingen!$B$8,"Belofte - opvolgen",IF($P912&gt;=Instellingen!$B$9,"Zwak - twijfel","Vermijden"))))</f>
        <v/>
      </c>
      <c r="R912" s="5"/>
      <c r="T912" s="1" t="str">
        <f aca="false">IF($C912="","",IF($P912=_xlfn.MAXIFS($P$3:$P$1000,$B$3:$B$1000,$B912),"★ Cash cow – handmatig onderzoeken",""))</f>
        <v/>
      </c>
    </row>
    <row r="913" customFormat="false" ht="14.25" hidden="false" customHeight="true" outlineLevel="0" collapsed="false">
      <c r="A913" s="4"/>
      <c r="B913" s="5"/>
      <c r="C913" s="5"/>
      <c r="D913" s="5"/>
      <c r="E913" s="6"/>
      <c r="F913" s="7"/>
      <c r="G913" s="8"/>
      <c r="H913" s="7"/>
      <c r="I913" s="7"/>
      <c r="J913" s="6"/>
      <c r="K913" s="9" t="str">
        <f aca="false">IF(OR($J913="",$J913=0),"",$I913/$J913)</f>
        <v/>
      </c>
      <c r="L913" s="9" t="str">
        <f aca="false">IF(OR($E913="",$E913=0),"",$H913/$E913)</f>
        <v/>
      </c>
      <c r="M913" s="10" t="str">
        <f aca="false">IF(OR($L913="",$L913=0),"",($I913/30)/$L913)</f>
        <v/>
      </c>
      <c r="N913" s="8"/>
      <c r="O913" s="11" t="str">
        <f aca="false">IF(OR($I913="",$N913=""),"",($I913/1000)*$N913)</f>
        <v/>
      </c>
      <c r="P913" s="12" t="str">
        <f aca="false">IF($C913="","",IFERROR(ROUND(MIN(25,($N913/Instellingen!$B$3)*25)+MIN(25,($I913/Instellingen!$B$4)*25)+MIN(25,($J913/Instellingen!$B$5)*25)+MIN(25,(IF($M913="",0,$M913)/Instellingen!$B$6)*25),0),""))</f>
        <v/>
      </c>
      <c r="Q913" s="13" t="str">
        <f aca="false">IF($P913="","",IF($P913&gt;=Instellingen!$B$7,"Sterke niche",IF($P913&gt;=Instellingen!$B$8,"Belofte - opvolgen",IF($P913&gt;=Instellingen!$B$9,"Zwak - twijfel","Vermijden"))))</f>
        <v/>
      </c>
      <c r="R913" s="5"/>
      <c r="T913" s="1" t="str">
        <f aca="false">IF($C913="","",IF($P913=_xlfn.MAXIFS($P$3:$P$1000,$B$3:$B$1000,$B913),"★ Cash cow – handmatig onderzoeken",""))</f>
        <v/>
      </c>
    </row>
    <row r="914" customFormat="false" ht="14.25" hidden="false" customHeight="true" outlineLevel="0" collapsed="false">
      <c r="A914" s="4"/>
      <c r="B914" s="5"/>
      <c r="C914" s="5"/>
      <c r="D914" s="5"/>
      <c r="E914" s="6"/>
      <c r="F914" s="7"/>
      <c r="G914" s="8"/>
      <c r="H914" s="7"/>
      <c r="I914" s="7"/>
      <c r="J914" s="6"/>
      <c r="K914" s="9" t="str">
        <f aca="false">IF(OR($J914="",$J914=0),"",$I914/$J914)</f>
        <v/>
      </c>
      <c r="L914" s="9" t="str">
        <f aca="false">IF(OR($E914="",$E914=0),"",$H914/$E914)</f>
        <v/>
      </c>
      <c r="M914" s="10" t="str">
        <f aca="false">IF(OR($L914="",$L914=0),"",($I914/30)/$L914)</f>
        <v/>
      </c>
      <c r="N914" s="8"/>
      <c r="O914" s="11" t="str">
        <f aca="false">IF(OR($I914="",$N914=""),"",($I914/1000)*$N914)</f>
        <v/>
      </c>
      <c r="P914" s="12" t="str">
        <f aca="false">IF($C914="","",IFERROR(ROUND(MIN(25,($N914/Instellingen!$B$3)*25)+MIN(25,($I914/Instellingen!$B$4)*25)+MIN(25,($J914/Instellingen!$B$5)*25)+MIN(25,(IF($M914="",0,$M914)/Instellingen!$B$6)*25),0),""))</f>
        <v/>
      </c>
      <c r="Q914" s="13" t="str">
        <f aca="false">IF($P914="","",IF($P914&gt;=Instellingen!$B$7,"Sterke niche",IF($P914&gt;=Instellingen!$B$8,"Belofte - opvolgen",IF($P914&gt;=Instellingen!$B$9,"Zwak - twijfel","Vermijden"))))</f>
        <v/>
      </c>
      <c r="R914" s="5"/>
      <c r="T914" s="1" t="str">
        <f aca="false">IF($C914="","",IF($P914=_xlfn.MAXIFS($P$3:$P$1000,$B$3:$B$1000,$B914),"★ Cash cow – handmatig onderzoeken",""))</f>
        <v/>
      </c>
    </row>
    <row r="915" customFormat="false" ht="14.25" hidden="false" customHeight="true" outlineLevel="0" collapsed="false">
      <c r="A915" s="4"/>
      <c r="B915" s="5"/>
      <c r="C915" s="5"/>
      <c r="D915" s="5"/>
      <c r="E915" s="6"/>
      <c r="F915" s="7"/>
      <c r="G915" s="8"/>
      <c r="H915" s="7"/>
      <c r="I915" s="7"/>
      <c r="J915" s="6"/>
      <c r="K915" s="9" t="str">
        <f aca="false">IF(OR($J915="",$J915=0),"",$I915/$J915)</f>
        <v/>
      </c>
      <c r="L915" s="9" t="str">
        <f aca="false">IF(OR($E915="",$E915=0),"",$H915/$E915)</f>
        <v/>
      </c>
      <c r="M915" s="10" t="str">
        <f aca="false">IF(OR($L915="",$L915=0),"",($I915/30)/$L915)</f>
        <v/>
      </c>
      <c r="N915" s="8"/>
      <c r="O915" s="11" t="str">
        <f aca="false">IF(OR($I915="",$N915=""),"",($I915/1000)*$N915)</f>
        <v/>
      </c>
      <c r="P915" s="12" t="str">
        <f aca="false">IF($C915="","",IFERROR(ROUND(MIN(25,($N915/Instellingen!$B$3)*25)+MIN(25,($I915/Instellingen!$B$4)*25)+MIN(25,($J915/Instellingen!$B$5)*25)+MIN(25,(IF($M915="",0,$M915)/Instellingen!$B$6)*25),0),""))</f>
        <v/>
      </c>
      <c r="Q915" s="13" t="str">
        <f aca="false">IF($P915="","",IF($P915&gt;=Instellingen!$B$7,"Sterke niche",IF($P915&gt;=Instellingen!$B$8,"Belofte - opvolgen",IF($P915&gt;=Instellingen!$B$9,"Zwak - twijfel","Vermijden"))))</f>
        <v/>
      </c>
      <c r="R915" s="5"/>
      <c r="T915" s="1" t="str">
        <f aca="false">IF($C915="","",IF($P915=_xlfn.MAXIFS($P$3:$P$1000,$B$3:$B$1000,$B915),"★ Cash cow – handmatig onderzoeken",""))</f>
        <v/>
      </c>
    </row>
    <row r="916" customFormat="false" ht="14.25" hidden="false" customHeight="true" outlineLevel="0" collapsed="false">
      <c r="A916" s="4"/>
      <c r="B916" s="5"/>
      <c r="C916" s="5"/>
      <c r="D916" s="5"/>
      <c r="E916" s="6"/>
      <c r="F916" s="7"/>
      <c r="G916" s="8"/>
      <c r="H916" s="7"/>
      <c r="I916" s="7"/>
      <c r="J916" s="6"/>
      <c r="K916" s="9" t="str">
        <f aca="false">IF(OR($J916="",$J916=0),"",$I916/$J916)</f>
        <v/>
      </c>
      <c r="L916" s="9" t="str">
        <f aca="false">IF(OR($E916="",$E916=0),"",$H916/$E916)</f>
        <v/>
      </c>
      <c r="M916" s="10" t="str">
        <f aca="false">IF(OR($L916="",$L916=0),"",($I916/30)/$L916)</f>
        <v/>
      </c>
      <c r="N916" s="8"/>
      <c r="O916" s="11" t="str">
        <f aca="false">IF(OR($I916="",$N916=""),"",($I916/1000)*$N916)</f>
        <v/>
      </c>
      <c r="P916" s="12" t="str">
        <f aca="false">IF($C916="","",IFERROR(ROUND(MIN(25,($N916/Instellingen!$B$3)*25)+MIN(25,($I916/Instellingen!$B$4)*25)+MIN(25,($J916/Instellingen!$B$5)*25)+MIN(25,(IF($M916="",0,$M916)/Instellingen!$B$6)*25),0),""))</f>
        <v/>
      </c>
      <c r="Q916" s="13" t="str">
        <f aca="false">IF($P916="","",IF($P916&gt;=Instellingen!$B$7,"Sterke niche",IF($P916&gt;=Instellingen!$B$8,"Belofte - opvolgen",IF($P916&gt;=Instellingen!$B$9,"Zwak - twijfel","Vermijden"))))</f>
        <v/>
      </c>
      <c r="R916" s="5"/>
      <c r="T916" s="1" t="str">
        <f aca="false">IF($C916="","",IF($P916=_xlfn.MAXIFS($P$3:$P$1000,$B$3:$B$1000,$B916),"★ Cash cow – handmatig onderzoeken",""))</f>
        <v/>
      </c>
    </row>
    <row r="917" customFormat="false" ht="14.25" hidden="false" customHeight="true" outlineLevel="0" collapsed="false">
      <c r="A917" s="4"/>
      <c r="B917" s="5"/>
      <c r="C917" s="5"/>
      <c r="D917" s="5"/>
      <c r="E917" s="6"/>
      <c r="F917" s="7"/>
      <c r="G917" s="8"/>
      <c r="H917" s="7"/>
      <c r="I917" s="7"/>
      <c r="J917" s="6"/>
      <c r="K917" s="9" t="str">
        <f aca="false">IF(OR($J917="",$J917=0),"",$I917/$J917)</f>
        <v/>
      </c>
      <c r="L917" s="9" t="str">
        <f aca="false">IF(OR($E917="",$E917=0),"",$H917/$E917)</f>
        <v/>
      </c>
      <c r="M917" s="10" t="str">
        <f aca="false">IF(OR($L917="",$L917=0),"",($I917/30)/$L917)</f>
        <v/>
      </c>
      <c r="N917" s="8"/>
      <c r="O917" s="11" t="str">
        <f aca="false">IF(OR($I917="",$N917=""),"",($I917/1000)*$N917)</f>
        <v/>
      </c>
      <c r="P917" s="12" t="str">
        <f aca="false">IF($C917="","",IFERROR(ROUND(MIN(25,($N917/Instellingen!$B$3)*25)+MIN(25,($I917/Instellingen!$B$4)*25)+MIN(25,($J917/Instellingen!$B$5)*25)+MIN(25,(IF($M917="",0,$M917)/Instellingen!$B$6)*25),0),""))</f>
        <v/>
      </c>
      <c r="Q917" s="13" t="str">
        <f aca="false">IF($P917="","",IF($P917&gt;=Instellingen!$B$7,"Sterke niche",IF($P917&gt;=Instellingen!$B$8,"Belofte - opvolgen",IF($P917&gt;=Instellingen!$B$9,"Zwak - twijfel","Vermijden"))))</f>
        <v/>
      </c>
      <c r="R917" s="5"/>
      <c r="T917" s="1" t="str">
        <f aca="false">IF($C917="","",IF($P917=_xlfn.MAXIFS($P$3:$P$1000,$B$3:$B$1000,$B917),"★ Cash cow – handmatig onderzoeken",""))</f>
        <v/>
      </c>
    </row>
    <row r="918" customFormat="false" ht="14.25" hidden="false" customHeight="true" outlineLevel="0" collapsed="false">
      <c r="A918" s="4"/>
      <c r="B918" s="5"/>
      <c r="C918" s="5"/>
      <c r="D918" s="5"/>
      <c r="E918" s="6"/>
      <c r="F918" s="7"/>
      <c r="G918" s="8"/>
      <c r="H918" s="7"/>
      <c r="I918" s="7"/>
      <c r="J918" s="6"/>
      <c r="K918" s="9" t="str">
        <f aca="false">IF(OR($J918="",$J918=0),"",$I918/$J918)</f>
        <v/>
      </c>
      <c r="L918" s="9" t="str">
        <f aca="false">IF(OR($E918="",$E918=0),"",$H918/$E918)</f>
        <v/>
      </c>
      <c r="M918" s="10" t="str">
        <f aca="false">IF(OR($L918="",$L918=0),"",($I918/30)/$L918)</f>
        <v/>
      </c>
      <c r="N918" s="8"/>
      <c r="O918" s="11" t="str">
        <f aca="false">IF(OR($I918="",$N918=""),"",($I918/1000)*$N918)</f>
        <v/>
      </c>
      <c r="P918" s="12" t="str">
        <f aca="false">IF($C918="","",IFERROR(ROUND(MIN(25,($N918/Instellingen!$B$3)*25)+MIN(25,($I918/Instellingen!$B$4)*25)+MIN(25,($J918/Instellingen!$B$5)*25)+MIN(25,(IF($M918="",0,$M918)/Instellingen!$B$6)*25),0),""))</f>
        <v/>
      </c>
      <c r="Q918" s="13" t="str">
        <f aca="false">IF($P918="","",IF($P918&gt;=Instellingen!$B$7,"Sterke niche",IF($P918&gt;=Instellingen!$B$8,"Belofte - opvolgen",IF($P918&gt;=Instellingen!$B$9,"Zwak - twijfel","Vermijden"))))</f>
        <v/>
      </c>
      <c r="R918" s="5"/>
      <c r="T918" s="1" t="str">
        <f aca="false">IF($C918="","",IF($P918=_xlfn.MAXIFS($P$3:$P$1000,$B$3:$B$1000,$B918),"★ Cash cow – handmatig onderzoeken",""))</f>
        <v/>
      </c>
    </row>
    <row r="919" customFormat="false" ht="14.25" hidden="false" customHeight="true" outlineLevel="0" collapsed="false">
      <c r="A919" s="4"/>
      <c r="B919" s="5"/>
      <c r="C919" s="5"/>
      <c r="D919" s="5"/>
      <c r="E919" s="6"/>
      <c r="F919" s="7"/>
      <c r="G919" s="8"/>
      <c r="H919" s="7"/>
      <c r="I919" s="7"/>
      <c r="J919" s="6"/>
      <c r="K919" s="9" t="str">
        <f aca="false">IF(OR($J919="",$J919=0),"",$I919/$J919)</f>
        <v/>
      </c>
      <c r="L919" s="9" t="str">
        <f aca="false">IF(OR($E919="",$E919=0),"",$H919/$E919)</f>
        <v/>
      </c>
      <c r="M919" s="10" t="str">
        <f aca="false">IF(OR($L919="",$L919=0),"",($I919/30)/$L919)</f>
        <v/>
      </c>
      <c r="N919" s="8"/>
      <c r="O919" s="11" t="str">
        <f aca="false">IF(OR($I919="",$N919=""),"",($I919/1000)*$N919)</f>
        <v/>
      </c>
      <c r="P919" s="12" t="str">
        <f aca="false">IF($C919="","",IFERROR(ROUND(MIN(25,($N919/Instellingen!$B$3)*25)+MIN(25,($I919/Instellingen!$B$4)*25)+MIN(25,($J919/Instellingen!$B$5)*25)+MIN(25,(IF($M919="",0,$M919)/Instellingen!$B$6)*25),0),""))</f>
        <v/>
      </c>
      <c r="Q919" s="13" t="str">
        <f aca="false">IF($P919="","",IF($P919&gt;=Instellingen!$B$7,"Sterke niche",IF($P919&gt;=Instellingen!$B$8,"Belofte - opvolgen",IF($P919&gt;=Instellingen!$B$9,"Zwak - twijfel","Vermijden"))))</f>
        <v/>
      </c>
      <c r="R919" s="5"/>
      <c r="T919" s="1" t="str">
        <f aca="false">IF($C919="","",IF($P919=_xlfn.MAXIFS($P$3:$P$1000,$B$3:$B$1000,$B919),"★ Cash cow – handmatig onderzoeken",""))</f>
        <v/>
      </c>
    </row>
    <row r="920" customFormat="false" ht="14.25" hidden="false" customHeight="true" outlineLevel="0" collapsed="false">
      <c r="A920" s="4"/>
      <c r="B920" s="5"/>
      <c r="C920" s="5"/>
      <c r="D920" s="5"/>
      <c r="E920" s="6"/>
      <c r="F920" s="7"/>
      <c r="G920" s="8"/>
      <c r="H920" s="7"/>
      <c r="I920" s="7"/>
      <c r="J920" s="6"/>
      <c r="K920" s="9" t="str">
        <f aca="false">IF(OR($J920="",$J920=0),"",$I920/$J920)</f>
        <v/>
      </c>
      <c r="L920" s="9" t="str">
        <f aca="false">IF(OR($E920="",$E920=0),"",$H920/$E920)</f>
        <v/>
      </c>
      <c r="M920" s="10" t="str">
        <f aca="false">IF(OR($L920="",$L920=0),"",($I920/30)/$L920)</f>
        <v/>
      </c>
      <c r="N920" s="8"/>
      <c r="O920" s="11" t="str">
        <f aca="false">IF(OR($I920="",$N920=""),"",($I920/1000)*$N920)</f>
        <v/>
      </c>
      <c r="P920" s="12" t="str">
        <f aca="false">IF($C920="","",IFERROR(ROUND(MIN(25,($N920/Instellingen!$B$3)*25)+MIN(25,($I920/Instellingen!$B$4)*25)+MIN(25,($J920/Instellingen!$B$5)*25)+MIN(25,(IF($M920="",0,$M920)/Instellingen!$B$6)*25),0),""))</f>
        <v/>
      </c>
      <c r="Q920" s="13" t="str">
        <f aca="false">IF($P920="","",IF($P920&gt;=Instellingen!$B$7,"Sterke niche",IF($P920&gt;=Instellingen!$B$8,"Belofte - opvolgen",IF($P920&gt;=Instellingen!$B$9,"Zwak - twijfel","Vermijden"))))</f>
        <v/>
      </c>
      <c r="R920" s="5"/>
      <c r="T920" s="1" t="str">
        <f aca="false">IF($C920="","",IF($P920=_xlfn.MAXIFS($P$3:$P$1000,$B$3:$B$1000,$B920),"★ Cash cow – handmatig onderzoeken",""))</f>
        <v/>
      </c>
    </row>
    <row r="921" customFormat="false" ht="14.25" hidden="false" customHeight="true" outlineLevel="0" collapsed="false">
      <c r="A921" s="4"/>
      <c r="B921" s="5"/>
      <c r="C921" s="5"/>
      <c r="D921" s="5"/>
      <c r="E921" s="6"/>
      <c r="F921" s="7"/>
      <c r="G921" s="8"/>
      <c r="H921" s="7"/>
      <c r="I921" s="7"/>
      <c r="J921" s="6"/>
      <c r="K921" s="9" t="str">
        <f aca="false">IF(OR($J921="",$J921=0),"",$I921/$J921)</f>
        <v/>
      </c>
      <c r="L921" s="9" t="str">
        <f aca="false">IF(OR($E921="",$E921=0),"",$H921/$E921)</f>
        <v/>
      </c>
      <c r="M921" s="10" t="str">
        <f aca="false">IF(OR($L921="",$L921=0),"",($I921/30)/$L921)</f>
        <v/>
      </c>
      <c r="N921" s="8"/>
      <c r="O921" s="11" t="str">
        <f aca="false">IF(OR($I921="",$N921=""),"",($I921/1000)*$N921)</f>
        <v/>
      </c>
      <c r="P921" s="12" t="str">
        <f aca="false">IF($C921="","",IFERROR(ROUND(MIN(25,($N921/Instellingen!$B$3)*25)+MIN(25,($I921/Instellingen!$B$4)*25)+MIN(25,($J921/Instellingen!$B$5)*25)+MIN(25,(IF($M921="",0,$M921)/Instellingen!$B$6)*25),0),""))</f>
        <v/>
      </c>
      <c r="Q921" s="13" t="str">
        <f aca="false">IF($P921="","",IF($P921&gt;=Instellingen!$B$7,"Sterke niche",IF($P921&gt;=Instellingen!$B$8,"Belofte - opvolgen",IF($P921&gt;=Instellingen!$B$9,"Zwak - twijfel","Vermijden"))))</f>
        <v/>
      </c>
      <c r="R921" s="5"/>
      <c r="T921" s="1" t="str">
        <f aca="false">IF($C921="","",IF($P921=_xlfn.MAXIFS($P$3:$P$1000,$B$3:$B$1000,$B921),"★ Cash cow – handmatig onderzoeken",""))</f>
        <v/>
      </c>
    </row>
    <row r="922" customFormat="false" ht="14.25" hidden="false" customHeight="true" outlineLevel="0" collapsed="false">
      <c r="A922" s="4"/>
      <c r="B922" s="5"/>
      <c r="C922" s="5"/>
      <c r="D922" s="5"/>
      <c r="E922" s="6"/>
      <c r="F922" s="7"/>
      <c r="G922" s="8"/>
      <c r="H922" s="7"/>
      <c r="I922" s="7"/>
      <c r="J922" s="6"/>
      <c r="K922" s="9" t="str">
        <f aca="false">IF(OR($J922="",$J922=0),"",$I922/$J922)</f>
        <v/>
      </c>
      <c r="L922" s="9" t="str">
        <f aca="false">IF(OR($E922="",$E922=0),"",$H922/$E922)</f>
        <v/>
      </c>
      <c r="M922" s="10" t="str">
        <f aca="false">IF(OR($L922="",$L922=0),"",($I922/30)/$L922)</f>
        <v/>
      </c>
      <c r="N922" s="8"/>
      <c r="O922" s="11" t="str">
        <f aca="false">IF(OR($I922="",$N922=""),"",($I922/1000)*$N922)</f>
        <v/>
      </c>
      <c r="P922" s="12" t="str">
        <f aca="false">IF($C922="","",IFERROR(ROUND(MIN(25,($N922/Instellingen!$B$3)*25)+MIN(25,($I922/Instellingen!$B$4)*25)+MIN(25,($J922/Instellingen!$B$5)*25)+MIN(25,(IF($M922="",0,$M922)/Instellingen!$B$6)*25),0),""))</f>
        <v/>
      </c>
      <c r="Q922" s="13" t="str">
        <f aca="false">IF($P922="","",IF($P922&gt;=Instellingen!$B$7,"Sterke niche",IF($P922&gt;=Instellingen!$B$8,"Belofte - opvolgen",IF($P922&gt;=Instellingen!$B$9,"Zwak - twijfel","Vermijden"))))</f>
        <v/>
      </c>
      <c r="R922" s="5"/>
      <c r="T922" s="1" t="str">
        <f aca="false">IF($C922="","",IF($P922=_xlfn.MAXIFS($P$3:$P$1000,$B$3:$B$1000,$B922),"★ Cash cow – handmatig onderzoeken",""))</f>
        <v/>
      </c>
    </row>
    <row r="923" customFormat="false" ht="14.25" hidden="false" customHeight="true" outlineLevel="0" collapsed="false">
      <c r="A923" s="4"/>
      <c r="B923" s="5"/>
      <c r="C923" s="5"/>
      <c r="D923" s="5"/>
      <c r="E923" s="6"/>
      <c r="F923" s="7"/>
      <c r="G923" s="8"/>
      <c r="H923" s="7"/>
      <c r="I923" s="7"/>
      <c r="J923" s="6"/>
      <c r="K923" s="9" t="str">
        <f aca="false">IF(OR($J923="",$J923=0),"",$I923/$J923)</f>
        <v/>
      </c>
      <c r="L923" s="9" t="str">
        <f aca="false">IF(OR($E923="",$E923=0),"",$H923/$E923)</f>
        <v/>
      </c>
      <c r="M923" s="10" t="str">
        <f aca="false">IF(OR($L923="",$L923=0),"",($I923/30)/$L923)</f>
        <v/>
      </c>
      <c r="N923" s="8"/>
      <c r="O923" s="11" t="str">
        <f aca="false">IF(OR($I923="",$N923=""),"",($I923/1000)*$N923)</f>
        <v/>
      </c>
      <c r="P923" s="12" t="str">
        <f aca="false">IF($C923="","",IFERROR(ROUND(MIN(25,($N923/Instellingen!$B$3)*25)+MIN(25,($I923/Instellingen!$B$4)*25)+MIN(25,($J923/Instellingen!$B$5)*25)+MIN(25,(IF($M923="",0,$M923)/Instellingen!$B$6)*25),0),""))</f>
        <v/>
      </c>
      <c r="Q923" s="13" t="str">
        <f aca="false">IF($P923="","",IF($P923&gt;=Instellingen!$B$7,"Sterke niche",IF($P923&gt;=Instellingen!$B$8,"Belofte - opvolgen",IF($P923&gt;=Instellingen!$B$9,"Zwak - twijfel","Vermijden"))))</f>
        <v/>
      </c>
      <c r="R923" s="5"/>
      <c r="T923" s="1" t="str">
        <f aca="false">IF($C923="","",IF($P923=_xlfn.MAXIFS($P$3:$P$1000,$B$3:$B$1000,$B923),"★ Cash cow – handmatig onderzoeken",""))</f>
        <v/>
      </c>
    </row>
    <row r="924" customFormat="false" ht="14.25" hidden="false" customHeight="true" outlineLevel="0" collapsed="false">
      <c r="A924" s="4"/>
      <c r="B924" s="5"/>
      <c r="C924" s="5"/>
      <c r="D924" s="5"/>
      <c r="E924" s="6"/>
      <c r="F924" s="7"/>
      <c r="G924" s="8"/>
      <c r="H924" s="7"/>
      <c r="I924" s="7"/>
      <c r="J924" s="6"/>
      <c r="K924" s="9" t="str">
        <f aca="false">IF(OR($J924="",$J924=0),"",$I924/$J924)</f>
        <v/>
      </c>
      <c r="L924" s="9" t="str">
        <f aca="false">IF(OR($E924="",$E924=0),"",$H924/$E924)</f>
        <v/>
      </c>
      <c r="M924" s="10" t="str">
        <f aca="false">IF(OR($L924="",$L924=0),"",($I924/30)/$L924)</f>
        <v/>
      </c>
      <c r="N924" s="8"/>
      <c r="O924" s="11" t="str">
        <f aca="false">IF(OR($I924="",$N924=""),"",($I924/1000)*$N924)</f>
        <v/>
      </c>
      <c r="P924" s="12" t="str">
        <f aca="false">IF($C924="","",IFERROR(ROUND(MIN(25,($N924/Instellingen!$B$3)*25)+MIN(25,($I924/Instellingen!$B$4)*25)+MIN(25,($J924/Instellingen!$B$5)*25)+MIN(25,(IF($M924="",0,$M924)/Instellingen!$B$6)*25),0),""))</f>
        <v/>
      </c>
      <c r="Q924" s="13" t="str">
        <f aca="false">IF($P924="","",IF($P924&gt;=Instellingen!$B$7,"Sterke niche",IF($P924&gt;=Instellingen!$B$8,"Belofte - opvolgen",IF($P924&gt;=Instellingen!$B$9,"Zwak - twijfel","Vermijden"))))</f>
        <v/>
      </c>
      <c r="R924" s="5"/>
      <c r="T924" s="1" t="str">
        <f aca="false">IF($C924="","",IF($P924=_xlfn.MAXIFS($P$3:$P$1000,$B$3:$B$1000,$B924),"★ Cash cow – handmatig onderzoeken",""))</f>
        <v/>
      </c>
    </row>
    <row r="925" customFormat="false" ht="14.25" hidden="false" customHeight="true" outlineLevel="0" collapsed="false">
      <c r="A925" s="4"/>
      <c r="B925" s="5"/>
      <c r="C925" s="5"/>
      <c r="D925" s="5"/>
      <c r="E925" s="6"/>
      <c r="F925" s="7"/>
      <c r="G925" s="8"/>
      <c r="H925" s="7"/>
      <c r="I925" s="7"/>
      <c r="J925" s="6"/>
      <c r="K925" s="9" t="str">
        <f aca="false">IF(OR($J925="",$J925=0),"",$I925/$J925)</f>
        <v/>
      </c>
      <c r="L925" s="9" t="str">
        <f aca="false">IF(OR($E925="",$E925=0),"",$H925/$E925)</f>
        <v/>
      </c>
      <c r="M925" s="10" t="str">
        <f aca="false">IF(OR($L925="",$L925=0),"",($I925/30)/$L925)</f>
        <v/>
      </c>
      <c r="N925" s="8"/>
      <c r="O925" s="11" t="str">
        <f aca="false">IF(OR($I925="",$N925=""),"",($I925/1000)*$N925)</f>
        <v/>
      </c>
      <c r="P925" s="12" t="str">
        <f aca="false">IF($C925="","",IFERROR(ROUND(MIN(25,($N925/Instellingen!$B$3)*25)+MIN(25,($I925/Instellingen!$B$4)*25)+MIN(25,($J925/Instellingen!$B$5)*25)+MIN(25,(IF($M925="",0,$M925)/Instellingen!$B$6)*25),0),""))</f>
        <v/>
      </c>
      <c r="Q925" s="13" t="str">
        <f aca="false">IF($P925="","",IF($P925&gt;=Instellingen!$B$7,"Sterke niche",IF($P925&gt;=Instellingen!$B$8,"Belofte - opvolgen",IF($P925&gt;=Instellingen!$B$9,"Zwak - twijfel","Vermijden"))))</f>
        <v/>
      </c>
      <c r="R925" s="5"/>
      <c r="T925" s="1" t="str">
        <f aca="false">IF($C925="","",IF($P925=_xlfn.MAXIFS($P$3:$P$1000,$B$3:$B$1000,$B925),"★ Cash cow – handmatig onderzoeken",""))</f>
        <v/>
      </c>
    </row>
    <row r="926" customFormat="false" ht="14.25" hidden="false" customHeight="true" outlineLevel="0" collapsed="false">
      <c r="A926" s="4"/>
      <c r="B926" s="5"/>
      <c r="C926" s="5"/>
      <c r="D926" s="5"/>
      <c r="E926" s="6"/>
      <c r="F926" s="7"/>
      <c r="G926" s="8"/>
      <c r="H926" s="7"/>
      <c r="I926" s="7"/>
      <c r="J926" s="6"/>
      <c r="K926" s="9" t="str">
        <f aca="false">IF(OR($J926="",$J926=0),"",$I926/$J926)</f>
        <v/>
      </c>
      <c r="L926" s="9" t="str">
        <f aca="false">IF(OR($E926="",$E926=0),"",$H926/$E926)</f>
        <v/>
      </c>
      <c r="M926" s="10" t="str">
        <f aca="false">IF(OR($L926="",$L926=0),"",($I926/30)/$L926)</f>
        <v/>
      </c>
      <c r="N926" s="8"/>
      <c r="O926" s="11" t="str">
        <f aca="false">IF(OR($I926="",$N926=""),"",($I926/1000)*$N926)</f>
        <v/>
      </c>
      <c r="P926" s="12" t="str">
        <f aca="false">IF($C926="","",IFERROR(ROUND(MIN(25,($N926/Instellingen!$B$3)*25)+MIN(25,($I926/Instellingen!$B$4)*25)+MIN(25,($J926/Instellingen!$B$5)*25)+MIN(25,(IF($M926="",0,$M926)/Instellingen!$B$6)*25),0),""))</f>
        <v/>
      </c>
      <c r="Q926" s="13" t="str">
        <f aca="false">IF($P926="","",IF($P926&gt;=Instellingen!$B$7,"Sterke niche",IF($P926&gt;=Instellingen!$B$8,"Belofte - opvolgen",IF($P926&gt;=Instellingen!$B$9,"Zwak - twijfel","Vermijden"))))</f>
        <v/>
      </c>
      <c r="R926" s="5"/>
      <c r="T926" s="1" t="str">
        <f aca="false">IF($C926="","",IF($P926=_xlfn.MAXIFS($P$3:$P$1000,$B$3:$B$1000,$B926),"★ Cash cow – handmatig onderzoeken",""))</f>
        <v/>
      </c>
    </row>
    <row r="927" customFormat="false" ht="14.25" hidden="false" customHeight="true" outlineLevel="0" collapsed="false">
      <c r="A927" s="4"/>
      <c r="B927" s="5"/>
      <c r="C927" s="5"/>
      <c r="D927" s="5"/>
      <c r="E927" s="6"/>
      <c r="F927" s="7"/>
      <c r="G927" s="8"/>
      <c r="H927" s="7"/>
      <c r="I927" s="7"/>
      <c r="J927" s="6"/>
      <c r="K927" s="9" t="str">
        <f aca="false">IF(OR($J927="",$J927=0),"",$I927/$J927)</f>
        <v/>
      </c>
      <c r="L927" s="9" t="str">
        <f aca="false">IF(OR($E927="",$E927=0),"",$H927/$E927)</f>
        <v/>
      </c>
      <c r="M927" s="10" t="str">
        <f aca="false">IF(OR($L927="",$L927=0),"",($I927/30)/$L927)</f>
        <v/>
      </c>
      <c r="N927" s="8"/>
      <c r="O927" s="11" t="str">
        <f aca="false">IF(OR($I927="",$N927=""),"",($I927/1000)*$N927)</f>
        <v/>
      </c>
      <c r="P927" s="12" t="str">
        <f aca="false">IF($C927="","",IFERROR(ROUND(MIN(25,($N927/Instellingen!$B$3)*25)+MIN(25,($I927/Instellingen!$B$4)*25)+MIN(25,($J927/Instellingen!$B$5)*25)+MIN(25,(IF($M927="",0,$M927)/Instellingen!$B$6)*25),0),""))</f>
        <v/>
      </c>
      <c r="Q927" s="13" t="str">
        <f aca="false">IF($P927="","",IF($P927&gt;=Instellingen!$B$7,"Sterke niche",IF($P927&gt;=Instellingen!$B$8,"Belofte - opvolgen",IF($P927&gt;=Instellingen!$B$9,"Zwak - twijfel","Vermijden"))))</f>
        <v/>
      </c>
      <c r="R927" s="5"/>
      <c r="T927" s="1" t="str">
        <f aca="false">IF($C927="","",IF($P927=_xlfn.MAXIFS($P$3:$P$1000,$B$3:$B$1000,$B927),"★ Cash cow – handmatig onderzoeken",""))</f>
        <v/>
      </c>
    </row>
    <row r="928" customFormat="false" ht="14.25" hidden="false" customHeight="true" outlineLevel="0" collapsed="false">
      <c r="A928" s="4"/>
      <c r="B928" s="5"/>
      <c r="C928" s="5"/>
      <c r="D928" s="5"/>
      <c r="E928" s="6"/>
      <c r="F928" s="7"/>
      <c r="G928" s="8"/>
      <c r="H928" s="7"/>
      <c r="I928" s="7"/>
      <c r="J928" s="6"/>
      <c r="K928" s="9" t="str">
        <f aca="false">IF(OR($J928="",$J928=0),"",$I928/$J928)</f>
        <v/>
      </c>
      <c r="L928" s="9" t="str">
        <f aca="false">IF(OR($E928="",$E928=0),"",$H928/$E928)</f>
        <v/>
      </c>
      <c r="M928" s="10" t="str">
        <f aca="false">IF(OR($L928="",$L928=0),"",($I928/30)/$L928)</f>
        <v/>
      </c>
      <c r="N928" s="8"/>
      <c r="O928" s="11" t="str">
        <f aca="false">IF(OR($I928="",$N928=""),"",($I928/1000)*$N928)</f>
        <v/>
      </c>
      <c r="P928" s="12" t="str">
        <f aca="false">IF($C928="","",IFERROR(ROUND(MIN(25,($N928/Instellingen!$B$3)*25)+MIN(25,($I928/Instellingen!$B$4)*25)+MIN(25,($J928/Instellingen!$B$5)*25)+MIN(25,(IF($M928="",0,$M928)/Instellingen!$B$6)*25),0),""))</f>
        <v/>
      </c>
      <c r="Q928" s="13" t="str">
        <f aca="false">IF($P928="","",IF($P928&gt;=Instellingen!$B$7,"Sterke niche",IF($P928&gt;=Instellingen!$B$8,"Belofte - opvolgen",IF($P928&gt;=Instellingen!$B$9,"Zwak - twijfel","Vermijden"))))</f>
        <v/>
      </c>
      <c r="R928" s="5"/>
      <c r="T928" s="1" t="str">
        <f aca="false">IF($C928="","",IF($P928=_xlfn.MAXIFS($P$3:$P$1000,$B$3:$B$1000,$B928),"★ Cash cow – handmatig onderzoeken",""))</f>
        <v/>
      </c>
    </row>
    <row r="929" customFormat="false" ht="14.25" hidden="false" customHeight="true" outlineLevel="0" collapsed="false">
      <c r="A929" s="4"/>
      <c r="B929" s="5"/>
      <c r="C929" s="5"/>
      <c r="D929" s="5"/>
      <c r="E929" s="6"/>
      <c r="F929" s="7"/>
      <c r="G929" s="8"/>
      <c r="H929" s="7"/>
      <c r="I929" s="7"/>
      <c r="J929" s="6"/>
      <c r="K929" s="9" t="str">
        <f aca="false">IF(OR($J929="",$J929=0),"",$I929/$J929)</f>
        <v/>
      </c>
      <c r="L929" s="9" t="str">
        <f aca="false">IF(OR($E929="",$E929=0),"",$H929/$E929)</f>
        <v/>
      </c>
      <c r="M929" s="10" t="str">
        <f aca="false">IF(OR($L929="",$L929=0),"",($I929/30)/$L929)</f>
        <v/>
      </c>
      <c r="N929" s="8"/>
      <c r="O929" s="11" t="str">
        <f aca="false">IF(OR($I929="",$N929=""),"",($I929/1000)*$N929)</f>
        <v/>
      </c>
      <c r="P929" s="12" t="str">
        <f aca="false">IF($C929="","",IFERROR(ROUND(MIN(25,($N929/Instellingen!$B$3)*25)+MIN(25,($I929/Instellingen!$B$4)*25)+MIN(25,($J929/Instellingen!$B$5)*25)+MIN(25,(IF($M929="",0,$M929)/Instellingen!$B$6)*25),0),""))</f>
        <v/>
      </c>
      <c r="Q929" s="13" t="str">
        <f aca="false">IF($P929="","",IF($P929&gt;=Instellingen!$B$7,"Sterke niche",IF($P929&gt;=Instellingen!$B$8,"Belofte - opvolgen",IF($P929&gt;=Instellingen!$B$9,"Zwak - twijfel","Vermijden"))))</f>
        <v/>
      </c>
      <c r="R929" s="5"/>
      <c r="T929" s="1" t="str">
        <f aca="false">IF($C929="","",IF($P929=_xlfn.MAXIFS($P$3:$P$1000,$B$3:$B$1000,$B929),"★ Cash cow – handmatig onderzoeken",""))</f>
        <v/>
      </c>
    </row>
    <row r="930" customFormat="false" ht="14.25" hidden="false" customHeight="true" outlineLevel="0" collapsed="false">
      <c r="A930" s="4"/>
      <c r="B930" s="5"/>
      <c r="C930" s="5"/>
      <c r="D930" s="5"/>
      <c r="E930" s="6"/>
      <c r="F930" s="7"/>
      <c r="G930" s="8"/>
      <c r="H930" s="7"/>
      <c r="I930" s="7"/>
      <c r="J930" s="6"/>
      <c r="K930" s="9" t="str">
        <f aca="false">IF(OR($J930="",$J930=0),"",$I930/$J930)</f>
        <v/>
      </c>
      <c r="L930" s="9" t="str">
        <f aca="false">IF(OR($E930="",$E930=0),"",$H930/$E930)</f>
        <v/>
      </c>
      <c r="M930" s="10" t="str">
        <f aca="false">IF(OR($L930="",$L930=0),"",($I930/30)/$L930)</f>
        <v/>
      </c>
      <c r="N930" s="8"/>
      <c r="O930" s="11" t="str">
        <f aca="false">IF(OR($I930="",$N930=""),"",($I930/1000)*$N930)</f>
        <v/>
      </c>
      <c r="P930" s="12" t="str">
        <f aca="false">IF($C930="","",IFERROR(ROUND(MIN(25,($N930/Instellingen!$B$3)*25)+MIN(25,($I930/Instellingen!$B$4)*25)+MIN(25,($J930/Instellingen!$B$5)*25)+MIN(25,(IF($M930="",0,$M930)/Instellingen!$B$6)*25),0),""))</f>
        <v/>
      </c>
      <c r="Q930" s="13" t="str">
        <f aca="false">IF($P930="","",IF($P930&gt;=Instellingen!$B$7,"Sterke niche",IF($P930&gt;=Instellingen!$B$8,"Belofte - opvolgen",IF($P930&gt;=Instellingen!$B$9,"Zwak - twijfel","Vermijden"))))</f>
        <v/>
      </c>
      <c r="R930" s="5"/>
      <c r="T930" s="1" t="str">
        <f aca="false">IF($C930="","",IF($P930=_xlfn.MAXIFS($P$3:$P$1000,$B$3:$B$1000,$B930),"★ Cash cow – handmatig onderzoeken",""))</f>
        <v/>
      </c>
    </row>
    <row r="931" customFormat="false" ht="14.25" hidden="false" customHeight="true" outlineLevel="0" collapsed="false">
      <c r="A931" s="4"/>
      <c r="B931" s="5"/>
      <c r="C931" s="5"/>
      <c r="D931" s="5"/>
      <c r="E931" s="6"/>
      <c r="F931" s="7"/>
      <c r="G931" s="8"/>
      <c r="H931" s="7"/>
      <c r="I931" s="7"/>
      <c r="J931" s="6"/>
      <c r="K931" s="9" t="str">
        <f aca="false">IF(OR($J931="",$J931=0),"",$I931/$J931)</f>
        <v/>
      </c>
      <c r="L931" s="9" t="str">
        <f aca="false">IF(OR($E931="",$E931=0),"",$H931/$E931)</f>
        <v/>
      </c>
      <c r="M931" s="10" t="str">
        <f aca="false">IF(OR($L931="",$L931=0),"",($I931/30)/$L931)</f>
        <v/>
      </c>
      <c r="N931" s="8"/>
      <c r="O931" s="11" t="str">
        <f aca="false">IF(OR($I931="",$N931=""),"",($I931/1000)*$N931)</f>
        <v/>
      </c>
      <c r="P931" s="12" t="str">
        <f aca="false">IF($C931="","",IFERROR(ROUND(MIN(25,($N931/Instellingen!$B$3)*25)+MIN(25,($I931/Instellingen!$B$4)*25)+MIN(25,($J931/Instellingen!$B$5)*25)+MIN(25,(IF($M931="",0,$M931)/Instellingen!$B$6)*25),0),""))</f>
        <v/>
      </c>
      <c r="Q931" s="13" t="str">
        <f aca="false">IF($P931="","",IF($P931&gt;=Instellingen!$B$7,"Sterke niche",IF($P931&gt;=Instellingen!$B$8,"Belofte - opvolgen",IF($P931&gt;=Instellingen!$B$9,"Zwak - twijfel","Vermijden"))))</f>
        <v/>
      </c>
      <c r="R931" s="5"/>
      <c r="T931" s="1" t="str">
        <f aca="false">IF($C931="","",IF($P931=_xlfn.MAXIFS($P$3:$P$1000,$B$3:$B$1000,$B931),"★ Cash cow – handmatig onderzoeken",""))</f>
        <v/>
      </c>
    </row>
    <row r="932" customFormat="false" ht="14.25" hidden="false" customHeight="true" outlineLevel="0" collapsed="false">
      <c r="A932" s="4"/>
      <c r="B932" s="5"/>
      <c r="C932" s="5"/>
      <c r="D932" s="5"/>
      <c r="E932" s="6"/>
      <c r="F932" s="7"/>
      <c r="G932" s="8"/>
      <c r="H932" s="7"/>
      <c r="I932" s="7"/>
      <c r="J932" s="6"/>
      <c r="K932" s="9" t="str">
        <f aca="false">IF(OR($J932="",$J932=0),"",$I932/$J932)</f>
        <v/>
      </c>
      <c r="L932" s="9" t="str">
        <f aca="false">IF(OR($E932="",$E932=0),"",$H932/$E932)</f>
        <v/>
      </c>
      <c r="M932" s="10" t="str">
        <f aca="false">IF(OR($L932="",$L932=0),"",($I932/30)/$L932)</f>
        <v/>
      </c>
      <c r="N932" s="8"/>
      <c r="O932" s="11" t="str">
        <f aca="false">IF(OR($I932="",$N932=""),"",($I932/1000)*$N932)</f>
        <v/>
      </c>
      <c r="P932" s="12" t="str">
        <f aca="false">IF($C932="","",IFERROR(ROUND(MIN(25,($N932/Instellingen!$B$3)*25)+MIN(25,($I932/Instellingen!$B$4)*25)+MIN(25,($J932/Instellingen!$B$5)*25)+MIN(25,(IF($M932="",0,$M932)/Instellingen!$B$6)*25),0),""))</f>
        <v/>
      </c>
      <c r="Q932" s="13" t="str">
        <f aca="false">IF($P932="","",IF($P932&gt;=Instellingen!$B$7,"Sterke niche",IF($P932&gt;=Instellingen!$B$8,"Belofte - opvolgen",IF($P932&gt;=Instellingen!$B$9,"Zwak - twijfel","Vermijden"))))</f>
        <v/>
      </c>
      <c r="R932" s="5"/>
      <c r="T932" s="1" t="str">
        <f aca="false">IF($C932="","",IF($P932=_xlfn.MAXIFS($P$3:$P$1000,$B$3:$B$1000,$B932),"★ Cash cow – handmatig onderzoeken",""))</f>
        <v/>
      </c>
    </row>
    <row r="933" customFormat="false" ht="14.25" hidden="false" customHeight="true" outlineLevel="0" collapsed="false">
      <c r="A933" s="4"/>
      <c r="B933" s="5"/>
      <c r="C933" s="5"/>
      <c r="D933" s="5"/>
      <c r="E933" s="6"/>
      <c r="F933" s="7"/>
      <c r="G933" s="8"/>
      <c r="H933" s="7"/>
      <c r="I933" s="7"/>
      <c r="J933" s="6"/>
      <c r="K933" s="9" t="str">
        <f aca="false">IF(OR($J933="",$J933=0),"",$I933/$J933)</f>
        <v/>
      </c>
      <c r="L933" s="9" t="str">
        <f aca="false">IF(OR($E933="",$E933=0),"",$H933/$E933)</f>
        <v/>
      </c>
      <c r="M933" s="10" t="str">
        <f aca="false">IF(OR($L933="",$L933=0),"",($I933/30)/$L933)</f>
        <v/>
      </c>
      <c r="N933" s="8"/>
      <c r="O933" s="11" t="str">
        <f aca="false">IF(OR($I933="",$N933=""),"",($I933/1000)*$N933)</f>
        <v/>
      </c>
      <c r="P933" s="12" t="str">
        <f aca="false">IF($C933="","",IFERROR(ROUND(MIN(25,($N933/Instellingen!$B$3)*25)+MIN(25,($I933/Instellingen!$B$4)*25)+MIN(25,($J933/Instellingen!$B$5)*25)+MIN(25,(IF($M933="",0,$M933)/Instellingen!$B$6)*25),0),""))</f>
        <v/>
      </c>
      <c r="Q933" s="13" t="str">
        <f aca="false">IF($P933="","",IF($P933&gt;=Instellingen!$B$7,"Sterke niche",IF($P933&gt;=Instellingen!$B$8,"Belofte - opvolgen",IF($P933&gt;=Instellingen!$B$9,"Zwak - twijfel","Vermijden"))))</f>
        <v/>
      </c>
      <c r="R933" s="5"/>
      <c r="T933" s="1" t="str">
        <f aca="false">IF($C933="","",IF($P933=_xlfn.MAXIFS($P$3:$P$1000,$B$3:$B$1000,$B933),"★ Cash cow – handmatig onderzoeken",""))</f>
        <v/>
      </c>
    </row>
    <row r="934" customFormat="false" ht="14.25" hidden="false" customHeight="true" outlineLevel="0" collapsed="false">
      <c r="A934" s="4"/>
      <c r="B934" s="5"/>
      <c r="C934" s="5"/>
      <c r="D934" s="5"/>
      <c r="E934" s="6"/>
      <c r="F934" s="7"/>
      <c r="G934" s="8"/>
      <c r="H934" s="7"/>
      <c r="I934" s="7"/>
      <c r="J934" s="6"/>
      <c r="K934" s="9" t="str">
        <f aca="false">IF(OR($J934="",$J934=0),"",$I934/$J934)</f>
        <v/>
      </c>
      <c r="L934" s="9" t="str">
        <f aca="false">IF(OR($E934="",$E934=0),"",$H934/$E934)</f>
        <v/>
      </c>
      <c r="M934" s="10" t="str">
        <f aca="false">IF(OR($L934="",$L934=0),"",($I934/30)/$L934)</f>
        <v/>
      </c>
      <c r="N934" s="8"/>
      <c r="O934" s="11" t="str">
        <f aca="false">IF(OR($I934="",$N934=""),"",($I934/1000)*$N934)</f>
        <v/>
      </c>
      <c r="P934" s="12" t="str">
        <f aca="false">IF($C934="","",IFERROR(ROUND(MIN(25,($N934/Instellingen!$B$3)*25)+MIN(25,($I934/Instellingen!$B$4)*25)+MIN(25,($J934/Instellingen!$B$5)*25)+MIN(25,(IF($M934="",0,$M934)/Instellingen!$B$6)*25),0),""))</f>
        <v/>
      </c>
      <c r="Q934" s="13" t="str">
        <f aca="false">IF($P934="","",IF($P934&gt;=Instellingen!$B$7,"Sterke niche",IF($P934&gt;=Instellingen!$B$8,"Belofte - opvolgen",IF($P934&gt;=Instellingen!$B$9,"Zwak - twijfel","Vermijden"))))</f>
        <v/>
      </c>
      <c r="R934" s="5"/>
      <c r="T934" s="1" t="str">
        <f aca="false">IF($C934="","",IF($P934=_xlfn.MAXIFS($P$3:$P$1000,$B$3:$B$1000,$B934),"★ Cash cow – handmatig onderzoeken",""))</f>
        <v/>
      </c>
    </row>
    <row r="935" customFormat="false" ht="14.25" hidden="false" customHeight="true" outlineLevel="0" collapsed="false">
      <c r="A935" s="4"/>
      <c r="B935" s="5"/>
      <c r="C935" s="5"/>
      <c r="D935" s="5"/>
      <c r="E935" s="6"/>
      <c r="F935" s="7"/>
      <c r="G935" s="8"/>
      <c r="H935" s="7"/>
      <c r="I935" s="7"/>
      <c r="J935" s="6"/>
      <c r="K935" s="9" t="str">
        <f aca="false">IF(OR($J935="",$J935=0),"",$I935/$J935)</f>
        <v/>
      </c>
      <c r="L935" s="9" t="str">
        <f aca="false">IF(OR($E935="",$E935=0),"",$H935/$E935)</f>
        <v/>
      </c>
      <c r="M935" s="10" t="str">
        <f aca="false">IF(OR($L935="",$L935=0),"",($I935/30)/$L935)</f>
        <v/>
      </c>
      <c r="N935" s="8"/>
      <c r="O935" s="11" t="str">
        <f aca="false">IF(OR($I935="",$N935=""),"",($I935/1000)*$N935)</f>
        <v/>
      </c>
      <c r="P935" s="12" t="str">
        <f aca="false">IF($C935="","",IFERROR(ROUND(MIN(25,($N935/Instellingen!$B$3)*25)+MIN(25,($I935/Instellingen!$B$4)*25)+MIN(25,($J935/Instellingen!$B$5)*25)+MIN(25,(IF($M935="",0,$M935)/Instellingen!$B$6)*25),0),""))</f>
        <v/>
      </c>
      <c r="Q935" s="13" t="str">
        <f aca="false">IF($P935="","",IF($P935&gt;=Instellingen!$B$7,"Sterke niche",IF($P935&gt;=Instellingen!$B$8,"Belofte - opvolgen",IF($P935&gt;=Instellingen!$B$9,"Zwak - twijfel","Vermijden"))))</f>
        <v/>
      </c>
      <c r="R935" s="5"/>
      <c r="T935" s="1" t="str">
        <f aca="false">IF($C935="","",IF($P935=_xlfn.MAXIFS($P$3:$P$1000,$B$3:$B$1000,$B935),"★ Cash cow – handmatig onderzoeken",""))</f>
        <v/>
      </c>
    </row>
    <row r="936" customFormat="false" ht="14.25" hidden="false" customHeight="true" outlineLevel="0" collapsed="false">
      <c r="A936" s="4"/>
      <c r="B936" s="5"/>
      <c r="C936" s="5"/>
      <c r="D936" s="5"/>
      <c r="E936" s="6"/>
      <c r="F936" s="7"/>
      <c r="G936" s="8"/>
      <c r="H936" s="7"/>
      <c r="I936" s="7"/>
      <c r="J936" s="6"/>
      <c r="K936" s="9" t="str">
        <f aca="false">IF(OR($J936="",$J936=0),"",$I936/$J936)</f>
        <v/>
      </c>
      <c r="L936" s="9" t="str">
        <f aca="false">IF(OR($E936="",$E936=0),"",$H936/$E936)</f>
        <v/>
      </c>
      <c r="M936" s="10" t="str">
        <f aca="false">IF(OR($L936="",$L936=0),"",($I936/30)/$L936)</f>
        <v/>
      </c>
      <c r="N936" s="8"/>
      <c r="O936" s="11" t="str">
        <f aca="false">IF(OR($I936="",$N936=""),"",($I936/1000)*$N936)</f>
        <v/>
      </c>
      <c r="P936" s="12" t="str">
        <f aca="false">IF($C936="","",IFERROR(ROUND(MIN(25,($N936/Instellingen!$B$3)*25)+MIN(25,($I936/Instellingen!$B$4)*25)+MIN(25,($J936/Instellingen!$B$5)*25)+MIN(25,(IF($M936="",0,$M936)/Instellingen!$B$6)*25),0),""))</f>
        <v/>
      </c>
      <c r="Q936" s="13" t="str">
        <f aca="false">IF($P936="","",IF($P936&gt;=Instellingen!$B$7,"Sterke niche",IF($P936&gt;=Instellingen!$B$8,"Belofte - opvolgen",IF($P936&gt;=Instellingen!$B$9,"Zwak - twijfel","Vermijden"))))</f>
        <v/>
      </c>
      <c r="R936" s="5"/>
      <c r="T936" s="1" t="str">
        <f aca="false">IF($C936="","",IF($P936=_xlfn.MAXIFS($P$3:$P$1000,$B$3:$B$1000,$B936),"★ Cash cow – handmatig onderzoeken",""))</f>
        <v/>
      </c>
    </row>
    <row r="937" customFormat="false" ht="14.25" hidden="false" customHeight="true" outlineLevel="0" collapsed="false">
      <c r="A937" s="4"/>
      <c r="B937" s="5"/>
      <c r="C937" s="5"/>
      <c r="D937" s="5"/>
      <c r="E937" s="6"/>
      <c r="F937" s="7"/>
      <c r="G937" s="8"/>
      <c r="H937" s="7"/>
      <c r="I937" s="7"/>
      <c r="J937" s="6"/>
      <c r="K937" s="9" t="str">
        <f aca="false">IF(OR($J937="",$J937=0),"",$I937/$J937)</f>
        <v/>
      </c>
      <c r="L937" s="9" t="str">
        <f aca="false">IF(OR($E937="",$E937=0),"",$H937/$E937)</f>
        <v/>
      </c>
      <c r="M937" s="10" t="str">
        <f aca="false">IF(OR($L937="",$L937=0),"",($I937/30)/$L937)</f>
        <v/>
      </c>
      <c r="N937" s="8"/>
      <c r="O937" s="11" t="str">
        <f aca="false">IF(OR($I937="",$N937=""),"",($I937/1000)*$N937)</f>
        <v/>
      </c>
      <c r="P937" s="12" t="str">
        <f aca="false">IF($C937="","",IFERROR(ROUND(MIN(25,($N937/Instellingen!$B$3)*25)+MIN(25,($I937/Instellingen!$B$4)*25)+MIN(25,($J937/Instellingen!$B$5)*25)+MIN(25,(IF($M937="",0,$M937)/Instellingen!$B$6)*25),0),""))</f>
        <v/>
      </c>
      <c r="Q937" s="13" t="str">
        <f aca="false">IF($P937="","",IF($P937&gt;=Instellingen!$B$7,"Sterke niche",IF($P937&gt;=Instellingen!$B$8,"Belofte - opvolgen",IF($P937&gt;=Instellingen!$B$9,"Zwak - twijfel","Vermijden"))))</f>
        <v/>
      </c>
      <c r="R937" s="5"/>
      <c r="T937" s="1" t="str">
        <f aca="false">IF($C937="","",IF($P937=_xlfn.MAXIFS($P$3:$P$1000,$B$3:$B$1000,$B937),"★ Cash cow – handmatig onderzoeken",""))</f>
        <v/>
      </c>
    </row>
    <row r="938" customFormat="false" ht="14.25" hidden="false" customHeight="true" outlineLevel="0" collapsed="false">
      <c r="A938" s="4"/>
      <c r="B938" s="5"/>
      <c r="C938" s="5"/>
      <c r="D938" s="5"/>
      <c r="E938" s="6"/>
      <c r="F938" s="7"/>
      <c r="G938" s="8"/>
      <c r="H938" s="7"/>
      <c r="I938" s="7"/>
      <c r="J938" s="6"/>
      <c r="K938" s="9" t="str">
        <f aca="false">IF(OR($J938="",$J938=0),"",$I938/$J938)</f>
        <v/>
      </c>
      <c r="L938" s="9" t="str">
        <f aca="false">IF(OR($E938="",$E938=0),"",$H938/$E938)</f>
        <v/>
      </c>
      <c r="M938" s="10" t="str">
        <f aca="false">IF(OR($L938="",$L938=0),"",($I938/30)/$L938)</f>
        <v/>
      </c>
      <c r="N938" s="8"/>
      <c r="O938" s="11" t="str">
        <f aca="false">IF(OR($I938="",$N938=""),"",($I938/1000)*$N938)</f>
        <v/>
      </c>
      <c r="P938" s="12" t="str">
        <f aca="false">IF($C938="","",IFERROR(ROUND(MIN(25,($N938/Instellingen!$B$3)*25)+MIN(25,($I938/Instellingen!$B$4)*25)+MIN(25,($J938/Instellingen!$B$5)*25)+MIN(25,(IF($M938="",0,$M938)/Instellingen!$B$6)*25),0),""))</f>
        <v/>
      </c>
      <c r="Q938" s="13" t="str">
        <f aca="false">IF($P938="","",IF($P938&gt;=Instellingen!$B$7,"Sterke niche",IF($P938&gt;=Instellingen!$B$8,"Belofte - opvolgen",IF($P938&gt;=Instellingen!$B$9,"Zwak - twijfel","Vermijden"))))</f>
        <v/>
      </c>
      <c r="R938" s="5"/>
      <c r="T938" s="1" t="str">
        <f aca="false">IF($C938="","",IF($P938=_xlfn.MAXIFS($P$3:$P$1000,$B$3:$B$1000,$B938),"★ Cash cow – handmatig onderzoeken",""))</f>
        <v/>
      </c>
    </row>
    <row r="939" customFormat="false" ht="14.25" hidden="false" customHeight="true" outlineLevel="0" collapsed="false">
      <c r="A939" s="4"/>
      <c r="B939" s="5"/>
      <c r="C939" s="5"/>
      <c r="D939" s="5"/>
      <c r="E939" s="6"/>
      <c r="F939" s="7"/>
      <c r="G939" s="8"/>
      <c r="H939" s="7"/>
      <c r="I939" s="7"/>
      <c r="J939" s="6"/>
      <c r="K939" s="9" t="str">
        <f aca="false">IF(OR($J939="",$J939=0),"",$I939/$J939)</f>
        <v/>
      </c>
      <c r="L939" s="9" t="str">
        <f aca="false">IF(OR($E939="",$E939=0),"",$H939/$E939)</f>
        <v/>
      </c>
      <c r="M939" s="10" t="str">
        <f aca="false">IF(OR($L939="",$L939=0),"",($I939/30)/$L939)</f>
        <v/>
      </c>
      <c r="N939" s="8"/>
      <c r="O939" s="11" t="str">
        <f aca="false">IF(OR($I939="",$N939=""),"",($I939/1000)*$N939)</f>
        <v/>
      </c>
      <c r="P939" s="12" t="str">
        <f aca="false">IF($C939="","",IFERROR(ROUND(MIN(25,($N939/Instellingen!$B$3)*25)+MIN(25,($I939/Instellingen!$B$4)*25)+MIN(25,($J939/Instellingen!$B$5)*25)+MIN(25,(IF($M939="",0,$M939)/Instellingen!$B$6)*25),0),""))</f>
        <v/>
      </c>
      <c r="Q939" s="13" t="str">
        <f aca="false">IF($P939="","",IF($P939&gt;=Instellingen!$B$7,"Sterke niche",IF($P939&gt;=Instellingen!$B$8,"Belofte - opvolgen",IF($P939&gt;=Instellingen!$B$9,"Zwak - twijfel","Vermijden"))))</f>
        <v/>
      </c>
      <c r="R939" s="5"/>
      <c r="T939" s="1" t="str">
        <f aca="false">IF($C939="","",IF($P939=_xlfn.MAXIFS($P$3:$P$1000,$B$3:$B$1000,$B939),"★ Cash cow – handmatig onderzoeken",""))</f>
        <v/>
      </c>
    </row>
    <row r="940" customFormat="false" ht="14.25" hidden="false" customHeight="true" outlineLevel="0" collapsed="false">
      <c r="A940" s="4"/>
      <c r="B940" s="5"/>
      <c r="C940" s="5"/>
      <c r="D940" s="5"/>
      <c r="E940" s="6"/>
      <c r="F940" s="7"/>
      <c r="G940" s="8"/>
      <c r="H940" s="7"/>
      <c r="I940" s="7"/>
      <c r="J940" s="6"/>
      <c r="K940" s="9" t="str">
        <f aca="false">IF(OR($J940="",$J940=0),"",$I940/$J940)</f>
        <v/>
      </c>
      <c r="L940" s="9" t="str">
        <f aca="false">IF(OR($E940="",$E940=0),"",$H940/$E940)</f>
        <v/>
      </c>
      <c r="M940" s="10" t="str">
        <f aca="false">IF(OR($L940="",$L940=0),"",($I940/30)/$L940)</f>
        <v/>
      </c>
      <c r="N940" s="8"/>
      <c r="O940" s="11" t="str">
        <f aca="false">IF(OR($I940="",$N940=""),"",($I940/1000)*$N940)</f>
        <v/>
      </c>
      <c r="P940" s="12" t="str">
        <f aca="false">IF($C940="","",IFERROR(ROUND(MIN(25,($N940/Instellingen!$B$3)*25)+MIN(25,($I940/Instellingen!$B$4)*25)+MIN(25,($J940/Instellingen!$B$5)*25)+MIN(25,(IF($M940="",0,$M940)/Instellingen!$B$6)*25),0),""))</f>
        <v/>
      </c>
      <c r="Q940" s="13" t="str">
        <f aca="false">IF($P940="","",IF($P940&gt;=Instellingen!$B$7,"Sterke niche",IF($P940&gt;=Instellingen!$B$8,"Belofte - opvolgen",IF($P940&gt;=Instellingen!$B$9,"Zwak - twijfel","Vermijden"))))</f>
        <v/>
      </c>
      <c r="R940" s="5"/>
      <c r="T940" s="1" t="str">
        <f aca="false">IF($C940="","",IF($P940=_xlfn.MAXIFS($P$3:$P$1000,$B$3:$B$1000,$B940),"★ Cash cow – handmatig onderzoeken",""))</f>
        <v/>
      </c>
    </row>
    <row r="941" customFormat="false" ht="14.25" hidden="false" customHeight="true" outlineLevel="0" collapsed="false">
      <c r="A941" s="4"/>
      <c r="B941" s="5"/>
      <c r="C941" s="5"/>
      <c r="D941" s="5"/>
      <c r="E941" s="6"/>
      <c r="F941" s="7"/>
      <c r="G941" s="8"/>
      <c r="H941" s="7"/>
      <c r="I941" s="7"/>
      <c r="J941" s="6"/>
      <c r="K941" s="9" t="str">
        <f aca="false">IF(OR($J941="",$J941=0),"",$I941/$J941)</f>
        <v/>
      </c>
      <c r="L941" s="9" t="str">
        <f aca="false">IF(OR($E941="",$E941=0),"",$H941/$E941)</f>
        <v/>
      </c>
      <c r="M941" s="10" t="str">
        <f aca="false">IF(OR($L941="",$L941=0),"",($I941/30)/$L941)</f>
        <v/>
      </c>
      <c r="N941" s="8"/>
      <c r="O941" s="11" t="str">
        <f aca="false">IF(OR($I941="",$N941=""),"",($I941/1000)*$N941)</f>
        <v/>
      </c>
      <c r="P941" s="12" t="str">
        <f aca="false">IF($C941="","",IFERROR(ROUND(MIN(25,($N941/Instellingen!$B$3)*25)+MIN(25,($I941/Instellingen!$B$4)*25)+MIN(25,($J941/Instellingen!$B$5)*25)+MIN(25,(IF($M941="",0,$M941)/Instellingen!$B$6)*25),0),""))</f>
        <v/>
      </c>
      <c r="Q941" s="13" t="str">
        <f aca="false">IF($P941="","",IF($P941&gt;=Instellingen!$B$7,"Sterke niche",IF($P941&gt;=Instellingen!$B$8,"Belofte - opvolgen",IF($P941&gt;=Instellingen!$B$9,"Zwak - twijfel","Vermijden"))))</f>
        <v/>
      </c>
      <c r="R941" s="5"/>
      <c r="T941" s="1" t="str">
        <f aca="false">IF($C941="","",IF($P941=_xlfn.MAXIFS($P$3:$P$1000,$B$3:$B$1000,$B941),"★ Cash cow – handmatig onderzoeken",""))</f>
        <v/>
      </c>
    </row>
    <row r="942" customFormat="false" ht="14.25" hidden="false" customHeight="true" outlineLevel="0" collapsed="false">
      <c r="A942" s="4"/>
      <c r="B942" s="5"/>
      <c r="C942" s="5"/>
      <c r="D942" s="5"/>
      <c r="E942" s="6"/>
      <c r="F942" s="7"/>
      <c r="G942" s="8"/>
      <c r="H942" s="7"/>
      <c r="I942" s="7"/>
      <c r="J942" s="6"/>
      <c r="K942" s="9" t="str">
        <f aca="false">IF(OR($J942="",$J942=0),"",$I942/$J942)</f>
        <v/>
      </c>
      <c r="L942" s="9" t="str">
        <f aca="false">IF(OR($E942="",$E942=0),"",$H942/$E942)</f>
        <v/>
      </c>
      <c r="M942" s="10" t="str">
        <f aca="false">IF(OR($L942="",$L942=0),"",($I942/30)/$L942)</f>
        <v/>
      </c>
      <c r="N942" s="8"/>
      <c r="O942" s="11" t="str">
        <f aca="false">IF(OR($I942="",$N942=""),"",($I942/1000)*$N942)</f>
        <v/>
      </c>
      <c r="P942" s="12" t="str">
        <f aca="false">IF($C942="","",IFERROR(ROUND(MIN(25,($N942/Instellingen!$B$3)*25)+MIN(25,($I942/Instellingen!$B$4)*25)+MIN(25,($J942/Instellingen!$B$5)*25)+MIN(25,(IF($M942="",0,$M942)/Instellingen!$B$6)*25),0),""))</f>
        <v/>
      </c>
      <c r="Q942" s="13" t="str">
        <f aca="false">IF($P942="","",IF($P942&gt;=Instellingen!$B$7,"Sterke niche",IF($P942&gt;=Instellingen!$B$8,"Belofte - opvolgen",IF($P942&gt;=Instellingen!$B$9,"Zwak - twijfel","Vermijden"))))</f>
        <v/>
      </c>
      <c r="R942" s="5"/>
      <c r="T942" s="1" t="str">
        <f aca="false">IF($C942="","",IF($P942=_xlfn.MAXIFS($P$3:$P$1000,$B$3:$B$1000,$B942),"★ Cash cow – handmatig onderzoeken",""))</f>
        <v/>
      </c>
    </row>
    <row r="943" customFormat="false" ht="14.25" hidden="false" customHeight="true" outlineLevel="0" collapsed="false">
      <c r="A943" s="4"/>
      <c r="B943" s="5"/>
      <c r="C943" s="5"/>
      <c r="D943" s="5"/>
      <c r="E943" s="6"/>
      <c r="F943" s="7"/>
      <c r="G943" s="8"/>
      <c r="H943" s="7"/>
      <c r="I943" s="7"/>
      <c r="J943" s="6"/>
      <c r="K943" s="9" t="str">
        <f aca="false">IF(OR($J943="",$J943=0),"",$I943/$J943)</f>
        <v/>
      </c>
      <c r="L943" s="9" t="str">
        <f aca="false">IF(OR($E943="",$E943=0),"",$H943/$E943)</f>
        <v/>
      </c>
      <c r="M943" s="10" t="str">
        <f aca="false">IF(OR($L943="",$L943=0),"",($I943/30)/$L943)</f>
        <v/>
      </c>
      <c r="N943" s="8"/>
      <c r="O943" s="11" t="str">
        <f aca="false">IF(OR($I943="",$N943=""),"",($I943/1000)*$N943)</f>
        <v/>
      </c>
      <c r="P943" s="12" t="str">
        <f aca="false">IF($C943="","",IFERROR(ROUND(MIN(25,($N943/Instellingen!$B$3)*25)+MIN(25,($I943/Instellingen!$B$4)*25)+MIN(25,($J943/Instellingen!$B$5)*25)+MIN(25,(IF($M943="",0,$M943)/Instellingen!$B$6)*25),0),""))</f>
        <v/>
      </c>
      <c r="Q943" s="13" t="str">
        <f aca="false">IF($P943="","",IF($P943&gt;=Instellingen!$B$7,"Sterke niche",IF($P943&gt;=Instellingen!$B$8,"Belofte - opvolgen",IF($P943&gt;=Instellingen!$B$9,"Zwak - twijfel","Vermijden"))))</f>
        <v/>
      </c>
      <c r="R943" s="5"/>
      <c r="T943" s="1" t="str">
        <f aca="false">IF($C943="","",IF($P943=_xlfn.MAXIFS($P$3:$P$1000,$B$3:$B$1000,$B943),"★ Cash cow – handmatig onderzoeken",""))</f>
        <v/>
      </c>
    </row>
    <row r="944" customFormat="false" ht="14.25" hidden="false" customHeight="true" outlineLevel="0" collapsed="false">
      <c r="A944" s="4"/>
      <c r="B944" s="5"/>
      <c r="C944" s="5"/>
      <c r="D944" s="5"/>
      <c r="E944" s="6"/>
      <c r="F944" s="7"/>
      <c r="G944" s="8"/>
      <c r="H944" s="7"/>
      <c r="I944" s="7"/>
      <c r="J944" s="6"/>
      <c r="K944" s="9" t="str">
        <f aca="false">IF(OR($J944="",$J944=0),"",$I944/$J944)</f>
        <v/>
      </c>
      <c r="L944" s="9" t="str">
        <f aca="false">IF(OR($E944="",$E944=0),"",$H944/$E944)</f>
        <v/>
      </c>
      <c r="M944" s="10" t="str">
        <f aca="false">IF(OR($L944="",$L944=0),"",($I944/30)/$L944)</f>
        <v/>
      </c>
      <c r="N944" s="8"/>
      <c r="O944" s="11" t="str">
        <f aca="false">IF(OR($I944="",$N944=""),"",($I944/1000)*$N944)</f>
        <v/>
      </c>
      <c r="P944" s="12" t="str">
        <f aca="false">IF($C944="","",IFERROR(ROUND(MIN(25,($N944/Instellingen!$B$3)*25)+MIN(25,($I944/Instellingen!$B$4)*25)+MIN(25,($J944/Instellingen!$B$5)*25)+MIN(25,(IF($M944="",0,$M944)/Instellingen!$B$6)*25),0),""))</f>
        <v/>
      </c>
      <c r="Q944" s="13" t="str">
        <f aca="false">IF($P944="","",IF($P944&gt;=Instellingen!$B$7,"Sterke niche",IF($P944&gt;=Instellingen!$B$8,"Belofte - opvolgen",IF($P944&gt;=Instellingen!$B$9,"Zwak - twijfel","Vermijden"))))</f>
        <v/>
      </c>
      <c r="R944" s="5"/>
      <c r="T944" s="1" t="str">
        <f aca="false">IF($C944="","",IF($P944=_xlfn.MAXIFS($P$3:$P$1000,$B$3:$B$1000,$B944),"★ Cash cow – handmatig onderzoeken",""))</f>
        <v/>
      </c>
    </row>
    <row r="945" customFormat="false" ht="14.25" hidden="false" customHeight="true" outlineLevel="0" collapsed="false">
      <c r="A945" s="4"/>
      <c r="B945" s="5"/>
      <c r="C945" s="5"/>
      <c r="D945" s="5"/>
      <c r="E945" s="6"/>
      <c r="F945" s="7"/>
      <c r="G945" s="8"/>
      <c r="H945" s="7"/>
      <c r="I945" s="7"/>
      <c r="J945" s="6"/>
      <c r="K945" s="9" t="str">
        <f aca="false">IF(OR($J945="",$J945=0),"",$I945/$J945)</f>
        <v/>
      </c>
      <c r="L945" s="9" t="str">
        <f aca="false">IF(OR($E945="",$E945=0),"",$H945/$E945)</f>
        <v/>
      </c>
      <c r="M945" s="10" t="str">
        <f aca="false">IF(OR($L945="",$L945=0),"",($I945/30)/$L945)</f>
        <v/>
      </c>
      <c r="N945" s="8"/>
      <c r="O945" s="11" t="str">
        <f aca="false">IF(OR($I945="",$N945=""),"",($I945/1000)*$N945)</f>
        <v/>
      </c>
      <c r="P945" s="12" t="str">
        <f aca="false">IF($C945="","",IFERROR(ROUND(MIN(25,($N945/Instellingen!$B$3)*25)+MIN(25,($I945/Instellingen!$B$4)*25)+MIN(25,($J945/Instellingen!$B$5)*25)+MIN(25,(IF($M945="",0,$M945)/Instellingen!$B$6)*25),0),""))</f>
        <v/>
      </c>
      <c r="Q945" s="13" t="str">
        <f aca="false">IF($P945="","",IF($P945&gt;=Instellingen!$B$7,"Sterke niche",IF($P945&gt;=Instellingen!$B$8,"Belofte - opvolgen",IF($P945&gt;=Instellingen!$B$9,"Zwak - twijfel","Vermijden"))))</f>
        <v/>
      </c>
      <c r="R945" s="5"/>
      <c r="T945" s="1" t="str">
        <f aca="false">IF($C945="","",IF($P945=_xlfn.MAXIFS($P$3:$P$1000,$B$3:$B$1000,$B945),"★ Cash cow – handmatig onderzoeken",""))</f>
        <v/>
      </c>
    </row>
    <row r="946" customFormat="false" ht="14.25" hidden="false" customHeight="true" outlineLevel="0" collapsed="false">
      <c r="A946" s="4"/>
      <c r="B946" s="5"/>
      <c r="C946" s="5"/>
      <c r="D946" s="5"/>
      <c r="E946" s="6"/>
      <c r="F946" s="7"/>
      <c r="G946" s="8"/>
      <c r="H946" s="7"/>
      <c r="I946" s="7"/>
      <c r="J946" s="6"/>
      <c r="K946" s="9" t="str">
        <f aca="false">IF(OR($J946="",$J946=0),"",$I946/$J946)</f>
        <v/>
      </c>
      <c r="L946" s="9" t="str">
        <f aca="false">IF(OR($E946="",$E946=0),"",$H946/$E946)</f>
        <v/>
      </c>
      <c r="M946" s="10" t="str">
        <f aca="false">IF(OR($L946="",$L946=0),"",($I946/30)/$L946)</f>
        <v/>
      </c>
      <c r="N946" s="8"/>
      <c r="O946" s="11" t="str">
        <f aca="false">IF(OR($I946="",$N946=""),"",($I946/1000)*$N946)</f>
        <v/>
      </c>
      <c r="P946" s="12" t="str">
        <f aca="false">IF($C946="","",IFERROR(ROUND(MIN(25,($N946/Instellingen!$B$3)*25)+MIN(25,($I946/Instellingen!$B$4)*25)+MIN(25,($J946/Instellingen!$B$5)*25)+MIN(25,(IF($M946="",0,$M946)/Instellingen!$B$6)*25),0),""))</f>
        <v/>
      </c>
      <c r="Q946" s="13" t="str">
        <f aca="false">IF($P946="","",IF($P946&gt;=Instellingen!$B$7,"Sterke niche",IF($P946&gt;=Instellingen!$B$8,"Belofte - opvolgen",IF($P946&gt;=Instellingen!$B$9,"Zwak - twijfel","Vermijden"))))</f>
        <v/>
      </c>
      <c r="R946" s="5"/>
      <c r="T946" s="1" t="str">
        <f aca="false">IF($C946="","",IF($P946=_xlfn.MAXIFS($P$3:$P$1000,$B$3:$B$1000,$B946),"★ Cash cow – handmatig onderzoeken",""))</f>
        <v/>
      </c>
    </row>
    <row r="947" customFormat="false" ht="14.25" hidden="false" customHeight="true" outlineLevel="0" collapsed="false">
      <c r="A947" s="4"/>
      <c r="B947" s="5"/>
      <c r="C947" s="5"/>
      <c r="D947" s="5"/>
      <c r="E947" s="6"/>
      <c r="F947" s="7"/>
      <c r="G947" s="8"/>
      <c r="H947" s="7"/>
      <c r="I947" s="7"/>
      <c r="J947" s="6"/>
      <c r="K947" s="9" t="str">
        <f aca="false">IF(OR($J947="",$J947=0),"",$I947/$J947)</f>
        <v/>
      </c>
      <c r="L947" s="9" t="str">
        <f aca="false">IF(OR($E947="",$E947=0),"",$H947/$E947)</f>
        <v/>
      </c>
      <c r="M947" s="10" t="str">
        <f aca="false">IF(OR($L947="",$L947=0),"",($I947/30)/$L947)</f>
        <v/>
      </c>
      <c r="N947" s="8"/>
      <c r="O947" s="11" t="str">
        <f aca="false">IF(OR($I947="",$N947=""),"",($I947/1000)*$N947)</f>
        <v/>
      </c>
      <c r="P947" s="12" t="str">
        <f aca="false">IF($C947="","",IFERROR(ROUND(MIN(25,($N947/Instellingen!$B$3)*25)+MIN(25,($I947/Instellingen!$B$4)*25)+MIN(25,($J947/Instellingen!$B$5)*25)+MIN(25,(IF($M947="",0,$M947)/Instellingen!$B$6)*25),0),""))</f>
        <v/>
      </c>
      <c r="Q947" s="13" t="str">
        <f aca="false">IF($P947="","",IF($P947&gt;=Instellingen!$B$7,"Sterke niche",IF($P947&gt;=Instellingen!$B$8,"Belofte - opvolgen",IF($P947&gt;=Instellingen!$B$9,"Zwak - twijfel","Vermijden"))))</f>
        <v/>
      </c>
      <c r="R947" s="5"/>
      <c r="T947" s="1" t="str">
        <f aca="false">IF($C947="","",IF($P947=_xlfn.MAXIFS($P$3:$P$1000,$B$3:$B$1000,$B947),"★ Cash cow – handmatig onderzoeken",""))</f>
        <v/>
      </c>
    </row>
    <row r="948" customFormat="false" ht="14.25" hidden="false" customHeight="true" outlineLevel="0" collapsed="false">
      <c r="A948" s="4"/>
      <c r="B948" s="5"/>
      <c r="C948" s="5"/>
      <c r="D948" s="5"/>
      <c r="E948" s="6"/>
      <c r="F948" s="7"/>
      <c r="G948" s="8"/>
      <c r="H948" s="7"/>
      <c r="I948" s="7"/>
      <c r="J948" s="6"/>
      <c r="K948" s="9" t="str">
        <f aca="false">IF(OR($J948="",$J948=0),"",$I948/$J948)</f>
        <v/>
      </c>
      <c r="L948" s="9" t="str">
        <f aca="false">IF(OR($E948="",$E948=0),"",$H948/$E948)</f>
        <v/>
      </c>
      <c r="M948" s="10" t="str">
        <f aca="false">IF(OR($L948="",$L948=0),"",($I948/30)/$L948)</f>
        <v/>
      </c>
      <c r="N948" s="8"/>
      <c r="O948" s="11" t="str">
        <f aca="false">IF(OR($I948="",$N948=""),"",($I948/1000)*$N948)</f>
        <v/>
      </c>
      <c r="P948" s="12" t="str">
        <f aca="false">IF($C948="","",IFERROR(ROUND(MIN(25,($N948/Instellingen!$B$3)*25)+MIN(25,($I948/Instellingen!$B$4)*25)+MIN(25,($J948/Instellingen!$B$5)*25)+MIN(25,(IF($M948="",0,$M948)/Instellingen!$B$6)*25),0),""))</f>
        <v/>
      </c>
      <c r="Q948" s="13" t="str">
        <f aca="false">IF($P948="","",IF($P948&gt;=Instellingen!$B$7,"Sterke niche",IF($P948&gt;=Instellingen!$B$8,"Belofte - opvolgen",IF($P948&gt;=Instellingen!$B$9,"Zwak - twijfel","Vermijden"))))</f>
        <v/>
      </c>
      <c r="R948" s="5"/>
      <c r="T948" s="1" t="str">
        <f aca="false">IF($C948="","",IF($P948=_xlfn.MAXIFS($P$3:$P$1000,$B$3:$B$1000,$B948),"★ Cash cow – handmatig onderzoeken",""))</f>
        <v/>
      </c>
    </row>
    <row r="949" customFormat="false" ht="14.25" hidden="false" customHeight="true" outlineLevel="0" collapsed="false">
      <c r="A949" s="4"/>
      <c r="B949" s="5"/>
      <c r="C949" s="5"/>
      <c r="D949" s="5"/>
      <c r="E949" s="6"/>
      <c r="F949" s="7"/>
      <c r="G949" s="8"/>
      <c r="H949" s="7"/>
      <c r="I949" s="7"/>
      <c r="J949" s="6"/>
      <c r="K949" s="9" t="str">
        <f aca="false">IF(OR($J949="",$J949=0),"",$I949/$J949)</f>
        <v/>
      </c>
      <c r="L949" s="9" t="str">
        <f aca="false">IF(OR($E949="",$E949=0),"",$H949/$E949)</f>
        <v/>
      </c>
      <c r="M949" s="10" t="str">
        <f aca="false">IF(OR($L949="",$L949=0),"",($I949/30)/$L949)</f>
        <v/>
      </c>
      <c r="N949" s="8"/>
      <c r="O949" s="11" t="str">
        <f aca="false">IF(OR($I949="",$N949=""),"",($I949/1000)*$N949)</f>
        <v/>
      </c>
      <c r="P949" s="12" t="str">
        <f aca="false">IF($C949="","",IFERROR(ROUND(MIN(25,($N949/Instellingen!$B$3)*25)+MIN(25,($I949/Instellingen!$B$4)*25)+MIN(25,($J949/Instellingen!$B$5)*25)+MIN(25,(IF($M949="",0,$M949)/Instellingen!$B$6)*25),0),""))</f>
        <v/>
      </c>
      <c r="Q949" s="13" t="str">
        <f aca="false">IF($P949="","",IF($P949&gt;=Instellingen!$B$7,"Sterke niche",IF($P949&gt;=Instellingen!$B$8,"Belofte - opvolgen",IF($P949&gt;=Instellingen!$B$9,"Zwak - twijfel","Vermijden"))))</f>
        <v/>
      </c>
      <c r="R949" s="5"/>
      <c r="T949" s="1" t="str">
        <f aca="false">IF($C949="","",IF($P949=_xlfn.MAXIFS($P$3:$P$1000,$B$3:$B$1000,$B949),"★ Cash cow – handmatig onderzoeken",""))</f>
        <v/>
      </c>
    </row>
    <row r="950" customFormat="false" ht="14.25" hidden="false" customHeight="true" outlineLevel="0" collapsed="false">
      <c r="A950" s="4"/>
      <c r="B950" s="5"/>
      <c r="C950" s="5"/>
      <c r="D950" s="5"/>
      <c r="E950" s="6"/>
      <c r="F950" s="7"/>
      <c r="G950" s="8"/>
      <c r="H950" s="7"/>
      <c r="I950" s="7"/>
      <c r="J950" s="6"/>
      <c r="K950" s="9" t="str">
        <f aca="false">IF(OR($J950="",$J950=0),"",$I950/$J950)</f>
        <v/>
      </c>
      <c r="L950" s="9" t="str">
        <f aca="false">IF(OR($E950="",$E950=0),"",$H950/$E950)</f>
        <v/>
      </c>
      <c r="M950" s="10" t="str">
        <f aca="false">IF(OR($L950="",$L950=0),"",($I950/30)/$L950)</f>
        <v/>
      </c>
      <c r="N950" s="8"/>
      <c r="O950" s="11" t="str">
        <f aca="false">IF(OR($I950="",$N950=""),"",($I950/1000)*$N950)</f>
        <v/>
      </c>
      <c r="P950" s="12" t="str">
        <f aca="false">IF($C950="","",IFERROR(ROUND(MIN(25,($N950/Instellingen!$B$3)*25)+MIN(25,($I950/Instellingen!$B$4)*25)+MIN(25,($J950/Instellingen!$B$5)*25)+MIN(25,(IF($M950="",0,$M950)/Instellingen!$B$6)*25),0),""))</f>
        <v/>
      </c>
      <c r="Q950" s="13" t="str">
        <f aca="false">IF($P950="","",IF($P950&gt;=Instellingen!$B$7,"Sterke niche",IF($P950&gt;=Instellingen!$B$8,"Belofte - opvolgen",IF($P950&gt;=Instellingen!$B$9,"Zwak - twijfel","Vermijden"))))</f>
        <v/>
      </c>
      <c r="R950" s="5"/>
      <c r="T950" s="1" t="str">
        <f aca="false">IF($C950="","",IF($P950=_xlfn.MAXIFS($P$3:$P$1000,$B$3:$B$1000,$B950),"★ Cash cow – handmatig onderzoeken",""))</f>
        <v/>
      </c>
    </row>
    <row r="951" customFormat="false" ht="14.25" hidden="false" customHeight="true" outlineLevel="0" collapsed="false">
      <c r="A951" s="4"/>
      <c r="B951" s="5"/>
      <c r="C951" s="5"/>
      <c r="D951" s="5"/>
      <c r="E951" s="6"/>
      <c r="F951" s="7"/>
      <c r="G951" s="8"/>
      <c r="H951" s="7"/>
      <c r="I951" s="7"/>
      <c r="J951" s="6"/>
      <c r="K951" s="9" t="str">
        <f aca="false">IF(OR($J951="",$J951=0),"",$I951/$J951)</f>
        <v/>
      </c>
      <c r="L951" s="9" t="str">
        <f aca="false">IF(OR($E951="",$E951=0),"",$H951/$E951)</f>
        <v/>
      </c>
      <c r="M951" s="10" t="str">
        <f aca="false">IF(OR($L951="",$L951=0),"",($I951/30)/$L951)</f>
        <v/>
      </c>
      <c r="N951" s="8"/>
      <c r="O951" s="11" t="str">
        <f aca="false">IF(OR($I951="",$N951=""),"",($I951/1000)*$N951)</f>
        <v/>
      </c>
      <c r="P951" s="12" t="str">
        <f aca="false">IF($C951="","",IFERROR(ROUND(MIN(25,($N951/Instellingen!$B$3)*25)+MIN(25,($I951/Instellingen!$B$4)*25)+MIN(25,($J951/Instellingen!$B$5)*25)+MIN(25,(IF($M951="",0,$M951)/Instellingen!$B$6)*25),0),""))</f>
        <v/>
      </c>
      <c r="Q951" s="13" t="str">
        <f aca="false">IF($P951="","",IF($P951&gt;=Instellingen!$B$7,"Sterke niche",IF($P951&gt;=Instellingen!$B$8,"Belofte - opvolgen",IF($P951&gt;=Instellingen!$B$9,"Zwak - twijfel","Vermijden"))))</f>
        <v/>
      </c>
      <c r="R951" s="5"/>
      <c r="T951" s="1" t="str">
        <f aca="false">IF($C951="","",IF($P951=_xlfn.MAXIFS($P$3:$P$1000,$B$3:$B$1000,$B951),"★ Cash cow – handmatig onderzoeken",""))</f>
        <v/>
      </c>
    </row>
    <row r="952" customFormat="false" ht="14.25" hidden="false" customHeight="true" outlineLevel="0" collapsed="false">
      <c r="A952" s="4"/>
      <c r="B952" s="5"/>
      <c r="C952" s="5"/>
      <c r="D952" s="5"/>
      <c r="E952" s="6"/>
      <c r="F952" s="7"/>
      <c r="G952" s="8"/>
      <c r="H952" s="7"/>
      <c r="I952" s="7"/>
      <c r="J952" s="6"/>
      <c r="K952" s="9" t="str">
        <f aca="false">IF(OR($J952="",$J952=0),"",$I952/$J952)</f>
        <v/>
      </c>
      <c r="L952" s="9" t="str">
        <f aca="false">IF(OR($E952="",$E952=0),"",$H952/$E952)</f>
        <v/>
      </c>
      <c r="M952" s="10" t="str">
        <f aca="false">IF(OR($L952="",$L952=0),"",($I952/30)/$L952)</f>
        <v/>
      </c>
      <c r="N952" s="8"/>
      <c r="O952" s="11" t="str">
        <f aca="false">IF(OR($I952="",$N952=""),"",($I952/1000)*$N952)</f>
        <v/>
      </c>
      <c r="P952" s="12" t="str">
        <f aca="false">IF($C952="","",IFERROR(ROUND(MIN(25,($N952/Instellingen!$B$3)*25)+MIN(25,($I952/Instellingen!$B$4)*25)+MIN(25,($J952/Instellingen!$B$5)*25)+MIN(25,(IF($M952="",0,$M952)/Instellingen!$B$6)*25),0),""))</f>
        <v/>
      </c>
      <c r="Q952" s="13" t="str">
        <f aca="false">IF($P952="","",IF($P952&gt;=Instellingen!$B$7,"Sterke niche",IF($P952&gt;=Instellingen!$B$8,"Belofte - opvolgen",IF($P952&gt;=Instellingen!$B$9,"Zwak - twijfel","Vermijden"))))</f>
        <v/>
      </c>
      <c r="R952" s="5"/>
      <c r="T952" s="1" t="str">
        <f aca="false">IF($C952="","",IF($P952=_xlfn.MAXIFS($P$3:$P$1000,$B$3:$B$1000,$B952),"★ Cash cow – handmatig onderzoeken",""))</f>
        <v/>
      </c>
    </row>
    <row r="953" customFormat="false" ht="14.25" hidden="false" customHeight="true" outlineLevel="0" collapsed="false">
      <c r="A953" s="4"/>
      <c r="B953" s="5"/>
      <c r="C953" s="5"/>
      <c r="D953" s="5"/>
      <c r="E953" s="6"/>
      <c r="F953" s="7"/>
      <c r="G953" s="8"/>
      <c r="H953" s="7"/>
      <c r="I953" s="7"/>
      <c r="J953" s="6"/>
      <c r="K953" s="9" t="str">
        <f aca="false">IF(OR($J953="",$J953=0),"",$I953/$J953)</f>
        <v/>
      </c>
      <c r="L953" s="9" t="str">
        <f aca="false">IF(OR($E953="",$E953=0),"",$H953/$E953)</f>
        <v/>
      </c>
      <c r="M953" s="10" t="str">
        <f aca="false">IF(OR($L953="",$L953=0),"",($I953/30)/$L953)</f>
        <v/>
      </c>
      <c r="N953" s="8"/>
      <c r="O953" s="11" t="str">
        <f aca="false">IF(OR($I953="",$N953=""),"",($I953/1000)*$N953)</f>
        <v/>
      </c>
      <c r="P953" s="12" t="str">
        <f aca="false">IF($C953="","",IFERROR(ROUND(MIN(25,($N953/Instellingen!$B$3)*25)+MIN(25,($I953/Instellingen!$B$4)*25)+MIN(25,($J953/Instellingen!$B$5)*25)+MIN(25,(IF($M953="",0,$M953)/Instellingen!$B$6)*25),0),""))</f>
        <v/>
      </c>
      <c r="Q953" s="13" t="str">
        <f aca="false">IF($P953="","",IF($P953&gt;=Instellingen!$B$7,"Sterke niche",IF($P953&gt;=Instellingen!$B$8,"Belofte - opvolgen",IF($P953&gt;=Instellingen!$B$9,"Zwak - twijfel","Vermijden"))))</f>
        <v/>
      </c>
      <c r="R953" s="5"/>
      <c r="T953" s="1" t="str">
        <f aca="false">IF($C953="","",IF($P953=_xlfn.MAXIFS($P$3:$P$1000,$B$3:$B$1000,$B953),"★ Cash cow – handmatig onderzoeken",""))</f>
        <v/>
      </c>
    </row>
    <row r="954" customFormat="false" ht="14.25" hidden="false" customHeight="true" outlineLevel="0" collapsed="false">
      <c r="A954" s="4"/>
      <c r="B954" s="5"/>
      <c r="C954" s="5"/>
      <c r="D954" s="5"/>
      <c r="E954" s="6"/>
      <c r="F954" s="7"/>
      <c r="G954" s="8"/>
      <c r="H954" s="7"/>
      <c r="I954" s="7"/>
      <c r="J954" s="6"/>
      <c r="K954" s="9" t="str">
        <f aca="false">IF(OR($J954="",$J954=0),"",$I954/$J954)</f>
        <v/>
      </c>
      <c r="L954" s="9" t="str">
        <f aca="false">IF(OR($E954="",$E954=0),"",$H954/$E954)</f>
        <v/>
      </c>
      <c r="M954" s="10" t="str">
        <f aca="false">IF(OR($L954="",$L954=0),"",($I954/30)/$L954)</f>
        <v/>
      </c>
      <c r="N954" s="8"/>
      <c r="O954" s="11" t="str">
        <f aca="false">IF(OR($I954="",$N954=""),"",($I954/1000)*$N954)</f>
        <v/>
      </c>
      <c r="P954" s="12" t="str">
        <f aca="false">IF($C954="","",IFERROR(ROUND(MIN(25,($N954/Instellingen!$B$3)*25)+MIN(25,($I954/Instellingen!$B$4)*25)+MIN(25,($J954/Instellingen!$B$5)*25)+MIN(25,(IF($M954="",0,$M954)/Instellingen!$B$6)*25),0),""))</f>
        <v/>
      </c>
      <c r="Q954" s="13" t="str">
        <f aca="false">IF($P954="","",IF($P954&gt;=Instellingen!$B$7,"Sterke niche",IF($P954&gt;=Instellingen!$B$8,"Belofte - opvolgen",IF($P954&gt;=Instellingen!$B$9,"Zwak - twijfel","Vermijden"))))</f>
        <v/>
      </c>
      <c r="R954" s="5"/>
      <c r="T954" s="1" t="str">
        <f aca="false">IF($C954="","",IF($P954=_xlfn.MAXIFS($P$3:$P$1000,$B$3:$B$1000,$B954),"★ Cash cow – handmatig onderzoeken",""))</f>
        <v/>
      </c>
    </row>
    <row r="955" customFormat="false" ht="14.25" hidden="false" customHeight="true" outlineLevel="0" collapsed="false">
      <c r="A955" s="4"/>
      <c r="B955" s="5"/>
      <c r="C955" s="5"/>
      <c r="D955" s="5"/>
      <c r="E955" s="6"/>
      <c r="F955" s="7"/>
      <c r="G955" s="8"/>
      <c r="H955" s="7"/>
      <c r="I955" s="7"/>
      <c r="J955" s="6"/>
      <c r="K955" s="9" t="str">
        <f aca="false">IF(OR($J955="",$J955=0),"",$I955/$J955)</f>
        <v/>
      </c>
      <c r="L955" s="9" t="str">
        <f aca="false">IF(OR($E955="",$E955=0),"",$H955/$E955)</f>
        <v/>
      </c>
      <c r="M955" s="10" t="str">
        <f aca="false">IF(OR($L955="",$L955=0),"",($I955/30)/$L955)</f>
        <v/>
      </c>
      <c r="N955" s="8"/>
      <c r="O955" s="11" t="str">
        <f aca="false">IF(OR($I955="",$N955=""),"",($I955/1000)*$N955)</f>
        <v/>
      </c>
      <c r="P955" s="12" t="str">
        <f aca="false">IF($C955="","",IFERROR(ROUND(MIN(25,($N955/Instellingen!$B$3)*25)+MIN(25,($I955/Instellingen!$B$4)*25)+MIN(25,($J955/Instellingen!$B$5)*25)+MIN(25,(IF($M955="",0,$M955)/Instellingen!$B$6)*25),0),""))</f>
        <v/>
      </c>
      <c r="Q955" s="13" t="str">
        <f aca="false">IF($P955="","",IF($P955&gt;=Instellingen!$B$7,"Sterke niche",IF($P955&gt;=Instellingen!$B$8,"Belofte - opvolgen",IF($P955&gt;=Instellingen!$B$9,"Zwak - twijfel","Vermijden"))))</f>
        <v/>
      </c>
      <c r="R955" s="5"/>
      <c r="T955" s="1" t="str">
        <f aca="false">IF($C955="","",IF($P955=_xlfn.MAXIFS($P$3:$P$1000,$B$3:$B$1000,$B955),"★ Cash cow – handmatig onderzoeken",""))</f>
        <v/>
      </c>
    </row>
    <row r="956" customFormat="false" ht="14.25" hidden="false" customHeight="true" outlineLevel="0" collapsed="false">
      <c r="A956" s="4"/>
      <c r="B956" s="5"/>
      <c r="C956" s="5"/>
      <c r="D956" s="5"/>
      <c r="E956" s="6"/>
      <c r="F956" s="7"/>
      <c r="G956" s="8"/>
      <c r="H956" s="7"/>
      <c r="I956" s="7"/>
      <c r="J956" s="6"/>
      <c r="K956" s="9" t="str">
        <f aca="false">IF(OR($J956="",$J956=0),"",$I956/$J956)</f>
        <v/>
      </c>
      <c r="L956" s="9" t="str">
        <f aca="false">IF(OR($E956="",$E956=0),"",$H956/$E956)</f>
        <v/>
      </c>
      <c r="M956" s="10" t="str">
        <f aca="false">IF(OR($L956="",$L956=0),"",($I956/30)/$L956)</f>
        <v/>
      </c>
      <c r="N956" s="8"/>
      <c r="O956" s="11" t="str">
        <f aca="false">IF(OR($I956="",$N956=""),"",($I956/1000)*$N956)</f>
        <v/>
      </c>
      <c r="P956" s="12" t="str">
        <f aca="false">IF($C956="","",IFERROR(ROUND(MIN(25,($N956/Instellingen!$B$3)*25)+MIN(25,($I956/Instellingen!$B$4)*25)+MIN(25,($J956/Instellingen!$B$5)*25)+MIN(25,(IF($M956="",0,$M956)/Instellingen!$B$6)*25),0),""))</f>
        <v/>
      </c>
      <c r="Q956" s="13" t="str">
        <f aca="false">IF($P956="","",IF($P956&gt;=Instellingen!$B$7,"Sterke niche",IF($P956&gt;=Instellingen!$B$8,"Belofte - opvolgen",IF($P956&gt;=Instellingen!$B$9,"Zwak - twijfel","Vermijden"))))</f>
        <v/>
      </c>
      <c r="R956" s="5"/>
      <c r="T956" s="1" t="str">
        <f aca="false">IF($C956="","",IF($P956=_xlfn.MAXIFS($P$3:$P$1000,$B$3:$B$1000,$B956),"★ Cash cow – handmatig onderzoeken",""))</f>
        <v/>
      </c>
    </row>
    <row r="957" customFormat="false" ht="14.25" hidden="false" customHeight="true" outlineLevel="0" collapsed="false">
      <c r="A957" s="4"/>
      <c r="B957" s="5"/>
      <c r="C957" s="5"/>
      <c r="D957" s="5"/>
      <c r="E957" s="6"/>
      <c r="F957" s="7"/>
      <c r="G957" s="8"/>
      <c r="H957" s="7"/>
      <c r="I957" s="7"/>
      <c r="J957" s="6"/>
      <c r="K957" s="9" t="str">
        <f aca="false">IF(OR($J957="",$J957=0),"",$I957/$J957)</f>
        <v/>
      </c>
      <c r="L957" s="9" t="str">
        <f aca="false">IF(OR($E957="",$E957=0),"",$H957/$E957)</f>
        <v/>
      </c>
      <c r="M957" s="10" t="str">
        <f aca="false">IF(OR($L957="",$L957=0),"",($I957/30)/$L957)</f>
        <v/>
      </c>
      <c r="N957" s="8"/>
      <c r="O957" s="11" t="str">
        <f aca="false">IF(OR($I957="",$N957=""),"",($I957/1000)*$N957)</f>
        <v/>
      </c>
      <c r="P957" s="12" t="str">
        <f aca="false">IF($C957="","",IFERROR(ROUND(MIN(25,($N957/Instellingen!$B$3)*25)+MIN(25,($I957/Instellingen!$B$4)*25)+MIN(25,($J957/Instellingen!$B$5)*25)+MIN(25,(IF($M957="",0,$M957)/Instellingen!$B$6)*25),0),""))</f>
        <v/>
      </c>
      <c r="Q957" s="13" t="str">
        <f aca="false">IF($P957="","",IF($P957&gt;=Instellingen!$B$7,"Sterke niche",IF($P957&gt;=Instellingen!$B$8,"Belofte - opvolgen",IF($P957&gt;=Instellingen!$B$9,"Zwak - twijfel","Vermijden"))))</f>
        <v/>
      </c>
      <c r="R957" s="5"/>
      <c r="T957" s="1" t="str">
        <f aca="false">IF($C957="","",IF($P957=_xlfn.MAXIFS($P$3:$P$1000,$B$3:$B$1000,$B957),"★ Cash cow – handmatig onderzoeken",""))</f>
        <v/>
      </c>
    </row>
    <row r="958" customFormat="false" ht="14.25" hidden="false" customHeight="true" outlineLevel="0" collapsed="false">
      <c r="A958" s="4"/>
      <c r="B958" s="5"/>
      <c r="C958" s="5"/>
      <c r="D958" s="5"/>
      <c r="E958" s="6"/>
      <c r="F958" s="7"/>
      <c r="G958" s="8"/>
      <c r="H958" s="7"/>
      <c r="I958" s="7"/>
      <c r="J958" s="6"/>
      <c r="K958" s="9" t="str">
        <f aca="false">IF(OR($J958="",$J958=0),"",$I958/$J958)</f>
        <v/>
      </c>
      <c r="L958" s="9" t="str">
        <f aca="false">IF(OR($E958="",$E958=0),"",$H958/$E958)</f>
        <v/>
      </c>
      <c r="M958" s="10" t="str">
        <f aca="false">IF(OR($L958="",$L958=0),"",($I958/30)/$L958)</f>
        <v/>
      </c>
      <c r="N958" s="8"/>
      <c r="O958" s="11" t="str">
        <f aca="false">IF(OR($I958="",$N958=""),"",($I958/1000)*$N958)</f>
        <v/>
      </c>
      <c r="P958" s="12" t="str">
        <f aca="false">IF($C958="","",IFERROR(ROUND(MIN(25,($N958/Instellingen!$B$3)*25)+MIN(25,($I958/Instellingen!$B$4)*25)+MIN(25,($J958/Instellingen!$B$5)*25)+MIN(25,(IF($M958="",0,$M958)/Instellingen!$B$6)*25),0),""))</f>
        <v/>
      </c>
      <c r="Q958" s="13" t="str">
        <f aca="false">IF($P958="","",IF($P958&gt;=Instellingen!$B$7,"Sterke niche",IF($P958&gt;=Instellingen!$B$8,"Belofte - opvolgen",IF($P958&gt;=Instellingen!$B$9,"Zwak - twijfel","Vermijden"))))</f>
        <v/>
      </c>
      <c r="R958" s="5"/>
      <c r="T958" s="1" t="str">
        <f aca="false">IF($C958="","",IF($P958=_xlfn.MAXIFS($P$3:$P$1000,$B$3:$B$1000,$B958),"★ Cash cow – handmatig onderzoeken",""))</f>
        <v/>
      </c>
    </row>
    <row r="959" customFormat="false" ht="14.25" hidden="false" customHeight="true" outlineLevel="0" collapsed="false">
      <c r="A959" s="4"/>
      <c r="B959" s="5"/>
      <c r="C959" s="5"/>
      <c r="D959" s="5"/>
      <c r="E959" s="6"/>
      <c r="F959" s="7"/>
      <c r="G959" s="8"/>
      <c r="H959" s="7"/>
      <c r="I959" s="7"/>
      <c r="J959" s="6"/>
      <c r="K959" s="9" t="str">
        <f aca="false">IF(OR($J959="",$J959=0),"",$I959/$J959)</f>
        <v/>
      </c>
      <c r="L959" s="9" t="str">
        <f aca="false">IF(OR($E959="",$E959=0),"",$H959/$E959)</f>
        <v/>
      </c>
      <c r="M959" s="10" t="str">
        <f aca="false">IF(OR($L959="",$L959=0),"",($I959/30)/$L959)</f>
        <v/>
      </c>
      <c r="N959" s="8"/>
      <c r="O959" s="11" t="str">
        <f aca="false">IF(OR($I959="",$N959=""),"",($I959/1000)*$N959)</f>
        <v/>
      </c>
      <c r="P959" s="12" t="str">
        <f aca="false">IF($C959="","",IFERROR(ROUND(MIN(25,($N959/Instellingen!$B$3)*25)+MIN(25,($I959/Instellingen!$B$4)*25)+MIN(25,($J959/Instellingen!$B$5)*25)+MIN(25,(IF($M959="",0,$M959)/Instellingen!$B$6)*25),0),""))</f>
        <v/>
      </c>
      <c r="Q959" s="13" t="str">
        <f aca="false">IF($P959="","",IF($P959&gt;=Instellingen!$B$7,"Sterke niche",IF($P959&gt;=Instellingen!$B$8,"Belofte - opvolgen",IF($P959&gt;=Instellingen!$B$9,"Zwak - twijfel","Vermijden"))))</f>
        <v/>
      </c>
      <c r="R959" s="5"/>
      <c r="T959" s="1" t="str">
        <f aca="false">IF($C959="","",IF($P959=_xlfn.MAXIFS($P$3:$P$1000,$B$3:$B$1000,$B959),"★ Cash cow – handmatig onderzoeken",""))</f>
        <v/>
      </c>
    </row>
    <row r="960" customFormat="false" ht="14.25" hidden="false" customHeight="true" outlineLevel="0" collapsed="false">
      <c r="A960" s="4"/>
      <c r="B960" s="5"/>
      <c r="C960" s="5"/>
      <c r="D960" s="5"/>
      <c r="E960" s="6"/>
      <c r="F960" s="7"/>
      <c r="G960" s="8"/>
      <c r="H960" s="7"/>
      <c r="I960" s="7"/>
      <c r="J960" s="6"/>
      <c r="K960" s="9" t="str">
        <f aca="false">IF(OR($J960="",$J960=0),"",$I960/$J960)</f>
        <v/>
      </c>
      <c r="L960" s="9" t="str">
        <f aca="false">IF(OR($E960="",$E960=0),"",$H960/$E960)</f>
        <v/>
      </c>
      <c r="M960" s="10" t="str">
        <f aca="false">IF(OR($L960="",$L960=0),"",($I960/30)/$L960)</f>
        <v/>
      </c>
      <c r="N960" s="8"/>
      <c r="O960" s="11" t="str">
        <f aca="false">IF(OR($I960="",$N960=""),"",($I960/1000)*$N960)</f>
        <v/>
      </c>
      <c r="P960" s="12" t="str">
        <f aca="false">IF($C960="","",IFERROR(ROUND(MIN(25,($N960/Instellingen!$B$3)*25)+MIN(25,($I960/Instellingen!$B$4)*25)+MIN(25,($J960/Instellingen!$B$5)*25)+MIN(25,(IF($M960="",0,$M960)/Instellingen!$B$6)*25),0),""))</f>
        <v/>
      </c>
      <c r="Q960" s="13" t="str">
        <f aca="false">IF($P960="","",IF($P960&gt;=Instellingen!$B$7,"Sterke niche",IF($P960&gt;=Instellingen!$B$8,"Belofte - opvolgen",IF($P960&gt;=Instellingen!$B$9,"Zwak - twijfel","Vermijden"))))</f>
        <v/>
      </c>
      <c r="R960" s="5"/>
      <c r="T960" s="1" t="str">
        <f aca="false">IF($C960="","",IF($P960=_xlfn.MAXIFS($P$3:$P$1000,$B$3:$B$1000,$B960),"★ Cash cow – handmatig onderzoeken",""))</f>
        <v/>
      </c>
    </row>
    <row r="961" customFormat="false" ht="14.25" hidden="false" customHeight="true" outlineLevel="0" collapsed="false">
      <c r="A961" s="4"/>
      <c r="B961" s="5"/>
      <c r="C961" s="5"/>
      <c r="D961" s="5"/>
      <c r="E961" s="6"/>
      <c r="F961" s="7"/>
      <c r="G961" s="8"/>
      <c r="H961" s="7"/>
      <c r="I961" s="7"/>
      <c r="J961" s="6"/>
      <c r="K961" s="9" t="str">
        <f aca="false">IF(OR($J961="",$J961=0),"",$I961/$J961)</f>
        <v/>
      </c>
      <c r="L961" s="9" t="str">
        <f aca="false">IF(OR($E961="",$E961=0),"",$H961/$E961)</f>
        <v/>
      </c>
      <c r="M961" s="10" t="str">
        <f aca="false">IF(OR($L961="",$L961=0),"",($I961/30)/$L961)</f>
        <v/>
      </c>
      <c r="N961" s="8"/>
      <c r="O961" s="11" t="str">
        <f aca="false">IF(OR($I961="",$N961=""),"",($I961/1000)*$N961)</f>
        <v/>
      </c>
      <c r="P961" s="12" t="str">
        <f aca="false">IF($C961="","",IFERROR(ROUND(MIN(25,($N961/Instellingen!$B$3)*25)+MIN(25,($I961/Instellingen!$B$4)*25)+MIN(25,($J961/Instellingen!$B$5)*25)+MIN(25,(IF($M961="",0,$M961)/Instellingen!$B$6)*25),0),""))</f>
        <v/>
      </c>
      <c r="Q961" s="13" t="str">
        <f aca="false">IF($P961="","",IF($P961&gt;=Instellingen!$B$7,"Sterke niche",IF($P961&gt;=Instellingen!$B$8,"Belofte - opvolgen",IF($P961&gt;=Instellingen!$B$9,"Zwak - twijfel","Vermijden"))))</f>
        <v/>
      </c>
      <c r="R961" s="5"/>
      <c r="T961" s="1" t="str">
        <f aca="false">IF($C961="","",IF($P961=_xlfn.MAXIFS($P$3:$P$1000,$B$3:$B$1000,$B961),"★ Cash cow – handmatig onderzoeken",""))</f>
        <v/>
      </c>
    </row>
    <row r="962" customFormat="false" ht="14.25" hidden="false" customHeight="true" outlineLevel="0" collapsed="false">
      <c r="A962" s="4"/>
      <c r="B962" s="5"/>
      <c r="C962" s="5"/>
      <c r="D962" s="5"/>
      <c r="E962" s="6"/>
      <c r="F962" s="7"/>
      <c r="G962" s="8"/>
      <c r="H962" s="7"/>
      <c r="I962" s="7"/>
      <c r="J962" s="6"/>
      <c r="K962" s="9" t="str">
        <f aca="false">IF(OR($J962="",$J962=0),"",$I962/$J962)</f>
        <v/>
      </c>
      <c r="L962" s="9" t="str">
        <f aca="false">IF(OR($E962="",$E962=0),"",$H962/$E962)</f>
        <v/>
      </c>
      <c r="M962" s="10" t="str">
        <f aca="false">IF(OR($L962="",$L962=0),"",($I962/30)/$L962)</f>
        <v/>
      </c>
      <c r="N962" s="8"/>
      <c r="O962" s="11" t="str">
        <f aca="false">IF(OR($I962="",$N962=""),"",($I962/1000)*$N962)</f>
        <v/>
      </c>
      <c r="P962" s="12" t="str">
        <f aca="false">IF($C962="","",IFERROR(ROUND(MIN(25,($N962/Instellingen!$B$3)*25)+MIN(25,($I962/Instellingen!$B$4)*25)+MIN(25,($J962/Instellingen!$B$5)*25)+MIN(25,(IF($M962="",0,$M962)/Instellingen!$B$6)*25),0),""))</f>
        <v/>
      </c>
      <c r="Q962" s="13" t="str">
        <f aca="false">IF($P962="","",IF($P962&gt;=Instellingen!$B$7,"Sterke niche",IF($P962&gt;=Instellingen!$B$8,"Belofte - opvolgen",IF($P962&gt;=Instellingen!$B$9,"Zwak - twijfel","Vermijden"))))</f>
        <v/>
      </c>
      <c r="R962" s="5"/>
      <c r="T962" s="1" t="str">
        <f aca="false">IF($C962="","",IF($P962=_xlfn.MAXIFS($P$3:$P$1000,$B$3:$B$1000,$B962),"★ Cash cow – handmatig onderzoeken",""))</f>
        <v/>
      </c>
    </row>
    <row r="963" customFormat="false" ht="14.25" hidden="false" customHeight="true" outlineLevel="0" collapsed="false">
      <c r="A963" s="4"/>
      <c r="B963" s="5"/>
      <c r="C963" s="5"/>
      <c r="D963" s="5"/>
      <c r="E963" s="6"/>
      <c r="F963" s="7"/>
      <c r="G963" s="8"/>
      <c r="H963" s="7"/>
      <c r="I963" s="7"/>
      <c r="J963" s="6"/>
      <c r="K963" s="9" t="str">
        <f aca="false">IF(OR($J963="",$J963=0),"",$I963/$J963)</f>
        <v/>
      </c>
      <c r="L963" s="9" t="str">
        <f aca="false">IF(OR($E963="",$E963=0),"",$H963/$E963)</f>
        <v/>
      </c>
      <c r="M963" s="10" t="str">
        <f aca="false">IF(OR($L963="",$L963=0),"",($I963/30)/$L963)</f>
        <v/>
      </c>
      <c r="N963" s="8"/>
      <c r="O963" s="11" t="str">
        <f aca="false">IF(OR($I963="",$N963=""),"",($I963/1000)*$N963)</f>
        <v/>
      </c>
      <c r="P963" s="12" t="str">
        <f aca="false">IF($C963="","",IFERROR(ROUND(MIN(25,($N963/Instellingen!$B$3)*25)+MIN(25,($I963/Instellingen!$B$4)*25)+MIN(25,($J963/Instellingen!$B$5)*25)+MIN(25,(IF($M963="",0,$M963)/Instellingen!$B$6)*25),0),""))</f>
        <v/>
      </c>
      <c r="Q963" s="13" t="str">
        <f aca="false">IF($P963="","",IF($P963&gt;=Instellingen!$B$7,"Sterke niche",IF($P963&gt;=Instellingen!$B$8,"Belofte - opvolgen",IF($P963&gt;=Instellingen!$B$9,"Zwak - twijfel","Vermijden"))))</f>
        <v/>
      </c>
      <c r="R963" s="5"/>
      <c r="T963" s="1" t="str">
        <f aca="false">IF($C963="","",IF($P963=_xlfn.MAXIFS($P$3:$P$1000,$B$3:$B$1000,$B963),"★ Cash cow – handmatig onderzoeken",""))</f>
        <v/>
      </c>
    </row>
    <row r="964" customFormat="false" ht="14.25" hidden="false" customHeight="true" outlineLevel="0" collapsed="false">
      <c r="A964" s="4"/>
      <c r="B964" s="5"/>
      <c r="C964" s="5"/>
      <c r="D964" s="5"/>
      <c r="E964" s="6"/>
      <c r="F964" s="7"/>
      <c r="G964" s="8"/>
      <c r="H964" s="7"/>
      <c r="I964" s="7"/>
      <c r="J964" s="6"/>
      <c r="K964" s="9" t="str">
        <f aca="false">IF(OR($J964="",$J964=0),"",$I964/$J964)</f>
        <v/>
      </c>
      <c r="L964" s="9" t="str">
        <f aca="false">IF(OR($E964="",$E964=0),"",$H964/$E964)</f>
        <v/>
      </c>
      <c r="M964" s="10" t="str">
        <f aca="false">IF(OR($L964="",$L964=0),"",($I964/30)/$L964)</f>
        <v/>
      </c>
      <c r="N964" s="8"/>
      <c r="O964" s="11" t="str">
        <f aca="false">IF(OR($I964="",$N964=""),"",($I964/1000)*$N964)</f>
        <v/>
      </c>
      <c r="P964" s="12" t="str">
        <f aca="false">IF($C964="","",IFERROR(ROUND(MIN(25,($N964/Instellingen!$B$3)*25)+MIN(25,($I964/Instellingen!$B$4)*25)+MIN(25,($J964/Instellingen!$B$5)*25)+MIN(25,(IF($M964="",0,$M964)/Instellingen!$B$6)*25),0),""))</f>
        <v/>
      </c>
      <c r="Q964" s="13" t="str">
        <f aca="false">IF($P964="","",IF($P964&gt;=Instellingen!$B$7,"Sterke niche",IF($P964&gt;=Instellingen!$B$8,"Belofte - opvolgen",IF($P964&gt;=Instellingen!$B$9,"Zwak - twijfel","Vermijden"))))</f>
        <v/>
      </c>
      <c r="R964" s="5"/>
      <c r="T964" s="1" t="str">
        <f aca="false">IF($C964="","",IF($P964=_xlfn.MAXIFS($P$3:$P$1000,$B$3:$B$1000,$B964),"★ Cash cow – handmatig onderzoeken",""))</f>
        <v/>
      </c>
    </row>
    <row r="965" customFormat="false" ht="14.25" hidden="false" customHeight="true" outlineLevel="0" collapsed="false">
      <c r="A965" s="4"/>
      <c r="B965" s="5"/>
      <c r="C965" s="5"/>
      <c r="D965" s="5"/>
      <c r="E965" s="6"/>
      <c r="F965" s="7"/>
      <c r="G965" s="8"/>
      <c r="H965" s="7"/>
      <c r="I965" s="7"/>
      <c r="J965" s="6"/>
      <c r="K965" s="9" t="str">
        <f aca="false">IF(OR($J965="",$J965=0),"",$I965/$J965)</f>
        <v/>
      </c>
      <c r="L965" s="9" t="str">
        <f aca="false">IF(OR($E965="",$E965=0),"",$H965/$E965)</f>
        <v/>
      </c>
      <c r="M965" s="10" t="str">
        <f aca="false">IF(OR($L965="",$L965=0),"",($I965/30)/$L965)</f>
        <v/>
      </c>
      <c r="N965" s="8"/>
      <c r="O965" s="11" t="str">
        <f aca="false">IF(OR($I965="",$N965=""),"",($I965/1000)*$N965)</f>
        <v/>
      </c>
      <c r="P965" s="12" t="str">
        <f aca="false">IF($C965="","",IFERROR(ROUND(MIN(25,($N965/Instellingen!$B$3)*25)+MIN(25,($I965/Instellingen!$B$4)*25)+MIN(25,($J965/Instellingen!$B$5)*25)+MIN(25,(IF($M965="",0,$M965)/Instellingen!$B$6)*25),0),""))</f>
        <v/>
      </c>
      <c r="Q965" s="13" t="str">
        <f aca="false">IF($P965="","",IF($P965&gt;=Instellingen!$B$7,"Sterke niche",IF($P965&gt;=Instellingen!$B$8,"Belofte - opvolgen",IF($P965&gt;=Instellingen!$B$9,"Zwak - twijfel","Vermijden"))))</f>
        <v/>
      </c>
      <c r="R965" s="5"/>
      <c r="T965" s="1" t="str">
        <f aca="false">IF($C965="","",IF($P965=_xlfn.MAXIFS($P$3:$P$1000,$B$3:$B$1000,$B965),"★ Cash cow – handmatig onderzoeken",""))</f>
        <v/>
      </c>
    </row>
    <row r="966" customFormat="false" ht="14.25" hidden="false" customHeight="true" outlineLevel="0" collapsed="false">
      <c r="A966" s="4"/>
      <c r="B966" s="5"/>
      <c r="C966" s="5"/>
      <c r="D966" s="5"/>
      <c r="E966" s="6"/>
      <c r="F966" s="7"/>
      <c r="G966" s="8"/>
      <c r="H966" s="7"/>
      <c r="I966" s="7"/>
      <c r="J966" s="6"/>
      <c r="K966" s="9" t="str">
        <f aca="false">IF(OR($J966="",$J966=0),"",$I966/$J966)</f>
        <v/>
      </c>
      <c r="L966" s="9" t="str">
        <f aca="false">IF(OR($E966="",$E966=0),"",$H966/$E966)</f>
        <v/>
      </c>
      <c r="M966" s="10" t="str">
        <f aca="false">IF(OR($L966="",$L966=0),"",($I966/30)/$L966)</f>
        <v/>
      </c>
      <c r="N966" s="8"/>
      <c r="O966" s="11" t="str">
        <f aca="false">IF(OR($I966="",$N966=""),"",($I966/1000)*$N966)</f>
        <v/>
      </c>
      <c r="P966" s="12" t="str">
        <f aca="false">IF($C966="","",IFERROR(ROUND(MIN(25,($N966/Instellingen!$B$3)*25)+MIN(25,($I966/Instellingen!$B$4)*25)+MIN(25,($J966/Instellingen!$B$5)*25)+MIN(25,(IF($M966="",0,$M966)/Instellingen!$B$6)*25),0),""))</f>
        <v/>
      </c>
      <c r="Q966" s="13" t="str">
        <f aca="false">IF($P966="","",IF($P966&gt;=Instellingen!$B$7,"Sterke niche",IF($P966&gt;=Instellingen!$B$8,"Belofte - opvolgen",IF($P966&gt;=Instellingen!$B$9,"Zwak - twijfel","Vermijden"))))</f>
        <v/>
      </c>
      <c r="R966" s="5"/>
      <c r="T966" s="1" t="str">
        <f aca="false">IF($C966="","",IF($P966=_xlfn.MAXIFS($P$3:$P$1000,$B$3:$B$1000,$B966),"★ Cash cow – handmatig onderzoeken",""))</f>
        <v/>
      </c>
    </row>
    <row r="967" customFormat="false" ht="14.25" hidden="false" customHeight="true" outlineLevel="0" collapsed="false">
      <c r="A967" s="4"/>
      <c r="B967" s="5"/>
      <c r="C967" s="5"/>
      <c r="D967" s="5"/>
      <c r="E967" s="6"/>
      <c r="F967" s="7"/>
      <c r="G967" s="8"/>
      <c r="H967" s="7"/>
      <c r="I967" s="7"/>
      <c r="J967" s="6"/>
      <c r="K967" s="9" t="str">
        <f aca="false">IF(OR($J967="",$J967=0),"",$I967/$J967)</f>
        <v/>
      </c>
      <c r="L967" s="9" t="str">
        <f aca="false">IF(OR($E967="",$E967=0),"",$H967/$E967)</f>
        <v/>
      </c>
      <c r="M967" s="10" t="str">
        <f aca="false">IF(OR($L967="",$L967=0),"",($I967/30)/$L967)</f>
        <v/>
      </c>
      <c r="N967" s="8"/>
      <c r="O967" s="11" t="str">
        <f aca="false">IF(OR($I967="",$N967=""),"",($I967/1000)*$N967)</f>
        <v/>
      </c>
      <c r="P967" s="12" t="str">
        <f aca="false">IF($C967="","",IFERROR(ROUND(MIN(25,($N967/Instellingen!$B$3)*25)+MIN(25,($I967/Instellingen!$B$4)*25)+MIN(25,($J967/Instellingen!$B$5)*25)+MIN(25,(IF($M967="",0,$M967)/Instellingen!$B$6)*25),0),""))</f>
        <v/>
      </c>
      <c r="Q967" s="13" t="str">
        <f aca="false">IF($P967="","",IF($P967&gt;=Instellingen!$B$7,"Sterke niche",IF($P967&gt;=Instellingen!$B$8,"Belofte - opvolgen",IF($P967&gt;=Instellingen!$B$9,"Zwak - twijfel","Vermijden"))))</f>
        <v/>
      </c>
      <c r="R967" s="5"/>
      <c r="T967" s="1" t="str">
        <f aca="false">IF($C967="","",IF($P967=_xlfn.MAXIFS($P$3:$P$1000,$B$3:$B$1000,$B967),"★ Cash cow – handmatig onderzoeken",""))</f>
        <v/>
      </c>
    </row>
    <row r="968" customFormat="false" ht="14.25" hidden="false" customHeight="true" outlineLevel="0" collapsed="false">
      <c r="A968" s="4"/>
      <c r="B968" s="5"/>
      <c r="C968" s="5"/>
      <c r="D968" s="5"/>
      <c r="E968" s="6"/>
      <c r="F968" s="7"/>
      <c r="G968" s="8"/>
      <c r="H968" s="7"/>
      <c r="I968" s="7"/>
      <c r="J968" s="6"/>
      <c r="K968" s="9" t="str">
        <f aca="false">IF(OR($J968="",$J968=0),"",$I968/$J968)</f>
        <v/>
      </c>
      <c r="L968" s="9" t="str">
        <f aca="false">IF(OR($E968="",$E968=0),"",$H968/$E968)</f>
        <v/>
      </c>
      <c r="M968" s="10" t="str">
        <f aca="false">IF(OR($L968="",$L968=0),"",($I968/30)/$L968)</f>
        <v/>
      </c>
      <c r="N968" s="8"/>
      <c r="O968" s="11" t="str">
        <f aca="false">IF(OR($I968="",$N968=""),"",($I968/1000)*$N968)</f>
        <v/>
      </c>
      <c r="P968" s="12" t="str">
        <f aca="false">IF($C968="","",IFERROR(ROUND(MIN(25,($N968/Instellingen!$B$3)*25)+MIN(25,($I968/Instellingen!$B$4)*25)+MIN(25,($J968/Instellingen!$B$5)*25)+MIN(25,(IF($M968="",0,$M968)/Instellingen!$B$6)*25),0),""))</f>
        <v/>
      </c>
      <c r="Q968" s="13" t="str">
        <f aca="false">IF($P968="","",IF($P968&gt;=Instellingen!$B$7,"Sterke niche",IF($P968&gt;=Instellingen!$B$8,"Belofte - opvolgen",IF($P968&gt;=Instellingen!$B$9,"Zwak - twijfel","Vermijden"))))</f>
        <v/>
      </c>
      <c r="R968" s="5"/>
      <c r="T968" s="1" t="str">
        <f aca="false">IF($C968="","",IF($P968=_xlfn.MAXIFS($P$3:$P$1000,$B$3:$B$1000,$B968),"★ Cash cow – handmatig onderzoeken",""))</f>
        <v/>
      </c>
    </row>
    <row r="969" customFormat="false" ht="14.25" hidden="false" customHeight="true" outlineLevel="0" collapsed="false">
      <c r="A969" s="4"/>
      <c r="B969" s="5"/>
      <c r="C969" s="5"/>
      <c r="D969" s="5"/>
      <c r="E969" s="6"/>
      <c r="F969" s="7"/>
      <c r="G969" s="8"/>
      <c r="H969" s="7"/>
      <c r="I969" s="7"/>
      <c r="J969" s="6"/>
      <c r="K969" s="9" t="str">
        <f aca="false">IF(OR($J969="",$J969=0),"",$I969/$J969)</f>
        <v/>
      </c>
      <c r="L969" s="9" t="str">
        <f aca="false">IF(OR($E969="",$E969=0),"",$H969/$E969)</f>
        <v/>
      </c>
      <c r="M969" s="10" t="str">
        <f aca="false">IF(OR($L969="",$L969=0),"",($I969/30)/$L969)</f>
        <v/>
      </c>
      <c r="N969" s="8"/>
      <c r="O969" s="11" t="str">
        <f aca="false">IF(OR($I969="",$N969=""),"",($I969/1000)*$N969)</f>
        <v/>
      </c>
      <c r="P969" s="12" t="str">
        <f aca="false">IF($C969="","",IFERROR(ROUND(MIN(25,($N969/Instellingen!$B$3)*25)+MIN(25,($I969/Instellingen!$B$4)*25)+MIN(25,($J969/Instellingen!$B$5)*25)+MIN(25,(IF($M969="",0,$M969)/Instellingen!$B$6)*25),0),""))</f>
        <v/>
      </c>
      <c r="Q969" s="13" t="str">
        <f aca="false">IF($P969="","",IF($P969&gt;=Instellingen!$B$7,"Sterke niche",IF($P969&gt;=Instellingen!$B$8,"Belofte - opvolgen",IF($P969&gt;=Instellingen!$B$9,"Zwak - twijfel","Vermijden"))))</f>
        <v/>
      </c>
      <c r="R969" s="5"/>
      <c r="T969" s="1" t="str">
        <f aca="false">IF($C969="","",IF($P969=_xlfn.MAXIFS($P$3:$P$1000,$B$3:$B$1000,$B969),"★ Cash cow – handmatig onderzoeken",""))</f>
        <v/>
      </c>
    </row>
    <row r="970" customFormat="false" ht="14.25" hidden="false" customHeight="true" outlineLevel="0" collapsed="false">
      <c r="A970" s="4"/>
      <c r="B970" s="5"/>
      <c r="C970" s="5"/>
      <c r="D970" s="5"/>
      <c r="E970" s="6"/>
      <c r="F970" s="7"/>
      <c r="G970" s="8"/>
      <c r="H970" s="7"/>
      <c r="I970" s="7"/>
      <c r="J970" s="6"/>
      <c r="K970" s="9" t="str">
        <f aca="false">IF(OR($J970="",$J970=0),"",$I970/$J970)</f>
        <v/>
      </c>
      <c r="L970" s="9" t="str">
        <f aca="false">IF(OR($E970="",$E970=0),"",$H970/$E970)</f>
        <v/>
      </c>
      <c r="M970" s="10" t="str">
        <f aca="false">IF(OR($L970="",$L970=0),"",($I970/30)/$L970)</f>
        <v/>
      </c>
      <c r="N970" s="8"/>
      <c r="O970" s="11" t="str">
        <f aca="false">IF(OR($I970="",$N970=""),"",($I970/1000)*$N970)</f>
        <v/>
      </c>
      <c r="P970" s="12" t="str">
        <f aca="false">IF($C970="","",IFERROR(ROUND(MIN(25,($N970/Instellingen!$B$3)*25)+MIN(25,($I970/Instellingen!$B$4)*25)+MIN(25,($J970/Instellingen!$B$5)*25)+MIN(25,(IF($M970="",0,$M970)/Instellingen!$B$6)*25),0),""))</f>
        <v/>
      </c>
      <c r="Q970" s="13" t="str">
        <f aca="false">IF($P970="","",IF($P970&gt;=Instellingen!$B$7,"Sterke niche",IF($P970&gt;=Instellingen!$B$8,"Belofte - opvolgen",IF($P970&gt;=Instellingen!$B$9,"Zwak - twijfel","Vermijden"))))</f>
        <v/>
      </c>
      <c r="R970" s="5"/>
      <c r="T970" s="1" t="str">
        <f aca="false">IF($C970="","",IF($P970=_xlfn.MAXIFS($P$3:$P$1000,$B$3:$B$1000,$B970),"★ Cash cow – handmatig onderzoeken",""))</f>
        <v/>
      </c>
    </row>
    <row r="971" customFormat="false" ht="14.25" hidden="false" customHeight="true" outlineLevel="0" collapsed="false">
      <c r="A971" s="4"/>
      <c r="B971" s="5"/>
      <c r="C971" s="5"/>
      <c r="D971" s="5"/>
      <c r="E971" s="6"/>
      <c r="F971" s="7"/>
      <c r="G971" s="8"/>
      <c r="H971" s="7"/>
      <c r="I971" s="7"/>
      <c r="J971" s="6"/>
      <c r="K971" s="9" t="str">
        <f aca="false">IF(OR($J971="",$J971=0),"",$I971/$J971)</f>
        <v/>
      </c>
      <c r="L971" s="9" t="str">
        <f aca="false">IF(OR($E971="",$E971=0),"",$H971/$E971)</f>
        <v/>
      </c>
      <c r="M971" s="10" t="str">
        <f aca="false">IF(OR($L971="",$L971=0),"",($I971/30)/$L971)</f>
        <v/>
      </c>
      <c r="N971" s="8"/>
      <c r="O971" s="11" t="str">
        <f aca="false">IF(OR($I971="",$N971=""),"",($I971/1000)*$N971)</f>
        <v/>
      </c>
      <c r="P971" s="12" t="str">
        <f aca="false">IF($C971="","",IFERROR(ROUND(MIN(25,($N971/Instellingen!$B$3)*25)+MIN(25,($I971/Instellingen!$B$4)*25)+MIN(25,($J971/Instellingen!$B$5)*25)+MIN(25,(IF($M971="",0,$M971)/Instellingen!$B$6)*25),0),""))</f>
        <v/>
      </c>
      <c r="Q971" s="13" t="str">
        <f aca="false">IF($P971="","",IF($P971&gt;=Instellingen!$B$7,"Sterke niche",IF($P971&gt;=Instellingen!$B$8,"Belofte - opvolgen",IF($P971&gt;=Instellingen!$B$9,"Zwak - twijfel","Vermijden"))))</f>
        <v/>
      </c>
      <c r="R971" s="5"/>
      <c r="T971" s="1" t="str">
        <f aca="false">IF($C971="","",IF($P971=_xlfn.MAXIFS($P$3:$P$1000,$B$3:$B$1000,$B971),"★ Cash cow – handmatig onderzoeken",""))</f>
        <v/>
      </c>
    </row>
    <row r="972" customFormat="false" ht="14.25" hidden="false" customHeight="true" outlineLevel="0" collapsed="false">
      <c r="A972" s="4"/>
      <c r="B972" s="5"/>
      <c r="C972" s="5"/>
      <c r="D972" s="5"/>
      <c r="E972" s="6"/>
      <c r="F972" s="7"/>
      <c r="G972" s="8"/>
      <c r="H972" s="7"/>
      <c r="I972" s="7"/>
      <c r="J972" s="6"/>
      <c r="K972" s="9" t="str">
        <f aca="false">IF(OR($J972="",$J972=0),"",$I972/$J972)</f>
        <v/>
      </c>
      <c r="L972" s="9" t="str">
        <f aca="false">IF(OR($E972="",$E972=0),"",$H972/$E972)</f>
        <v/>
      </c>
      <c r="M972" s="10" t="str">
        <f aca="false">IF(OR($L972="",$L972=0),"",($I972/30)/$L972)</f>
        <v/>
      </c>
      <c r="N972" s="8"/>
      <c r="O972" s="11" t="str">
        <f aca="false">IF(OR($I972="",$N972=""),"",($I972/1000)*$N972)</f>
        <v/>
      </c>
      <c r="P972" s="12" t="str">
        <f aca="false">IF($C972="","",IFERROR(ROUND(MIN(25,($N972/Instellingen!$B$3)*25)+MIN(25,($I972/Instellingen!$B$4)*25)+MIN(25,($J972/Instellingen!$B$5)*25)+MIN(25,(IF($M972="",0,$M972)/Instellingen!$B$6)*25),0),""))</f>
        <v/>
      </c>
      <c r="Q972" s="13" t="str">
        <f aca="false">IF($P972="","",IF($P972&gt;=Instellingen!$B$7,"Sterke niche",IF($P972&gt;=Instellingen!$B$8,"Belofte - opvolgen",IF($P972&gt;=Instellingen!$B$9,"Zwak - twijfel","Vermijden"))))</f>
        <v/>
      </c>
      <c r="R972" s="5"/>
      <c r="T972" s="1" t="str">
        <f aca="false">IF($C972="","",IF($P972=_xlfn.MAXIFS($P$3:$P$1000,$B$3:$B$1000,$B972),"★ Cash cow – handmatig onderzoeken",""))</f>
        <v/>
      </c>
    </row>
    <row r="973" customFormat="false" ht="14.25" hidden="false" customHeight="true" outlineLevel="0" collapsed="false">
      <c r="A973" s="4"/>
      <c r="B973" s="5"/>
      <c r="C973" s="5"/>
      <c r="D973" s="5"/>
      <c r="E973" s="6"/>
      <c r="F973" s="7"/>
      <c r="G973" s="8"/>
      <c r="H973" s="7"/>
      <c r="I973" s="7"/>
      <c r="J973" s="6"/>
      <c r="K973" s="9" t="str">
        <f aca="false">IF(OR($J973="",$J973=0),"",$I973/$J973)</f>
        <v/>
      </c>
      <c r="L973" s="9" t="str">
        <f aca="false">IF(OR($E973="",$E973=0),"",$H973/$E973)</f>
        <v/>
      </c>
      <c r="M973" s="10" t="str">
        <f aca="false">IF(OR($L973="",$L973=0),"",($I973/30)/$L973)</f>
        <v/>
      </c>
      <c r="N973" s="8"/>
      <c r="O973" s="11" t="str">
        <f aca="false">IF(OR($I973="",$N973=""),"",($I973/1000)*$N973)</f>
        <v/>
      </c>
      <c r="P973" s="12" t="str">
        <f aca="false">IF($C973="","",IFERROR(ROUND(MIN(25,($N973/Instellingen!$B$3)*25)+MIN(25,($I973/Instellingen!$B$4)*25)+MIN(25,($J973/Instellingen!$B$5)*25)+MIN(25,(IF($M973="",0,$M973)/Instellingen!$B$6)*25),0),""))</f>
        <v/>
      </c>
      <c r="Q973" s="13" t="str">
        <f aca="false">IF($P973="","",IF($P973&gt;=Instellingen!$B$7,"Sterke niche",IF($P973&gt;=Instellingen!$B$8,"Belofte - opvolgen",IF($P973&gt;=Instellingen!$B$9,"Zwak - twijfel","Vermijden"))))</f>
        <v/>
      </c>
      <c r="R973" s="5"/>
      <c r="T973" s="1" t="str">
        <f aca="false">IF($C973="","",IF($P973=_xlfn.MAXIFS($P$3:$P$1000,$B$3:$B$1000,$B973),"★ Cash cow – handmatig onderzoeken",""))</f>
        <v/>
      </c>
    </row>
    <row r="974" customFormat="false" ht="14.25" hidden="false" customHeight="true" outlineLevel="0" collapsed="false">
      <c r="A974" s="4"/>
      <c r="B974" s="5"/>
      <c r="C974" s="5"/>
      <c r="D974" s="5"/>
      <c r="E974" s="6"/>
      <c r="F974" s="7"/>
      <c r="G974" s="8"/>
      <c r="H974" s="7"/>
      <c r="I974" s="7"/>
      <c r="J974" s="6"/>
      <c r="K974" s="9" t="str">
        <f aca="false">IF(OR($J974="",$J974=0),"",$I974/$J974)</f>
        <v/>
      </c>
      <c r="L974" s="9" t="str">
        <f aca="false">IF(OR($E974="",$E974=0),"",$H974/$E974)</f>
        <v/>
      </c>
      <c r="M974" s="10" t="str">
        <f aca="false">IF(OR($L974="",$L974=0),"",($I974/30)/$L974)</f>
        <v/>
      </c>
      <c r="N974" s="8"/>
      <c r="O974" s="11" t="str">
        <f aca="false">IF(OR($I974="",$N974=""),"",($I974/1000)*$N974)</f>
        <v/>
      </c>
      <c r="P974" s="12" t="str">
        <f aca="false">IF($C974="","",IFERROR(ROUND(MIN(25,($N974/Instellingen!$B$3)*25)+MIN(25,($I974/Instellingen!$B$4)*25)+MIN(25,($J974/Instellingen!$B$5)*25)+MIN(25,(IF($M974="",0,$M974)/Instellingen!$B$6)*25),0),""))</f>
        <v/>
      </c>
      <c r="Q974" s="13" t="str">
        <f aca="false">IF($P974="","",IF($P974&gt;=Instellingen!$B$7,"Sterke niche",IF($P974&gt;=Instellingen!$B$8,"Belofte - opvolgen",IF($P974&gt;=Instellingen!$B$9,"Zwak - twijfel","Vermijden"))))</f>
        <v/>
      </c>
      <c r="R974" s="5"/>
      <c r="T974" s="1" t="str">
        <f aca="false">IF($C974="","",IF($P974=_xlfn.MAXIFS($P$3:$P$1000,$B$3:$B$1000,$B974),"★ Cash cow – handmatig onderzoeken",""))</f>
        <v/>
      </c>
    </row>
    <row r="975" customFormat="false" ht="14.25" hidden="false" customHeight="true" outlineLevel="0" collapsed="false">
      <c r="A975" s="4"/>
      <c r="B975" s="5"/>
      <c r="C975" s="5"/>
      <c r="D975" s="5"/>
      <c r="E975" s="6"/>
      <c r="F975" s="7"/>
      <c r="G975" s="8"/>
      <c r="H975" s="7"/>
      <c r="I975" s="7"/>
      <c r="J975" s="6"/>
      <c r="K975" s="9" t="str">
        <f aca="false">IF(OR($J975="",$J975=0),"",$I975/$J975)</f>
        <v/>
      </c>
      <c r="L975" s="9" t="str">
        <f aca="false">IF(OR($E975="",$E975=0),"",$H975/$E975)</f>
        <v/>
      </c>
      <c r="M975" s="10" t="str">
        <f aca="false">IF(OR($L975="",$L975=0),"",($I975/30)/$L975)</f>
        <v/>
      </c>
      <c r="N975" s="8"/>
      <c r="O975" s="11" t="str">
        <f aca="false">IF(OR($I975="",$N975=""),"",($I975/1000)*$N975)</f>
        <v/>
      </c>
      <c r="P975" s="12" t="str">
        <f aca="false">IF($C975="","",IFERROR(ROUND(MIN(25,($N975/Instellingen!$B$3)*25)+MIN(25,($I975/Instellingen!$B$4)*25)+MIN(25,($J975/Instellingen!$B$5)*25)+MIN(25,(IF($M975="",0,$M975)/Instellingen!$B$6)*25),0),""))</f>
        <v/>
      </c>
      <c r="Q975" s="13" t="str">
        <f aca="false">IF($P975="","",IF($P975&gt;=Instellingen!$B$7,"Sterke niche",IF($P975&gt;=Instellingen!$B$8,"Belofte - opvolgen",IF($P975&gt;=Instellingen!$B$9,"Zwak - twijfel","Vermijden"))))</f>
        <v/>
      </c>
      <c r="R975" s="5"/>
      <c r="T975" s="1" t="str">
        <f aca="false">IF($C975="","",IF($P975=_xlfn.MAXIFS($P$3:$P$1000,$B$3:$B$1000,$B975),"★ Cash cow – handmatig onderzoeken",""))</f>
        <v/>
      </c>
    </row>
    <row r="976" customFormat="false" ht="14.25" hidden="false" customHeight="true" outlineLevel="0" collapsed="false">
      <c r="A976" s="4"/>
      <c r="B976" s="5"/>
      <c r="C976" s="5"/>
      <c r="D976" s="5"/>
      <c r="E976" s="6"/>
      <c r="F976" s="7"/>
      <c r="G976" s="8"/>
      <c r="H976" s="7"/>
      <c r="I976" s="7"/>
      <c r="J976" s="6"/>
      <c r="K976" s="9" t="str">
        <f aca="false">IF(OR($J976="",$J976=0),"",$I976/$J976)</f>
        <v/>
      </c>
      <c r="L976" s="9" t="str">
        <f aca="false">IF(OR($E976="",$E976=0),"",$H976/$E976)</f>
        <v/>
      </c>
      <c r="M976" s="10" t="str">
        <f aca="false">IF(OR($L976="",$L976=0),"",($I976/30)/$L976)</f>
        <v/>
      </c>
      <c r="N976" s="8"/>
      <c r="O976" s="11" t="str">
        <f aca="false">IF(OR($I976="",$N976=""),"",($I976/1000)*$N976)</f>
        <v/>
      </c>
      <c r="P976" s="12" t="str">
        <f aca="false">IF($C976="","",IFERROR(ROUND(MIN(25,($N976/Instellingen!$B$3)*25)+MIN(25,($I976/Instellingen!$B$4)*25)+MIN(25,($J976/Instellingen!$B$5)*25)+MIN(25,(IF($M976="",0,$M976)/Instellingen!$B$6)*25),0),""))</f>
        <v/>
      </c>
      <c r="Q976" s="13" t="str">
        <f aca="false">IF($P976="","",IF($P976&gt;=Instellingen!$B$7,"Sterke niche",IF($P976&gt;=Instellingen!$B$8,"Belofte - opvolgen",IF($P976&gt;=Instellingen!$B$9,"Zwak - twijfel","Vermijden"))))</f>
        <v/>
      </c>
      <c r="R976" s="5"/>
      <c r="T976" s="1" t="str">
        <f aca="false">IF($C976="","",IF($P976=_xlfn.MAXIFS($P$3:$P$1000,$B$3:$B$1000,$B976),"★ Cash cow – handmatig onderzoeken",""))</f>
        <v/>
      </c>
    </row>
    <row r="977" customFormat="false" ht="14.25" hidden="false" customHeight="true" outlineLevel="0" collapsed="false">
      <c r="A977" s="4"/>
      <c r="B977" s="5"/>
      <c r="C977" s="5"/>
      <c r="D977" s="5"/>
      <c r="E977" s="6"/>
      <c r="F977" s="7"/>
      <c r="G977" s="8"/>
      <c r="H977" s="7"/>
      <c r="I977" s="7"/>
      <c r="J977" s="6"/>
      <c r="K977" s="9" t="str">
        <f aca="false">IF(OR($J977="",$J977=0),"",$I977/$J977)</f>
        <v/>
      </c>
      <c r="L977" s="9" t="str">
        <f aca="false">IF(OR($E977="",$E977=0),"",$H977/$E977)</f>
        <v/>
      </c>
      <c r="M977" s="10" t="str">
        <f aca="false">IF(OR($L977="",$L977=0),"",($I977/30)/$L977)</f>
        <v/>
      </c>
      <c r="N977" s="8"/>
      <c r="O977" s="11" t="str">
        <f aca="false">IF(OR($I977="",$N977=""),"",($I977/1000)*$N977)</f>
        <v/>
      </c>
      <c r="P977" s="12" t="str">
        <f aca="false">IF($C977="","",IFERROR(ROUND(MIN(25,($N977/Instellingen!$B$3)*25)+MIN(25,($I977/Instellingen!$B$4)*25)+MIN(25,($J977/Instellingen!$B$5)*25)+MIN(25,(IF($M977="",0,$M977)/Instellingen!$B$6)*25),0),""))</f>
        <v/>
      </c>
      <c r="Q977" s="13" t="str">
        <f aca="false">IF($P977="","",IF($P977&gt;=Instellingen!$B$7,"Sterke niche",IF($P977&gt;=Instellingen!$B$8,"Belofte - opvolgen",IF($P977&gt;=Instellingen!$B$9,"Zwak - twijfel","Vermijden"))))</f>
        <v/>
      </c>
      <c r="R977" s="5"/>
      <c r="T977" s="1" t="str">
        <f aca="false">IF($C977="","",IF($P977=_xlfn.MAXIFS($P$3:$P$1000,$B$3:$B$1000,$B977),"★ Cash cow – handmatig onderzoeken",""))</f>
        <v/>
      </c>
    </row>
    <row r="978" customFormat="false" ht="14.25" hidden="false" customHeight="true" outlineLevel="0" collapsed="false">
      <c r="A978" s="4"/>
      <c r="B978" s="5"/>
      <c r="C978" s="5"/>
      <c r="D978" s="5"/>
      <c r="E978" s="6"/>
      <c r="F978" s="7"/>
      <c r="G978" s="8"/>
      <c r="H978" s="7"/>
      <c r="I978" s="7"/>
      <c r="J978" s="6"/>
      <c r="K978" s="9" t="str">
        <f aca="false">IF(OR($J978="",$J978=0),"",$I978/$J978)</f>
        <v/>
      </c>
      <c r="L978" s="9" t="str">
        <f aca="false">IF(OR($E978="",$E978=0),"",$H978/$E978)</f>
        <v/>
      </c>
      <c r="M978" s="10" t="str">
        <f aca="false">IF(OR($L978="",$L978=0),"",($I978/30)/$L978)</f>
        <v/>
      </c>
      <c r="N978" s="8"/>
      <c r="O978" s="11" t="str">
        <f aca="false">IF(OR($I978="",$N978=""),"",($I978/1000)*$N978)</f>
        <v/>
      </c>
      <c r="P978" s="12" t="str">
        <f aca="false">IF($C978="","",IFERROR(ROUND(MIN(25,($N978/Instellingen!$B$3)*25)+MIN(25,($I978/Instellingen!$B$4)*25)+MIN(25,($J978/Instellingen!$B$5)*25)+MIN(25,(IF($M978="",0,$M978)/Instellingen!$B$6)*25),0),""))</f>
        <v/>
      </c>
      <c r="Q978" s="13" t="str">
        <f aca="false">IF($P978="","",IF($P978&gt;=Instellingen!$B$7,"Sterke niche",IF($P978&gt;=Instellingen!$B$8,"Belofte - opvolgen",IF($P978&gt;=Instellingen!$B$9,"Zwak - twijfel","Vermijden"))))</f>
        <v/>
      </c>
      <c r="R978" s="5"/>
      <c r="T978" s="1" t="str">
        <f aca="false">IF($C978="","",IF($P978=_xlfn.MAXIFS($P$3:$P$1000,$B$3:$B$1000,$B978),"★ Cash cow – handmatig onderzoeken",""))</f>
        <v/>
      </c>
    </row>
    <row r="979" customFormat="false" ht="14.25" hidden="false" customHeight="true" outlineLevel="0" collapsed="false">
      <c r="A979" s="4"/>
      <c r="B979" s="5"/>
      <c r="C979" s="5"/>
      <c r="D979" s="5"/>
      <c r="E979" s="6"/>
      <c r="F979" s="7"/>
      <c r="G979" s="8"/>
      <c r="H979" s="7"/>
      <c r="I979" s="7"/>
      <c r="J979" s="6"/>
      <c r="K979" s="9" t="str">
        <f aca="false">IF(OR($J979="",$J979=0),"",$I979/$J979)</f>
        <v/>
      </c>
      <c r="L979" s="9" t="str">
        <f aca="false">IF(OR($E979="",$E979=0),"",$H979/$E979)</f>
        <v/>
      </c>
      <c r="M979" s="10" t="str">
        <f aca="false">IF(OR($L979="",$L979=0),"",($I979/30)/$L979)</f>
        <v/>
      </c>
      <c r="N979" s="8"/>
      <c r="O979" s="11" t="str">
        <f aca="false">IF(OR($I979="",$N979=""),"",($I979/1000)*$N979)</f>
        <v/>
      </c>
      <c r="P979" s="12" t="str">
        <f aca="false">IF($C979="","",IFERROR(ROUND(MIN(25,($N979/Instellingen!$B$3)*25)+MIN(25,($I979/Instellingen!$B$4)*25)+MIN(25,($J979/Instellingen!$B$5)*25)+MIN(25,(IF($M979="",0,$M979)/Instellingen!$B$6)*25),0),""))</f>
        <v/>
      </c>
      <c r="Q979" s="13" t="str">
        <f aca="false">IF($P979="","",IF($P979&gt;=Instellingen!$B$7,"Sterke niche",IF($P979&gt;=Instellingen!$B$8,"Belofte - opvolgen",IF($P979&gt;=Instellingen!$B$9,"Zwak - twijfel","Vermijden"))))</f>
        <v/>
      </c>
      <c r="R979" s="5"/>
      <c r="T979" s="1" t="str">
        <f aca="false">IF($C979="","",IF($P979=_xlfn.MAXIFS($P$3:$P$1000,$B$3:$B$1000,$B979),"★ Cash cow – handmatig onderzoeken",""))</f>
        <v/>
      </c>
    </row>
    <row r="980" customFormat="false" ht="14.25" hidden="false" customHeight="true" outlineLevel="0" collapsed="false">
      <c r="A980" s="4"/>
      <c r="B980" s="5"/>
      <c r="C980" s="5"/>
      <c r="D980" s="5"/>
      <c r="E980" s="6"/>
      <c r="F980" s="7"/>
      <c r="G980" s="8"/>
      <c r="H980" s="7"/>
      <c r="I980" s="7"/>
      <c r="J980" s="6"/>
      <c r="K980" s="9" t="str">
        <f aca="false">IF(OR($J980="",$J980=0),"",$I980/$J980)</f>
        <v/>
      </c>
      <c r="L980" s="9" t="str">
        <f aca="false">IF(OR($E980="",$E980=0),"",$H980/$E980)</f>
        <v/>
      </c>
      <c r="M980" s="10" t="str">
        <f aca="false">IF(OR($L980="",$L980=0),"",($I980/30)/$L980)</f>
        <v/>
      </c>
      <c r="N980" s="8"/>
      <c r="O980" s="11" t="str">
        <f aca="false">IF(OR($I980="",$N980=""),"",($I980/1000)*$N980)</f>
        <v/>
      </c>
      <c r="P980" s="12" t="str">
        <f aca="false">IF($C980="","",IFERROR(ROUND(MIN(25,($N980/Instellingen!$B$3)*25)+MIN(25,($I980/Instellingen!$B$4)*25)+MIN(25,($J980/Instellingen!$B$5)*25)+MIN(25,(IF($M980="",0,$M980)/Instellingen!$B$6)*25),0),""))</f>
        <v/>
      </c>
      <c r="Q980" s="13" t="str">
        <f aca="false">IF($P980="","",IF($P980&gt;=Instellingen!$B$7,"Sterke niche",IF($P980&gt;=Instellingen!$B$8,"Belofte - opvolgen",IF($P980&gt;=Instellingen!$B$9,"Zwak - twijfel","Vermijden"))))</f>
        <v/>
      </c>
      <c r="R980" s="5"/>
      <c r="T980" s="1" t="str">
        <f aca="false">IF($C980="","",IF($P980=_xlfn.MAXIFS($P$3:$P$1000,$B$3:$B$1000,$B980),"★ Cash cow – handmatig onderzoeken",""))</f>
        <v/>
      </c>
    </row>
    <row r="981" customFormat="false" ht="14.25" hidden="false" customHeight="true" outlineLevel="0" collapsed="false">
      <c r="A981" s="4"/>
      <c r="B981" s="5"/>
      <c r="C981" s="5"/>
      <c r="D981" s="5"/>
      <c r="E981" s="6"/>
      <c r="F981" s="7"/>
      <c r="G981" s="8"/>
      <c r="H981" s="7"/>
      <c r="I981" s="7"/>
      <c r="J981" s="6"/>
      <c r="K981" s="9" t="str">
        <f aca="false">IF(OR($J981="",$J981=0),"",$I981/$J981)</f>
        <v/>
      </c>
      <c r="L981" s="9" t="str">
        <f aca="false">IF(OR($E981="",$E981=0),"",$H981/$E981)</f>
        <v/>
      </c>
      <c r="M981" s="10" t="str">
        <f aca="false">IF(OR($L981="",$L981=0),"",($I981/30)/$L981)</f>
        <v/>
      </c>
      <c r="N981" s="8"/>
      <c r="O981" s="11" t="str">
        <f aca="false">IF(OR($I981="",$N981=""),"",($I981/1000)*$N981)</f>
        <v/>
      </c>
      <c r="P981" s="12" t="str">
        <f aca="false">IF($C981="","",IFERROR(ROUND(MIN(25,($N981/Instellingen!$B$3)*25)+MIN(25,($I981/Instellingen!$B$4)*25)+MIN(25,($J981/Instellingen!$B$5)*25)+MIN(25,(IF($M981="",0,$M981)/Instellingen!$B$6)*25),0),""))</f>
        <v/>
      </c>
      <c r="Q981" s="13" t="str">
        <f aca="false">IF($P981="","",IF($P981&gt;=Instellingen!$B$7,"Sterke niche",IF($P981&gt;=Instellingen!$B$8,"Belofte - opvolgen",IF($P981&gt;=Instellingen!$B$9,"Zwak - twijfel","Vermijden"))))</f>
        <v/>
      </c>
      <c r="R981" s="5"/>
      <c r="T981" s="1" t="str">
        <f aca="false">IF($C981="","",IF($P981=_xlfn.MAXIFS($P$3:$P$1000,$B$3:$B$1000,$B981),"★ Cash cow – handmatig onderzoeken",""))</f>
        <v/>
      </c>
    </row>
    <row r="982" customFormat="false" ht="14.25" hidden="false" customHeight="true" outlineLevel="0" collapsed="false">
      <c r="A982" s="4"/>
      <c r="B982" s="5"/>
      <c r="C982" s="5"/>
      <c r="D982" s="5"/>
      <c r="E982" s="6"/>
      <c r="F982" s="7"/>
      <c r="G982" s="8"/>
      <c r="H982" s="7"/>
      <c r="I982" s="7"/>
      <c r="J982" s="6"/>
      <c r="K982" s="9" t="str">
        <f aca="false">IF(OR($J982="",$J982=0),"",$I982/$J982)</f>
        <v/>
      </c>
      <c r="L982" s="9" t="str">
        <f aca="false">IF(OR($E982="",$E982=0),"",$H982/$E982)</f>
        <v/>
      </c>
      <c r="M982" s="10" t="str">
        <f aca="false">IF(OR($L982="",$L982=0),"",($I982/30)/$L982)</f>
        <v/>
      </c>
      <c r="N982" s="8"/>
      <c r="O982" s="11" t="str">
        <f aca="false">IF(OR($I982="",$N982=""),"",($I982/1000)*$N982)</f>
        <v/>
      </c>
      <c r="P982" s="12" t="str">
        <f aca="false">IF($C982="","",IFERROR(ROUND(MIN(25,($N982/Instellingen!$B$3)*25)+MIN(25,($I982/Instellingen!$B$4)*25)+MIN(25,($J982/Instellingen!$B$5)*25)+MIN(25,(IF($M982="",0,$M982)/Instellingen!$B$6)*25),0),""))</f>
        <v/>
      </c>
      <c r="Q982" s="13" t="str">
        <f aca="false">IF($P982="","",IF($P982&gt;=Instellingen!$B$7,"Sterke niche",IF($P982&gt;=Instellingen!$B$8,"Belofte - opvolgen",IF($P982&gt;=Instellingen!$B$9,"Zwak - twijfel","Vermijden"))))</f>
        <v/>
      </c>
      <c r="R982" s="5"/>
      <c r="T982" s="1" t="str">
        <f aca="false">IF($C982="","",IF($P982=_xlfn.MAXIFS($P$3:$P$1000,$B$3:$B$1000,$B982),"★ Cash cow – handmatig onderzoeken",""))</f>
        <v/>
      </c>
    </row>
    <row r="983" customFormat="false" ht="14.25" hidden="false" customHeight="true" outlineLevel="0" collapsed="false">
      <c r="A983" s="4"/>
      <c r="B983" s="5"/>
      <c r="C983" s="5"/>
      <c r="D983" s="5"/>
      <c r="E983" s="6"/>
      <c r="F983" s="7"/>
      <c r="G983" s="8"/>
      <c r="H983" s="7"/>
      <c r="I983" s="7"/>
      <c r="J983" s="6"/>
      <c r="K983" s="9" t="str">
        <f aca="false">IF(OR($J983="",$J983=0),"",$I983/$J983)</f>
        <v/>
      </c>
      <c r="L983" s="9" t="str">
        <f aca="false">IF(OR($E983="",$E983=0),"",$H983/$E983)</f>
        <v/>
      </c>
      <c r="M983" s="10" t="str">
        <f aca="false">IF(OR($L983="",$L983=0),"",($I983/30)/$L983)</f>
        <v/>
      </c>
      <c r="N983" s="8"/>
      <c r="O983" s="11" t="str">
        <f aca="false">IF(OR($I983="",$N983=""),"",($I983/1000)*$N983)</f>
        <v/>
      </c>
      <c r="P983" s="12" t="str">
        <f aca="false">IF($C983="","",IFERROR(ROUND(MIN(25,($N983/Instellingen!$B$3)*25)+MIN(25,($I983/Instellingen!$B$4)*25)+MIN(25,($J983/Instellingen!$B$5)*25)+MIN(25,(IF($M983="",0,$M983)/Instellingen!$B$6)*25),0),""))</f>
        <v/>
      </c>
      <c r="Q983" s="13" t="str">
        <f aca="false">IF($P983="","",IF($P983&gt;=Instellingen!$B$7,"Sterke niche",IF($P983&gt;=Instellingen!$B$8,"Belofte - opvolgen",IF($P983&gt;=Instellingen!$B$9,"Zwak - twijfel","Vermijden"))))</f>
        <v/>
      </c>
      <c r="R983" s="5"/>
      <c r="T983" s="1" t="str">
        <f aca="false">IF($C983="","",IF($P983=_xlfn.MAXIFS($P$3:$P$1000,$B$3:$B$1000,$B983),"★ Cash cow – handmatig onderzoeken",""))</f>
        <v/>
      </c>
    </row>
    <row r="984" customFormat="false" ht="14.25" hidden="false" customHeight="true" outlineLevel="0" collapsed="false">
      <c r="A984" s="4"/>
      <c r="B984" s="5"/>
      <c r="C984" s="5"/>
      <c r="D984" s="5"/>
      <c r="E984" s="6"/>
      <c r="F984" s="7"/>
      <c r="G984" s="8"/>
      <c r="H984" s="7"/>
      <c r="I984" s="7"/>
      <c r="J984" s="6"/>
      <c r="K984" s="9" t="str">
        <f aca="false">IF(OR($J984="",$J984=0),"",$I984/$J984)</f>
        <v/>
      </c>
      <c r="L984" s="9" t="str">
        <f aca="false">IF(OR($E984="",$E984=0),"",$H984/$E984)</f>
        <v/>
      </c>
      <c r="M984" s="10" t="str">
        <f aca="false">IF(OR($L984="",$L984=0),"",($I984/30)/$L984)</f>
        <v/>
      </c>
      <c r="N984" s="8"/>
      <c r="O984" s="11" t="str">
        <f aca="false">IF(OR($I984="",$N984=""),"",($I984/1000)*$N984)</f>
        <v/>
      </c>
      <c r="P984" s="12" t="str">
        <f aca="false">IF($C984="","",IFERROR(ROUND(MIN(25,($N984/Instellingen!$B$3)*25)+MIN(25,($I984/Instellingen!$B$4)*25)+MIN(25,($J984/Instellingen!$B$5)*25)+MIN(25,(IF($M984="",0,$M984)/Instellingen!$B$6)*25),0),""))</f>
        <v/>
      </c>
      <c r="Q984" s="13" t="str">
        <f aca="false">IF($P984="","",IF($P984&gt;=Instellingen!$B$7,"Sterke niche",IF($P984&gt;=Instellingen!$B$8,"Belofte - opvolgen",IF($P984&gt;=Instellingen!$B$9,"Zwak - twijfel","Vermijden"))))</f>
        <v/>
      </c>
      <c r="R984" s="5"/>
      <c r="T984" s="1" t="str">
        <f aca="false">IF($C984="","",IF($P984=_xlfn.MAXIFS($P$3:$P$1000,$B$3:$B$1000,$B984),"★ Cash cow – handmatig onderzoeken",""))</f>
        <v/>
      </c>
    </row>
    <row r="985" customFormat="false" ht="14.25" hidden="false" customHeight="true" outlineLevel="0" collapsed="false">
      <c r="A985" s="4"/>
      <c r="B985" s="5"/>
      <c r="C985" s="5"/>
      <c r="D985" s="5"/>
      <c r="E985" s="6"/>
      <c r="F985" s="7"/>
      <c r="G985" s="8"/>
      <c r="H985" s="7"/>
      <c r="I985" s="7"/>
      <c r="J985" s="6"/>
      <c r="K985" s="9" t="str">
        <f aca="false">IF(OR($J985="",$J985=0),"",$I985/$J985)</f>
        <v/>
      </c>
      <c r="L985" s="9" t="str">
        <f aca="false">IF(OR($E985="",$E985=0),"",$H985/$E985)</f>
        <v/>
      </c>
      <c r="M985" s="10" t="str">
        <f aca="false">IF(OR($L985="",$L985=0),"",($I985/30)/$L985)</f>
        <v/>
      </c>
      <c r="N985" s="8"/>
      <c r="O985" s="11" t="str">
        <f aca="false">IF(OR($I985="",$N985=""),"",($I985/1000)*$N985)</f>
        <v/>
      </c>
      <c r="P985" s="12" t="str">
        <f aca="false">IF($C985="","",IFERROR(ROUND(MIN(25,($N985/Instellingen!$B$3)*25)+MIN(25,($I985/Instellingen!$B$4)*25)+MIN(25,($J985/Instellingen!$B$5)*25)+MIN(25,(IF($M985="",0,$M985)/Instellingen!$B$6)*25),0),""))</f>
        <v/>
      </c>
      <c r="Q985" s="13" t="str">
        <f aca="false">IF($P985="","",IF($P985&gt;=Instellingen!$B$7,"Sterke niche",IF($P985&gt;=Instellingen!$B$8,"Belofte - opvolgen",IF($P985&gt;=Instellingen!$B$9,"Zwak - twijfel","Vermijden"))))</f>
        <v/>
      </c>
      <c r="R985" s="5"/>
      <c r="T985" s="1" t="str">
        <f aca="false">IF($C985="","",IF($P985=_xlfn.MAXIFS($P$3:$P$1000,$B$3:$B$1000,$B985),"★ Cash cow – handmatig onderzoeken",""))</f>
        <v/>
      </c>
    </row>
    <row r="986" customFormat="false" ht="14.25" hidden="false" customHeight="true" outlineLevel="0" collapsed="false">
      <c r="A986" s="4"/>
      <c r="B986" s="5"/>
      <c r="C986" s="5"/>
      <c r="D986" s="5"/>
      <c r="E986" s="6"/>
      <c r="F986" s="7"/>
      <c r="G986" s="8"/>
      <c r="H986" s="7"/>
      <c r="I986" s="7"/>
      <c r="J986" s="6"/>
      <c r="K986" s="9" t="str">
        <f aca="false">IF(OR($J986="",$J986=0),"",$I986/$J986)</f>
        <v/>
      </c>
      <c r="L986" s="9" t="str">
        <f aca="false">IF(OR($E986="",$E986=0),"",$H986/$E986)</f>
        <v/>
      </c>
      <c r="M986" s="10" t="str">
        <f aca="false">IF(OR($L986="",$L986=0),"",($I986/30)/$L986)</f>
        <v/>
      </c>
      <c r="N986" s="8"/>
      <c r="O986" s="11" t="str">
        <f aca="false">IF(OR($I986="",$N986=""),"",($I986/1000)*$N986)</f>
        <v/>
      </c>
      <c r="P986" s="12" t="str">
        <f aca="false">IF($C986="","",IFERROR(ROUND(MIN(25,($N986/Instellingen!$B$3)*25)+MIN(25,($I986/Instellingen!$B$4)*25)+MIN(25,($J986/Instellingen!$B$5)*25)+MIN(25,(IF($M986="",0,$M986)/Instellingen!$B$6)*25),0),""))</f>
        <v/>
      </c>
      <c r="Q986" s="13" t="str">
        <f aca="false">IF($P986="","",IF($P986&gt;=Instellingen!$B$7,"Sterke niche",IF($P986&gt;=Instellingen!$B$8,"Belofte - opvolgen",IF($P986&gt;=Instellingen!$B$9,"Zwak - twijfel","Vermijden"))))</f>
        <v/>
      </c>
      <c r="R986" s="5"/>
      <c r="T986" s="1" t="str">
        <f aca="false">IF($C986="","",IF($P986=_xlfn.MAXIFS($P$3:$P$1000,$B$3:$B$1000,$B986),"★ Cash cow – handmatig onderzoeken",""))</f>
        <v/>
      </c>
    </row>
    <row r="987" customFormat="false" ht="14.25" hidden="false" customHeight="true" outlineLevel="0" collapsed="false">
      <c r="A987" s="4"/>
      <c r="B987" s="5"/>
      <c r="C987" s="5"/>
      <c r="D987" s="5"/>
      <c r="E987" s="6"/>
      <c r="F987" s="7"/>
      <c r="G987" s="8"/>
      <c r="H987" s="7"/>
      <c r="I987" s="7"/>
      <c r="J987" s="6"/>
      <c r="K987" s="9" t="str">
        <f aca="false">IF(OR($J987="",$J987=0),"",$I987/$J987)</f>
        <v/>
      </c>
      <c r="L987" s="9" t="str">
        <f aca="false">IF(OR($E987="",$E987=0),"",$H987/$E987)</f>
        <v/>
      </c>
      <c r="M987" s="10" t="str">
        <f aca="false">IF(OR($L987="",$L987=0),"",($I987/30)/$L987)</f>
        <v/>
      </c>
      <c r="N987" s="8"/>
      <c r="O987" s="11" t="str">
        <f aca="false">IF(OR($I987="",$N987=""),"",($I987/1000)*$N987)</f>
        <v/>
      </c>
      <c r="P987" s="12" t="str">
        <f aca="false">IF($C987="","",IFERROR(ROUND(MIN(25,($N987/Instellingen!$B$3)*25)+MIN(25,($I987/Instellingen!$B$4)*25)+MIN(25,($J987/Instellingen!$B$5)*25)+MIN(25,(IF($M987="",0,$M987)/Instellingen!$B$6)*25),0),""))</f>
        <v/>
      </c>
      <c r="Q987" s="13" t="str">
        <f aca="false">IF($P987="","",IF($P987&gt;=Instellingen!$B$7,"Sterke niche",IF($P987&gt;=Instellingen!$B$8,"Belofte - opvolgen",IF($P987&gt;=Instellingen!$B$9,"Zwak - twijfel","Vermijden"))))</f>
        <v/>
      </c>
      <c r="R987" s="5"/>
      <c r="T987" s="1" t="str">
        <f aca="false">IF($C987="","",IF($P987=_xlfn.MAXIFS($P$3:$P$1000,$B$3:$B$1000,$B987),"★ Cash cow – handmatig onderzoeken",""))</f>
        <v/>
      </c>
    </row>
    <row r="988" customFormat="false" ht="14.25" hidden="false" customHeight="true" outlineLevel="0" collapsed="false">
      <c r="A988" s="4"/>
      <c r="B988" s="5"/>
      <c r="C988" s="5"/>
      <c r="D988" s="5"/>
      <c r="E988" s="6"/>
      <c r="F988" s="7"/>
      <c r="G988" s="8"/>
      <c r="H988" s="7"/>
      <c r="I988" s="7"/>
      <c r="J988" s="6"/>
      <c r="K988" s="9" t="str">
        <f aca="false">IF(OR($J988="",$J988=0),"",$I988/$J988)</f>
        <v/>
      </c>
      <c r="L988" s="9" t="str">
        <f aca="false">IF(OR($E988="",$E988=0),"",$H988/$E988)</f>
        <v/>
      </c>
      <c r="M988" s="10" t="str">
        <f aca="false">IF(OR($L988="",$L988=0),"",($I988/30)/$L988)</f>
        <v/>
      </c>
      <c r="N988" s="8"/>
      <c r="O988" s="11" t="str">
        <f aca="false">IF(OR($I988="",$N988=""),"",($I988/1000)*$N988)</f>
        <v/>
      </c>
      <c r="P988" s="12" t="str">
        <f aca="false">IF($C988="","",IFERROR(ROUND(MIN(25,($N988/Instellingen!$B$3)*25)+MIN(25,($I988/Instellingen!$B$4)*25)+MIN(25,($J988/Instellingen!$B$5)*25)+MIN(25,(IF($M988="",0,$M988)/Instellingen!$B$6)*25),0),""))</f>
        <v/>
      </c>
      <c r="Q988" s="13" t="str">
        <f aca="false">IF($P988="","",IF($P988&gt;=Instellingen!$B$7,"Sterke niche",IF($P988&gt;=Instellingen!$B$8,"Belofte - opvolgen",IF($P988&gt;=Instellingen!$B$9,"Zwak - twijfel","Vermijden"))))</f>
        <v/>
      </c>
      <c r="R988" s="5"/>
      <c r="T988" s="1" t="str">
        <f aca="false">IF($C988="","",IF($P988=_xlfn.MAXIFS($P$3:$P$1000,$B$3:$B$1000,$B988),"★ Cash cow – handmatig onderzoeken",""))</f>
        <v/>
      </c>
    </row>
    <row r="989" customFormat="false" ht="14.25" hidden="false" customHeight="true" outlineLevel="0" collapsed="false">
      <c r="A989" s="4"/>
      <c r="B989" s="5"/>
      <c r="C989" s="5"/>
      <c r="D989" s="5"/>
      <c r="E989" s="6"/>
      <c r="F989" s="7"/>
      <c r="G989" s="8"/>
      <c r="H989" s="7"/>
      <c r="I989" s="7"/>
      <c r="J989" s="6"/>
      <c r="K989" s="9" t="str">
        <f aca="false">IF(OR($J989="",$J989=0),"",$I989/$J989)</f>
        <v/>
      </c>
      <c r="L989" s="9" t="str">
        <f aca="false">IF(OR($E989="",$E989=0),"",$H989/$E989)</f>
        <v/>
      </c>
      <c r="M989" s="10" t="str">
        <f aca="false">IF(OR($L989="",$L989=0),"",($I989/30)/$L989)</f>
        <v/>
      </c>
      <c r="N989" s="8"/>
      <c r="O989" s="11" t="str">
        <f aca="false">IF(OR($I989="",$N989=""),"",($I989/1000)*$N989)</f>
        <v/>
      </c>
      <c r="P989" s="12" t="str">
        <f aca="false">IF($C989="","",IFERROR(ROUND(MIN(25,($N989/Instellingen!$B$3)*25)+MIN(25,($I989/Instellingen!$B$4)*25)+MIN(25,($J989/Instellingen!$B$5)*25)+MIN(25,(IF($M989="",0,$M989)/Instellingen!$B$6)*25),0),""))</f>
        <v/>
      </c>
      <c r="Q989" s="13" t="str">
        <f aca="false">IF($P989="","",IF($P989&gt;=Instellingen!$B$7,"Sterke niche",IF($P989&gt;=Instellingen!$B$8,"Belofte - opvolgen",IF($P989&gt;=Instellingen!$B$9,"Zwak - twijfel","Vermijden"))))</f>
        <v/>
      </c>
      <c r="R989" s="5"/>
      <c r="T989" s="1" t="str">
        <f aca="false">IF($C989="","",IF($P989=_xlfn.MAXIFS($P$3:$P$1000,$B$3:$B$1000,$B989),"★ Cash cow – handmatig onderzoeken",""))</f>
        <v/>
      </c>
    </row>
    <row r="990" customFormat="false" ht="14.25" hidden="false" customHeight="true" outlineLevel="0" collapsed="false">
      <c r="A990" s="4"/>
      <c r="B990" s="5"/>
      <c r="C990" s="5"/>
      <c r="D990" s="5"/>
      <c r="E990" s="6"/>
      <c r="F990" s="7"/>
      <c r="G990" s="8"/>
      <c r="H990" s="7"/>
      <c r="I990" s="7"/>
      <c r="J990" s="6"/>
      <c r="K990" s="9" t="str">
        <f aca="false">IF(OR($J990="",$J990=0),"",$I990/$J990)</f>
        <v/>
      </c>
      <c r="L990" s="9" t="str">
        <f aca="false">IF(OR($E990="",$E990=0),"",$H990/$E990)</f>
        <v/>
      </c>
      <c r="M990" s="10" t="str">
        <f aca="false">IF(OR($L990="",$L990=0),"",($I990/30)/$L990)</f>
        <v/>
      </c>
      <c r="N990" s="8"/>
      <c r="O990" s="11" t="str">
        <f aca="false">IF(OR($I990="",$N990=""),"",($I990/1000)*$N990)</f>
        <v/>
      </c>
      <c r="P990" s="12" t="str">
        <f aca="false">IF($C990="","",IFERROR(ROUND(MIN(25,($N990/Instellingen!$B$3)*25)+MIN(25,($I990/Instellingen!$B$4)*25)+MIN(25,($J990/Instellingen!$B$5)*25)+MIN(25,(IF($M990="",0,$M990)/Instellingen!$B$6)*25),0),""))</f>
        <v/>
      </c>
      <c r="Q990" s="13" t="str">
        <f aca="false">IF($P990="","",IF($P990&gt;=Instellingen!$B$7,"Sterke niche",IF($P990&gt;=Instellingen!$B$8,"Belofte - opvolgen",IF($P990&gt;=Instellingen!$B$9,"Zwak - twijfel","Vermijden"))))</f>
        <v/>
      </c>
      <c r="R990" s="5"/>
      <c r="T990" s="1" t="str">
        <f aca="false">IF($C990="","",IF($P990=_xlfn.MAXIFS($P$3:$P$1000,$B$3:$B$1000,$B990),"★ Cash cow – handmatig onderzoeken",""))</f>
        <v/>
      </c>
    </row>
    <row r="991" customFormat="false" ht="14.25" hidden="false" customHeight="true" outlineLevel="0" collapsed="false">
      <c r="A991" s="4"/>
      <c r="B991" s="5"/>
      <c r="C991" s="5"/>
      <c r="D991" s="5"/>
      <c r="E991" s="6"/>
      <c r="F991" s="7"/>
      <c r="G991" s="8"/>
      <c r="H991" s="7"/>
      <c r="I991" s="7"/>
      <c r="J991" s="6"/>
      <c r="K991" s="9" t="str">
        <f aca="false">IF(OR($J991="",$J991=0),"",$I991/$J991)</f>
        <v/>
      </c>
      <c r="L991" s="9" t="str">
        <f aca="false">IF(OR($E991="",$E991=0),"",$H991/$E991)</f>
        <v/>
      </c>
      <c r="M991" s="10" t="str">
        <f aca="false">IF(OR($L991="",$L991=0),"",($I991/30)/$L991)</f>
        <v/>
      </c>
      <c r="N991" s="8"/>
      <c r="O991" s="11" t="str">
        <f aca="false">IF(OR($I991="",$N991=""),"",($I991/1000)*$N991)</f>
        <v/>
      </c>
      <c r="P991" s="12" t="str">
        <f aca="false">IF($C991="","",IFERROR(ROUND(MIN(25,($N991/Instellingen!$B$3)*25)+MIN(25,($I991/Instellingen!$B$4)*25)+MIN(25,($J991/Instellingen!$B$5)*25)+MIN(25,(IF($M991="",0,$M991)/Instellingen!$B$6)*25),0),""))</f>
        <v/>
      </c>
      <c r="Q991" s="13" t="str">
        <f aca="false">IF($P991="","",IF($P991&gt;=Instellingen!$B$7,"Sterke niche",IF($P991&gt;=Instellingen!$B$8,"Belofte - opvolgen",IF($P991&gt;=Instellingen!$B$9,"Zwak - twijfel","Vermijden"))))</f>
        <v/>
      </c>
      <c r="R991" s="5"/>
      <c r="T991" s="1" t="str">
        <f aca="false">IF($C991="","",IF($P991=_xlfn.MAXIFS($P$3:$P$1000,$B$3:$B$1000,$B991),"★ Cash cow – handmatig onderzoeken",""))</f>
        <v/>
      </c>
    </row>
    <row r="992" customFormat="false" ht="14.25" hidden="false" customHeight="true" outlineLevel="0" collapsed="false">
      <c r="A992" s="4"/>
      <c r="B992" s="5"/>
      <c r="C992" s="5"/>
      <c r="D992" s="5"/>
      <c r="E992" s="6"/>
      <c r="F992" s="7"/>
      <c r="G992" s="8"/>
      <c r="H992" s="7"/>
      <c r="I992" s="7"/>
      <c r="J992" s="6"/>
      <c r="K992" s="9" t="str">
        <f aca="false">IF(OR($J992="",$J992=0),"",$I992/$J992)</f>
        <v/>
      </c>
      <c r="L992" s="9" t="str">
        <f aca="false">IF(OR($E992="",$E992=0),"",$H992/$E992)</f>
        <v/>
      </c>
      <c r="M992" s="10" t="str">
        <f aca="false">IF(OR($L992="",$L992=0),"",($I992/30)/$L992)</f>
        <v/>
      </c>
      <c r="N992" s="8"/>
      <c r="O992" s="11" t="str">
        <f aca="false">IF(OR($I992="",$N992=""),"",($I992/1000)*$N992)</f>
        <v/>
      </c>
      <c r="P992" s="12" t="str">
        <f aca="false">IF($C992="","",IFERROR(ROUND(MIN(25,($N992/Instellingen!$B$3)*25)+MIN(25,($I992/Instellingen!$B$4)*25)+MIN(25,($J992/Instellingen!$B$5)*25)+MIN(25,(IF($M992="",0,$M992)/Instellingen!$B$6)*25),0),""))</f>
        <v/>
      </c>
      <c r="Q992" s="13" t="str">
        <f aca="false">IF($P992="","",IF($P992&gt;=Instellingen!$B$7,"Sterke niche",IF($P992&gt;=Instellingen!$B$8,"Belofte - opvolgen",IF($P992&gt;=Instellingen!$B$9,"Zwak - twijfel","Vermijden"))))</f>
        <v/>
      </c>
      <c r="R992" s="5"/>
      <c r="T992" s="1" t="str">
        <f aca="false">IF($C992="","",IF($P992=_xlfn.MAXIFS($P$3:$P$1000,$B$3:$B$1000,$B992),"★ Cash cow – handmatig onderzoeken",""))</f>
        <v/>
      </c>
    </row>
    <row r="993" customFormat="false" ht="14.25" hidden="false" customHeight="true" outlineLevel="0" collapsed="false">
      <c r="A993" s="4"/>
      <c r="B993" s="5"/>
      <c r="C993" s="5"/>
      <c r="D993" s="5"/>
      <c r="E993" s="6"/>
      <c r="F993" s="7"/>
      <c r="G993" s="8"/>
      <c r="H993" s="7"/>
      <c r="I993" s="7"/>
      <c r="J993" s="6"/>
      <c r="K993" s="9" t="str">
        <f aca="false">IF(OR($J993="",$J993=0),"",$I993/$J993)</f>
        <v/>
      </c>
      <c r="L993" s="9" t="str">
        <f aca="false">IF(OR($E993="",$E993=0),"",$H993/$E993)</f>
        <v/>
      </c>
      <c r="M993" s="10" t="str">
        <f aca="false">IF(OR($L993="",$L993=0),"",($I993/30)/$L993)</f>
        <v/>
      </c>
      <c r="N993" s="8"/>
      <c r="O993" s="11" t="str">
        <f aca="false">IF(OR($I993="",$N993=""),"",($I993/1000)*$N993)</f>
        <v/>
      </c>
      <c r="P993" s="12" t="str">
        <f aca="false">IF($C993="","",IFERROR(ROUND(MIN(25,($N993/Instellingen!$B$3)*25)+MIN(25,($I993/Instellingen!$B$4)*25)+MIN(25,($J993/Instellingen!$B$5)*25)+MIN(25,(IF($M993="",0,$M993)/Instellingen!$B$6)*25),0),""))</f>
        <v/>
      </c>
      <c r="Q993" s="13" t="str">
        <f aca="false">IF($P993="","",IF($P993&gt;=Instellingen!$B$7,"Sterke niche",IF($P993&gt;=Instellingen!$B$8,"Belofte - opvolgen",IF($P993&gt;=Instellingen!$B$9,"Zwak - twijfel","Vermijden"))))</f>
        <v/>
      </c>
      <c r="R993" s="5"/>
      <c r="T993" s="1" t="str">
        <f aca="false">IF($C993="","",IF($P993=_xlfn.MAXIFS($P$3:$P$1000,$B$3:$B$1000,$B993),"★ Cash cow – handmatig onderzoeken",""))</f>
        <v/>
      </c>
    </row>
    <row r="994" customFormat="false" ht="14.25" hidden="false" customHeight="true" outlineLevel="0" collapsed="false">
      <c r="A994" s="4"/>
      <c r="B994" s="5"/>
      <c r="C994" s="5"/>
      <c r="D994" s="5"/>
      <c r="E994" s="6"/>
      <c r="F994" s="7"/>
      <c r="G994" s="8"/>
      <c r="H994" s="7"/>
      <c r="I994" s="7"/>
      <c r="J994" s="6"/>
      <c r="K994" s="9" t="str">
        <f aca="false">IF(OR($J994="",$J994=0),"",$I994/$J994)</f>
        <v/>
      </c>
      <c r="L994" s="9" t="str">
        <f aca="false">IF(OR($E994="",$E994=0),"",$H994/$E994)</f>
        <v/>
      </c>
      <c r="M994" s="10" t="str">
        <f aca="false">IF(OR($L994="",$L994=0),"",($I994/30)/$L994)</f>
        <v/>
      </c>
      <c r="N994" s="8"/>
      <c r="O994" s="11" t="str">
        <f aca="false">IF(OR($I994="",$N994=""),"",($I994/1000)*$N994)</f>
        <v/>
      </c>
      <c r="P994" s="12" t="str">
        <f aca="false">IF($C994="","",IFERROR(ROUND(MIN(25,($N994/Instellingen!$B$3)*25)+MIN(25,($I994/Instellingen!$B$4)*25)+MIN(25,($J994/Instellingen!$B$5)*25)+MIN(25,(IF($M994="",0,$M994)/Instellingen!$B$6)*25),0),""))</f>
        <v/>
      </c>
      <c r="Q994" s="13" t="str">
        <f aca="false">IF($P994="","",IF($P994&gt;=Instellingen!$B$7,"Sterke niche",IF($P994&gt;=Instellingen!$B$8,"Belofte - opvolgen",IF($P994&gt;=Instellingen!$B$9,"Zwak - twijfel","Vermijden"))))</f>
        <v/>
      </c>
      <c r="R994" s="5"/>
      <c r="T994" s="1" t="str">
        <f aca="false">IF($C994="","",IF($P994=_xlfn.MAXIFS($P$3:$P$1000,$B$3:$B$1000,$B994),"★ Cash cow – handmatig onderzoeken",""))</f>
        <v/>
      </c>
    </row>
    <row r="995" customFormat="false" ht="14.25" hidden="false" customHeight="true" outlineLevel="0" collapsed="false">
      <c r="A995" s="4"/>
      <c r="B995" s="5"/>
      <c r="C995" s="5"/>
      <c r="D995" s="5"/>
      <c r="E995" s="6"/>
      <c r="F995" s="7"/>
      <c r="G995" s="8"/>
      <c r="H995" s="7"/>
      <c r="I995" s="7"/>
      <c r="J995" s="6"/>
      <c r="K995" s="9" t="str">
        <f aca="false">IF(OR($J995="",$J995=0),"",$I995/$J995)</f>
        <v/>
      </c>
      <c r="L995" s="9" t="str">
        <f aca="false">IF(OR($E995="",$E995=0),"",$H995/$E995)</f>
        <v/>
      </c>
      <c r="M995" s="10" t="str">
        <f aca="false">IF(OR($L995="",$L995=0),"",($I995/30)/$L995)</f>
        <v/>
      </c>
      <c r="N995" s="8"/>
      <c r="O995" s="11" t="str">
        <f aca="false">IF(OR($I995="",$N995=""),"",($I995/1000)*$N995)</f>
        <v/>
      </c>
      <c r="P995" s="12" t="str">
        <f aca="false">IF($C995="","",IFERROR(ROUND(MIN(25,($N995/Instellingen!$B$3)*25)+MIN(25,($I995/Instellingen!$B$4)*25)+MIN(25,($J995/Instellingen!$B$5)*25)+MIN(25,(IF($M995="",0,$M995)/Instellingen!$B$6)*25),0),""))</f>
        <v/>
      </c>
      <c r="Q995" s="13" t="str">
        <f aca="false">IF($P995="","",IF($P995&gt;=Instellingen!$B$7,"Sterke niche",IF($P995&gt;=Instellingen!$B$8,"Belofte - opvolgen",IF($P995&gt;=Instellingen!$B$9,"Zwak - twijfel","Vermijden"))))</f>
        <v/>
      </c>
      <c r="R995" s="5"/>
      <c r="T995" s="1" t="str">
        <f aca="false">IF($C995="","",IF($P995=_xlfn.MAXIFS($P$3:$P$1000,$B$3:$B$1000,$B995),"★ Cash cow – handmatig onderzoeken",""))</f>
        <v/>
      </c>
    </row>
    <row r="996" customFormat="false" ht="14.25" hidden="false" customHeight="true" outlineLevel="0" collapsed="false">
      <c r="A996" s="4"/>
      <c r="B996" s="5"/>
      <c r="C996" s="5"/>
      <c r="D996" s="5"/>
      <c r="E996" s="6"/>
      <c r="F996" s="7"/>
      <c r="G996" s="8"/>
      <c r="H996" s="7"/>
      <c r="I996" s="7"/>
      <c r="J996" s="6"/>
      <c r="K996" s="9" t="str">
        <f aca="false">IF(OR($J996="",$J996=0),"",$I996/$J996)</f>
        <v/>
      </c>
      <c r="L996" s="9" t="str">
        <f aca="false">IF(OR($E996="",$E996=0),"",$H996/$E996)</f>
        <v/>
      </c>
      <c r="M996" s="10" t="str">
        <f aca="false">IF(OR($L996="",$L996=0),"",($I996/30)/$L996)</f>
        <v/>
      </c>
      <c r="N996" s="8"/>
      <c r="O996" s="11" t="str">
        <f aca="false">IF(OR($I996="",$N996=""),"",($I996/1000)*$N996)</f>
        <v/>
      </c>
      <c r="P996" s="12" t="str">
        <f aca="false">IF($C996="","",IFERROR(ROUND(MIN(25,($N996/Instellingen!$B$3)*25)+MIN(25,($I996/Instellingen!$B$4)*25)+MIN(25,($J996/Instellingen!$B$5)*25)+MIN(25,(IF($M996="",0,$M996)/Instellingen!$B$6)*25),0),""))</f>
        <v/>
      </c>
      <c r="Q996" s="13" t="str">
        <f aca="false">IF($P996="","",IF($P996&gt;=Instellingen!$B$7,"Sterke niche",IF($P996&gt;=Instellingen!$B$8,"Belofte - opvolgen",IF($P996&gt;=Instellingen!$B$9,"Zwak - twijfel","Vermijden"))))</f>
        <v/>
      </c>
      <c r="R996" s="5"/>
      <c r="T996" s="1" t="str">
        <f aca="false">IF($C996="","",IF($P996=_xlfn.MAXIFS($P$3:$P$1000,$B$3:$B$1000,$B996),"★ Cash cow – handmatig onderzoeken",""))</f>
        <v/>
      </c>
    </row>
    <row r="997" customFormat="false" ht="14.25" hidden="false" customHeight="true" outlineLevel="0" collapsed="false">
      <c r="A997" s="4"/>
      <c r="B997" s="5"/>
      <c r="C997" s="5"/>
      <c r="D997" s="5"/>
      <c r="E997" s="6"/>
      <c r="F997" s="7"/>
      <c r="G997" s="8"/>
      <c r="H997" s="7"/>
      <c r="I997" s="7"/>
      <c r="J997" s="6"/>
      <c r="K997" s="9" t="str">
        <f aca="false">IF(OR($J997="",$J997=0),"",$I997/$J997)</f>
        <v/>
      </c>
      <c r="L997" s="9" t="str">
        <f aca="false">IF(OR($E997="",$E997=0),"",$H997/$E997)</f>
        <v/>
      </c>
      <c r="M997" s="10" t="str">
        <f aca="false">IF(OR($L997="",$L997=0),"",($I997/30)/$L997)</f>
        <v/>
      </c>
      <c r="N997" s="8"/>
      <c r="O997" s="11" t="str">
        <f aca="false">IF(OR($I997="",$N997=""),"",($I997/1000)*$N997)</f>
        <v/>
      </c>
      <c r="P997" s="12" t="str">
        <f aca="false">IF($C997="","",IFERROR(ROUND(MIN(25,($N997/Instellingen!$B$3)*25)+MIN(25,($I997/Instellingen!$B$4)*25)+MIN(25,($J997/Instellingen!$B$5)*25)+MIN(25,(IF($M997="",0,$M997)/Instellingen!$B$6)*25),0),""))</f>
        <v/>
      </c>
      <c r="Q997" s="13" t="str">
        <f aca="false">IF($P997="","",IF($P997&gt;=Instellingen!$B$7,"Sterke niche",IF($P997&gt;=Instellingen!$B$8,"Belofte - opvolgen",IF($P997&gt;=Instellingen!$B$9,"Zwak - twijfel","Vermijden"))))</f>
        <v/>
      </c>
      <c r="R997" s="5"/>
      <c r="T997" s="1" t="str">
        <f aca="false">IF($C997="","",IF($P997=_xlfn.MAXIFS($P$3:$P$1000,$B$3:$B$1000,$B997),"★ Cash cow – handmatig onderzoeken",""))</f>
        <v/>
      </c>
    </row>
    <row r="998" customFormat="false" ht="14.25" hidden="false" customHeight="true" outlineLevel="0" collapsed="false">
      <c r="A998" s="4"/>
      <c r="B998" s="5"/>
      <c r="C998" s="5"/>
      <c r="D998" s="5"/>
      <c r="E998" s="6"/>
      <c r="F998" s="7"/>
      <c r="G998" s="8"/>
      <c r="H998" s="7"/>
      <c r="I998" s="7"/>
      <c r="J998" s="6"/>
      <c r="K998" s="9" t="str">
        <f aca="false">IF(OR($J998="",$J998=0),"",$I998/$J998)</f>
        <v/>
      </c>
      <c r="L998" s="9" t="str">
        <f aca="false">IF(OR($E998="",$E998=0),"",$H998/$E998)</f>
        <v/>
      </c>
      <c r="M998" s="10" t="str">
        <f aca="false">IF(OR($L998="",$L998=0),"",($I998/30)/$L998)</f>
        <v/>
      </c>
      <c r="N998" s="8"/>
      <c r="O998" s="11" t="str">
        <f aca="false">IF(OR($I998="",$N998=""),"",($I998/1000)*$N998)</f>
        <v/>
      </c>
      <c r="P998" s="12" t="str">
        <f aca="false">IF($C998="","",IFERROR(ROUND(MIN(25,($N998/Instellingen!$B$3)*25)+MIN(25,($I998/Instellingen!$B$4)*25)+MIN(25,($J998/Instellingen!$B$5)*25)+MIN(25,(IF($M998="",0,$M998)/Instellingen!$B$6)*25),0),""))</f>
        <v/>
      </c>
      <c r="Q998" s="13" t="str">
        <f aca="false">IF($P998="","",IF($P998&gt;=Instellingen!$B$7,"Sterke niche",IF($P998&gt;=Instellingen!$B$8,"Belofte - opvolgen",IF($P998&gt;=Instellingen!$B$9,"Zwak - twijfel","Vermijden"))))</f>
        <v/>
      </c>
      <c r="R998" s="5"/>
      <c r="T998" s="1" t="str">
        <f aca="false">IF($C998="","",IF($P998=_xlfn.MAXIFS($P$3:$P$1000,$B$3:$B$1000,$B998),"★ Cash cow – handmatig onderzoeken",""))</f>
        <v/>
      </c>
    </row>
    <row r="999" customFormat="false" ht="14.25" hidden="false" customHeight="true" outlineLevel="0" collapsed="false">
      <c r="A999" s="4"/>
      <c r="B999" s="5"/>
      <c r="C999" s="5"/>
      <c r="D999" s="5"/>
      <c r="E999" s="6"/>
      <c r="F999" s="7"/>
      <c r="G999" s="8"/>
      <c r="H999" s="7"/>
      <c r="I999" s="7"/>
      <c r="J999" s="6"/>
      <c r="K999" s="9" t="str">
        <f aca="false">IF(OR($J999="",$J999=0),"",$I999/$J999)</f>
        <v/>
      </c>
      <c r="L999" s="9" t="str">
        <f aca="false">IF(OR($E999="",$E999=0),"",$H999/$E999)</f>
        <v/>
      </c>
      <c r="M999" s="10" t="str">
        <f aca="false">IF(OR($L999="",$L999=0),"",($I999/30)/$L999)</f>
        <v/>
      </c>
      <c r="N999" s="8"/>
      <c r="O999" s="11" t="str">
        <f aca="false">IF(OR($I999="",$N999=""),"",($I999/1000)*$N999)</f>
        <v/>
      </c>
      <c r="P999" s="12" t="str">
        <f aca="false">IF($C999="","",IFERROR(ROUND(MIN(25,($N999/Instellingen!$B$3)*25)+MIN(25,($I999/Instellingen!$B$4)*25)+MIN(25,($J999/Instellingen!$B$5)*25)+MIN(25,(IF($M999="",0,$M999)/Instellingen!$B$6)*25),0),""))</f>
        <v/>
      </c>
      <c r="Q999" s="13" t="str">
        <f aca="false">IF($P999="","",IF($P999&gt;=Instellingen!$B$7,"Sterke niche",IF($P999&gt;=Instellingen!$B$8,"Belofte - opvolgen",IF($P999&gt;=Instellingen!$B$9,"Zwak - twijfel","Vermijden"))))</f>
        <v/>
      </c>
      <c r="R999" s="5"/>
      <c r="T999" s="1" t="str">
        <f aca="false">IF($C999="","",IF($P999=_xlfn.MAXIFS($P$3:$P$1000,$B$3:$B$1000,$B999),"★ Cash cow – handmatig onderzoeken",""))</f>
        <v/>
      </c>
    </row>
    <row r="1000" customFormat="false" ht="14.25" hidden="false" customHeight="true" outlineLevel="0" collapsed="false">
      <c r="A1000" s="4"/>
      <c r="B1000" s="5"/>
      <c r="C1000" s="5"/>
      <c r="D1000" s="5"/>
      <c r="E1000" s="6"/>
      <c r="F1000" s="7"/>
      <c r="G1000" s="8"/>
      <c r="H1000" s="7"/>
      <c r="I1000" s="7"/>
      <c r="J1000" s="6"/>
      <c r="K1000" s="9" t="str">
        <f aca="false">IF(OR($J1000="",$J1000=0),"",$I1000/$J1000)</f>
        <v/>
      </c>
      <c r="L1000" s="9" t="str">
        <f aca="false">IF(OR($E1000="",$E1000=0),"",$H1000/$E1000)</f>
        <v/>
      </c>
      <c r="M1000" s="10" t="str">
        <f aca="false">IF(OR($L1000="",$L1000=0),"",($I1000/30)/$L1000)</f>
        <v/>
      </c>
      <c r="N1000" s="8"/>
      <c r="O1000" s="11" t="str">
        <f aca="false">IF(OR($I1000="",$N1000=""),"",($I1000/1000)*$N1000)</f>
        <v/>
      </c>
      <c r="P1000" s="12" t="str">
        <f aca="false">IF($C1000="","",IFERROR(ROUND(MIN(25,($N1000/Instellingen!$B$3)*25)+MIN(25,($I1000/Instellingen!$B$4)*25)+MIN(25,($J1000/Instellingen!$B$5)*25)+MIN(25,(IF($M1000="",0,$M1000)/Instellingen!$B$6)*25),0),""))</f>
        <v/>
      </c>
      <c r="Q1000" s="13" t="str">
        <f aca="false">IF($P1000="","",IF($P1000&gt;=Instellingen!$B$7,"Sterke niche",IF($P1000&gt;=Instellingen!$B$8,"Belofte - opvolgen",IF($P1000&gt;=Instellingen!$B$9,"Zwak - twijfel","Vermijden"))))</f>
        <v/>
      </c>
      <c r="R1000" s="5"/>
      <c r="T1000" s="1" t="str">
        <f aca="false">IF($C1000="","",IF($P1000=_xlfn.MAXIFS($P$3:$P$1000,$B$3:$B$1000,$B1000),"★ Cash cow – handmatig onderzoeken",""))</f>
        <v/>
      </c>
    </row>
  </sheetData>
  <autoFilter ref="A1:R1000"/>
  <conditionalFormatting sqref="Q2:Q1000">
    <cfRule type="cellIs" priority="2" operator="equal" aboveAverage="0" equalAverage="0" bottom="0" percent="0" rank="0" text="" dxfId="34">
      <formula>"Sterke niche"</formula>
    </cfRule>
    <cfRule type="cellIs" priority="3" operator="equal" aboveAverage="0" equalAverage="0" bottom="0" percent="0" rank="0" text="" dxfId="35">
      <formula>"Belofte - opvolgen"</formula>
    </cfRule>
    <cfRule type="cellIs" priority="4" operator="equal" aboveAverage="0" equalAverage="0" bottom="0" percent="0" rank="0" text="" dxfId="35">
      <formula>"Zwak - twijfel"</formula>
    </cfRule>
    <cfRule type="cellIs" priority="5" operator="equal" aboveAverage="0" equalAverage="0" bottom="0" percent="0" rank="0" text="" dxfId="36">
      <formula>"Vermijden"</formula>
    </cfRule>
  </conditionalFormatting>
  <conditionalFormatting sqref="N2:N1000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100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000">
    <cfRule type="iconSet" priority="8">
      <iconSet iconSet="3TrafficLights1">
        <cfvo type="percent" val="0"/>
        <cfvo type="percent" val="33"/>
        <cfvo type="percent" val="67"/>
      </iconSet>
    </cfRule>
  </conditionalFormatting>
  <conditionalFormatting sqref="E2:E1000">
    <cfRule type="cellIs" priority="9" operator="greaterThan" aboveAverage="0" equalAverage="0" bottom="0" percent="0" rank="0" text="" dxfId="36">
      <formula>180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6"/>
  </cols>
  <sheetData>
    <row r="1" customFormat="false" ht="39.75" hidden="false" customHeight="true" outlineLevel="0" collapsed="false">
      <c r="A1" s="2" t="s">
        <v>1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</row>
    <row r="2" customFormat="false" ht="14.25" hidden="false" customHeight="true" outlineLevel="0" collapsed="false">
      <c r="A2" s="5" t="s">
        <v>20</v>
      </c>
      <c r="B2" s="26" t="n">
        <f aca="false">IF($A2="","",COUNTIF('Niche Research'!$B$2:$B$1000,$A2))</f>
        <v>4</v>
      </c>
      <c r="C2" s="9" t="n">
        <f aca="false">IF($A2="","",SUMIF('Niche Research'!$B$2:$B$1000,$A2,'Niche Research'!$I$2:$I$1000))</f>
        <v>2362407</v>
      </c>
      <c r="D2" s="10" t="n">
        <f aca="false">IF($A2="","",IFERROR(AVERAGEIF('Niche Research'!$B$2:$B$1000,$A2,'Niche Research'!$N$2:$N$1000),""))</f>
        <v>7.467025</v>
      </c>
      <c r="E2" s="11" t="n">
        <f aca="false">IF($A2="","",SUMIF('Niche Research'!$B$2:$B$1000,$A2,'Niche Research'!$O$2:$O$1000))</f>
        <v>20593.7347088</v>
      </c>
      <c r="F2" s="12" t="n">
        <f aca="false">IF($A2="","",IFERROR(AVERAGEIF('Niche Research'!$B$2:$B$1000,$A2,'Niche Research'!$E$2:$E$1000),""))</f>
        <v>93.75</v>
      </c>
      <c r="G2" s="27" t="n">
        <f aca="false">IF($A2="","",IFERROR(AVERAGEIF('Niche Research'!$B$2:$B$1000,$A2,'Niche Research'!$P$2:$P$1000),""))</f>
        <v>62.75</v>
      </c>
      <c r="H2" s="26" t="n">
        <f aca="false">IF($A2="","",COUNTIFS('Niche Research'!$B$2:$B$1000,$A2,'Niche Research'!$Q$2:$Q$1000,"Sterke niche"))</f>
        <v>2</v>
      </c>
      <c r="I2" s="26" t="n">
        <f aca="false">IF(OR($A2="",$G2=""),"",RANK($G2,$G$2:$G$101,0))</f>
        <v>5</v>
      </c>
    </row>
    <row r="3" customFormat="false" ht="14.25" hidden="false" customHeight="true" outlineLevel="0" collapsed="false">
      <c r="A3" s="15" t="s">
        <v>63</v>
      </c>
      <c r="B3" s="28" t="n">
        <f aca="false">IF($A3="","",COUNTIF('Niche Research'!$B$2:$B$1000,$A3))</f>
        <v>1</v>
      </c>
      <c r="C3" s="19" t="n">
        <f aca="false">IF($A3="","",SUMIF('Niche Research'!$B$2:$B$1000,$A3,'Niche Research'!$I$2:$I$1000))</f>
        <v>3229</v>
      </c>
      <c r="D3" s="20" t="n">
        <f aca="false">IF($A3="","",IFERROR(AVERAGEIF('Niche Research'!$B$2:$B$1000,$A3,'Niche Research'!$N$2:$N$1000),""))</f>
        <v>3.672</v>
      </c>
      <c r="E3" s="21" t="n">
        <f aca="false">IF($A3="","",SUMIF('Niche Research'!$B$2:$B$1000,$A3,'Niche Research'!$O$2:$O$1000))</f>
        <v>11.856888</v>
      </c>
      <c r="F3" s="22" t="n">
        <f aca="false">IF($A3="","",IFERROR(AVERAGEIF('Niche Research'!$B$2:$B$1000,$A3,'Niche Research'!$E$2:$E$1000),""))</f>
        <v>178</v>
      </c>
      <c r="G3" s="29" t="n">
        <f aca="false">IF($A3="","",IFERROR(AVERAGEIF('Niche Research'!$B$2:$B$1000,$A3,'Niche Research'!$P$2:$P$1000),""))</f>
        <v>20</v>
      </c>
      <c r="H3" s="28" t="n">
        <f aca="false">IF($A3="","",COUNTIFS('Niche Research'!$B$2:$B$1000,$A3,'Niche Research'!$Q$2:$Q$1000,"Sterke niche"))</f>
        <v>0</v>
      </c>
      <c r="I3" s="28" t="n">
        <f aca="false">IF(OR($A3="",$G3=""),"",RANK($G3,$G$2:$G$101,0))</f>
        <v>10</v>
      </c>
    </row>
    <row r="4" customFormat="false" ht="14.25" hidden="false" customHeight="true" outlineLevel="0" collapsed="false">
      <c r="A4" s="5" t="s">
        <v>29</v>
      </c>
      <c r="B4" s="26" t="n">
        <f aca="false">IF($A4="","",COUNTIF('Niche Research'!$B$2:$B$1000,$A4))</f>
        <v>1</v>
      </c>
      <c r="C4" s="9" t="n">
        <f aca="false">IF($A4="","",SUMIF('Niche Research'!$B$2:$B$1000,$A4,'Niche Research'!$I$2:$I$1000))</f>
        <v>272311</v>
      </c>
      <c r="D4" s="10" t="n">
        <f aca="false">IF($A4="","",IFERROR(AVERAGEIF('Niche Research'!$B$2:$B$1000,$A4,'Niche Research'!$N$2:$N$1000),""))</f>
        <v>4.2595</v>
      </c>
      <c r="E4" s="11" t="n">
        <f aca="false">IF($A4="","",SUMIF('Niche Research'!$B$2:$B$1000,$A4,'Niche Research'!$O$2:$O$1000))</f>
        <v>1159.9087045</v>
      </c>
      <c r="F4" s="12" t="n">
        <f aca="false">IF($A4="","",IFERROR(AVERAGEIF('Niche Research'!$B$2:$B$1000,$A4,'Niche Research'!$E$2:$E$1000),""))</f>
        <v>88</v>
      </c>
      <c r="G4" s="27" t="n">
        <f aca="false">IF($A4="","",IFERROR(AVERAGEIF('Niche Research'!$B$2:$B$1000,$A4,'Niche Research'!$P$2:$P$1000),""))</f>
        <v>75</v>
      </c>
      <c r="H4" s="26" t="n">
        <f aca="false">IF($A4="","",COUNTIFS('Niche Research'!$B$2:$B$1000,$A4,'Niche Research'!$Q$2:$Q$1000,"Sterke niche"))</f>
        <v>1</v>
      </c>
      <c r="I4" s="26" t="n">
        <f aca="false">IF(OR($A4="",$G4=""),"",RANK($G4,$G$2:$G$101,0))</f>
        <v>4</v>
      </c>
    </row>
    <row r="5" customFormat="false" ht="14.25" hidden="false" customHeight="true" outlineLevel="0" collapsed="false">
      <c r="A5" s="15" t="s">
        <v>66</v>
      </c>
      <c r="B5" s="28" t="n">
        <f aca="false">IF($A5="","",COUNTIF('Niche Research'!$B$2:$B$1000,$A5))</f>
        <v>1</v>
      </c>
      <c r="C5" s="19" t="n">
        <f aca="false">IF($A5="","",SUMIF('Niche Research'!$B$2:$B$1000,$A5,'Niche Research'!$I$2:$I$1000))</f>
        <v>129310</v>
      </c>
      <c r="D5" s="20" t="n">
        <f aca="false">IF($A5="","",IFERROR(AVERAGEIF('Niche Research'!$B$2:$B$1000,$A5,'Niche Research'!$N$2:$N$1000),""))</f>
        <v>3.672</v>
      </c>
      <c r="E5" s="21" t="n">
        <f aca="false">IF($A5="","",SUMIF('Niche Research'!$B$2:$B$1000,$A5,'Niche Research'!$O$2:$O$1000))</f>
        <v>474.82632</v>
      </c>
      <c r="F5" s="22" t="n">
        <f aca="false">IF($A5="","",IFERROR(AVERAGEIF('Niche Research'!$B$2:$B$1000,$A5,'Niche Research'!$E$2:$E$1000),""))</f>
        <v>98</v>
      </c>
      <c r="G5" s="29" t="n">
        <f aca="false">IF($A5="","",IFERROR(AVERAGEIF('Niche Research'!$B$2:$B$1000,$A5,'Niche Research'!$P$2:$P$1000),""))</f>
        <v>59</v>
      </c>
      <c r="H5" s="28" t="n">
        <f aca="false">IF($A5="","",COUNTIFS('Niche Research'!$B$2:$B$1000,$A5,'Niche Research'!$Q$2:$Q$1000,"Sterke niche"))</f>
        <v>0</v>
      </c>
      <c r="I5" s="28" t="n">
        <f aca="false">IF(OR($A5="",$G5=""),"",RANK($G5,$G$2:$G$101,0))</f>
        <v>6</v>
      </c>
    </row>
    <row r="6" customFormat="false" ht="14.25" hidden="false" customHeight="true" outlineLevel="0" collapsed="false">
      <c r="A6" s="5" t="s">
        <v>24</v>
      </c>
      <c r="B6" s="26" t="n">
        <f aca="false">IF($A6="","",COUNTIF('Niche Research'!$B$2:$B$1000,$A6))</f>
        <v>1</v>
      </c>
      <c r="C6" s="9" t="n">
        <f aca="false">IF($A6="","",SUMIF('Niche Research'!$B$2:$B$1000,$A6,'Niche Research'!$I$2:$I$1000))</f>
        <v>15555</v>
      </c>
      <c r="D6" s="10" t="n">
        <f aca="false">IF($A6="","",IFERROR(AVERAGEIF('Niche Research'!$B$2:$B$1000,$A6,'Niche Research'!$N$2:$N$1000),""))</f>
        <v>4.1472</v>
      </c>
      <c r="E6" s="11" t="n">
        <f aca="false">IF($A6="","",SUMIF('Niche Research'!$B$2:$B$1000,$A6,'Niche Research'!$O$2:$O$1000))</f>
        <v>64.509696</v>
      </c>
      <c r="F6" s="12" t="n">
        <f aca="false">IF($A6="","",IFERROR(AVERAGEIF('Niche Research'!$B$2:$B$1000,$A6,'Niche Research'!$E$2:$E$1000),""))</f>
        <v>125</v>
      </c>
      <c r="G6" s="27" t="n">
        <f aca="false">IF($A6="","",IFERROR(AVERAGEIF('Niche Research'!$B$2:$B$1000,$A6,'Niche Research'!$P$2:$P$1000),""))</f>
        <v>24</v>
      </c>
      <c r="H6" s="26" t="n">
        <f aca="false">IF($A6="","",COUNTIFS('Niche Research'!$B$2:$B$1000,$A6,'Niche Research'!$Q$2:$Q$1000,"Sterke niche"))</f>
        <v>0</v>
      </c>
      <c r="I6" s="26" t="n">
        <f aca="false">IF(OR($A6="",$G6=""),"",RANK($G6,$G$2:$G$101,0))</f>
        <v>9</v>
      </c>
    </row>
    <row r="7" customFormat="false" ht="14.25" hidden="false" customHeight="true" outlineLevel="0" collapsed="false">
      <c r="A7" s="15" t="s">
        <v>47</v>
      </c>
      <c r="B7" s="28" t="n">
        <f aca="false">IF($A7="","",COUNTIF('Niche Research'!$B$2:$B$1000,$A7))</f>
        <v>1</v>
      </c>
      <c r="C7" s="19" t="n">
        <f aca="false">IF($A7="","",SUMIF('Niche Research'!$B$2:$B$1000,$A7,'Niche Research'!$I$2:$I$1000))</f>
        <v>247133</v>
      </c>
      <c r="D7" s="20" t="n">
        <f aca="false">IF($A7="","",IFERROR(AVERAGEIF('Niche Research'!$B$2:$B$1000,$A7,'Niche Research'!$N$2:$N$1000),""))</f>
        <v>6.6096</v>
      </c>
      <c r="E7" s="21" t="n">
        <f aca="false">IF($A7="","",SUMIF('Niche Research'!$B$2:$B$1000,$A7,'Niche Research'!$O$2:$O$1000))</f>
        <v>1633.4502768</v>
      </c>
      <c r="F7" s="22" t="n">
        <f aca="false">IF($A7="","",IFERROR(AVERAGEIF('Niche Research'!$B$2:$B$1000,$A7,'Niche Research'!$E$2:$E$1000),""))</f>
        <v>119</v>
      </c>
      <c r="G7" s="29" t="n">
        <f aca="false">IF($A7="","",IFERROR(AVERAGEIF('Niche Research'!$B$2:$B$1000,$A7,'Niche Research'!$P$2:$P$1000),""))</f>
        <v>81</v>
      </c>
      <c r="H7" s="28" t="n">
        <f aca="false">IF($A7="","",COUNTIFS('Niche Research'!$B$2:$B$1000,$A7,'Niche Research'!$Q$2:$Q$1000,"Sterke niche"))</f>
        <v>1</v>
      </c>
      <c r="I7" s="28" t="n">
        <f aca="false">IF(OR($A7="",$G7=""),"",RANK($G7,$G$2:$G$101,0))</f>
        <v>3</v>
      </c>
    </row>
    <row r="8" customFormat="false" ht="14.25" hidden="false" customHeight="true" outlineLevel="0" collapsed="false">
      <c r="A8" s="5" t="s">
        <v>56</v>
      </c>
      <c r="B8" s="26" t="n">
        <f aca="false">IF($A8="","",COUNTIF('Niche Research'!$B$2:$B$1000,$A8))</f>
        <v>1</v>
      </c>
      <c r="C8" s="9" t="n">
        <f aca="false">IF($A8="","",SUMIF('Niche Research'!$B$2:$B$1000,$A8,'Niche Research'!$I$2:$I$1000))</f>
        <v>1022653</v>
      </c>
      <c r="D8" s="10" t="n">
        <f aca="false">IF($A8="","",IFERROR(AVERAGEIF('Niche Research'!$B$2:$B$1000,$A8,'Niche Research'!$N$2:$N$1000),""))</f>
        <v>4.5619</v>
      </c>
      <c r="E8" s="11" t="n">
        <f aca="false">IF($A8="","",SUMIF('Niche Research'!$B$2:$B$1000,$A8,'Niche Research'!$O$2:$O$1000))</f>
        <v>4665.2407207</v>
      </c>
      <c r="F8" s="12" t="n">
        <f aca="false">IF($A8="","",IFERROR(AVERAGEIF('Niche Research'!$B$2:$B$1000,$A8,'Niche Research'!$E$2:$E$1000),""))</f>
        <v>50</v>
      </c>
      <c r="G8" s="27" t="n">
        <f aca="false">IF($A8="","",IFERROR(AVERAGEIF('Niche Research'!$B$2:$B$1000,$A8,'Niche Research'!$P$2:$P$1000),""))</f>
        <v>94</v>
      </c>
      <c r="H8" s="26" t="n">
        <f aca="false">IF($A8="","",COUNTIFS('Niche Research'!$B$2:$B$1000,$A8,'Niche Research'!$Q$2:$Q$1000,"Sterke niche"))</f>
        <v>1</v>
      </c>
      <c r="I8" s="26" t="n">
        <f aca="false">IF(OR($A8="",$G8=""),"",RANK($G8,$G$2:$G$101,0))</f>
        <v>2</v>
      </c>
    </row>
    <row r="9" customFormat="false" ht="14.25" hidden="false" customHeight="true" outlineLevel="0" collapsed="false">
      <c r="A9" s="15" t="s">
        <v>43</v>
      </c>
      <c r="B9" s="28" t="n">
        <f aca="false">IF($A9="","",COUNTIF('Niche Research'!$B$2:$B$1000,$A9))</f>
        <v>1</v>
      </c>
      <c r="C9" s="19" t="n">
        <f aca="false">IF($A9="","",SUMIF('Niche Research'!$B$2:$B$1000,$A9,'Niche Research'!$I$2:$I$1000))</f>
        <v>129</v>
      </c>
      <c r="D9" s="20" t="n">
        <f aca="false">IF($A9="","",IFERROR(AVERAGEIF('Niche Research'!$B$2:$B$1000,$A9,'Niche Research'!$N$2:$N$1000),""))</f>
        <v>3.0465</v>
      </c>
      <c r="E9" s="21" t="n">
        <f aca="false">IF($A9="","",SUMIF('Niche Research'!$B$2:$B$1000,$A9,'Niche Research'!$O$2:$O$1000))</f>
        <v>0.3929985</v>
      </c>
      <c r="F9" s="22" t="n">
        <f aca="false">IF($A9="","",IFERROR(AVERAGEIF('Niche Research'!$B$2:$B$1000,$A9,'Niche Research'!$E$2:$E$1000),""))</f>
        <v>124</v>
      </c>
      <c r="G9" s="29" t="n">
        <f aca="false">IF($A9="","",IFERROR(AVERAGEIF('Niche Research'!$B$2:$B$1000,$A9,'Niche Research'!$P$2:$P$1000),""))</f>
        <v>13</v>
      </c>
      <c r="H9" s="28" t="n">
        <f aca="false">IF($A9="","",COUNTIFS('Niche Research'!$B$2:$B$1000,$A9,'Niche Research'!$Q$2:$Q$1000,"Sterke niche"))</f>
        <v>0</v>
      </c>
      <c r="I9" s="28" t="n">
        <f aca="false">IF(OR($A9="",$G9=""),"",RANK($G9,$G$2:$G$101,0))</f>
        <v>11</v>
      </c>
    </row>
    <row r="10" customFormat="false" ht="14.25" hidden="false" customHeight="true" outlineLevel="0" collapsed="false">
      <c r="A10" s="5" t="s">
        <v>59</v>
      </c>
      <c r="B10" s="26" t="n">
        <f aca="false">IF($A10="","",COUNTIF('Niche Research'!$B$2:$B$1000,$A10))</f>
        <v>1</v>
      </c>
      <c r="C10" s="9" t="n">
        <f aca="false">IF($A10="","",SUMIF('Niche Research'!$B$2:$B$1000,$A10,'Niche Research'!$I$2:$I$1000))</f>
        <v>61187</v>
      </c>
      <c r="D10" s="10" t="n">
        <f aca="false">IF($A10="","",IFERROR(AVERAGEIF('Niche Research'!$B$2:$B$1000,$A10,'Niche Research'!$N$2:$N$1000),""))</f>
        <v>6.629</v>
      </c>
      <c r="E10" s="11" t="n">
        <f aca="false">IF($A10="","",SUMIF('Niche Research'!$B$2:$B$1000,$A10,'Niche Research'!$O$2:$O$1000))</f>
        <v>405.608623</v>
      </c>
      <c r="F10" s="12" t="n">
        <f aca="false">IF($A10="","",IFERROR(AVERAGEIF('Niche Research'!$B$2:$B$1000,$A10,'Niche Research'!$E$2:$E$1000),""))</f>
        <v>132</v>
      </c>
      <c r="G10" s="27" t="n">
        <f aca="false">IF($A10="","",IFERROR(AVERAGEIF('Niche Research'!$B$2:$B$1000,$A10,'Niche Research'!$P$2:$P$1000),""))</f>
        <v>34</v>
      </c>
      <c r="H10" s="26" t="n">
        <f aca="false">IF($A10="","",COUNTIFS('Niche Research'!$B$2:$B$1000,$A10,'Niche Research'!$Q$2:$Q$1000,"Sterke niche"))</f>
        <v>0</v>
      </c>
      <c r="I10" s="26" t="n">
        <f aca="false">IF(OR($A10="",$G10=""),"",RANK($G10,$G$2:$G$101,0))</f>
        <v>8</v>
      </c>
    </row>
    <row r="11" customFormat="false" ht="14.25" hidden="false" customHeight="true" outlineLevel="0" collapsed="false">
      <c r="A11" s="15" t="s">
        <v>40</v>
      </c>
      <c r="B11" s="28" t="n">
        <f aca="false">IF($A11="","",COUNTIF('Niche Research'!$B$2:$B$1000,$A11))</f>
        <v>1</v>
      </c>
      <c r="C11" s="19" t="n">
        <f aca="false">IF($A11="","",SUMIF('Niche Research'!$B$2:$B$1000,$A11,'Niche Research'!$I$2:$I$1000))</f>
        <v>1981264</v>
      </c>
      <c r="D11" s="20" t="n">
        <f aca="false">IF($A11="","",IFERROR(AVERAGEIF('Niche Research'!$B$2:$B$1000,$A11,'Niche Research'!$N$2:$N$1000),""))</f>
        <v>4.8384</v>
      </c>
      <c r="E11" s="21" t="n">
        <f aca="false">IF($A11="","",SUMIF('Niche Research'!$B$2:$B$1000,$A11,'Niche Research'!$O$2:$O$1000))</f>
        <v>9586.1477376</v>
      </c>
      <c r="F11" s="22" t="n">
        <f aca="false">IF($A11="","",IFERROR(AVERAGEIF('Niche Research'!$B$2:$B$1000,$A11,'Niche Research'!$E$2:$E$1000),""))</f>
        <v>137</v>
      </c>
      <c r="G11" s="29" t="n">
        <f aca="false">IF($A11="","",IFERROR(AVERAGEIF('Niche Research'!$B$2:$B$1000,$A11,'Niche Research'!$P$2:$P$1000),""))</f>
        <v>95</v>
      </c>
      <c r="H11" s="28" t="n">
        <f aca="false">IF($A11="","",COUNTIFS('Niche Research'!$B$2:$B$1000,$A11,'Niche Research'!$Q$2:$Q$1000,"Sterke niche"))</f>
        <v>1</v>
      </c>
      <c r="I11" s="28" t="n">
        <f aca="false">IF(OR($A11="",$G11=""),"",RANK($G11,$G$2:$G$101,0))</f>
        <v>1</v>
      </c>
    </row>
    <row r="12" customFormat="false" ht="14.25" hidden="false" customHeight="true" outlineLevel="0" collapsed="false">
      <c r="A12" s="5" t="s">
        <v>33</v>
      </c>
      <c r="B12" s="26" t="n">
        <f aca="false">IF($A12="","",COUNTIF('Niche Research'!$B$2:$B$1000,$A12))</f>
        <v>2</v>
      </c>
      <c r="C12" s="9" t="n">
        <f aca="false">IF($A12="","",SUMIF('Niche Research'!$B$2:$B$1000,$A12,'Niche Research'!$I$2:$I$1000))</f>
        <v>1878415</v>
      </c>
      <c r="D12" s="10" t="n">
        <f aca="false">IF($A12="","",IFERROR(AVERAGEIF('Niche Research'!$B$2:$B$1000,$A12,'Niche Research'!$N$2:$N$1000),""))</f>
        <v>1.665</v>
      </c>
      <c r="E12" s="11" t="n">
        <f aca="false">IF($A12="","",SUMIF('Niche Research'!$B$2:$B$1000,$A12,'Niche Research'!$O$2:$O$1000))</f>
        <v>2929.262706</v>
      </c>
      <c r="F12" s="12" t="n">
        <f aca="false">IF($A12="","",IFERROR(AVERAGEIF('Niche Research'!$B$2:$B$1000,$A12,'Niche Research'!$E$2:$E$1000),""))</f>
        <v>118</v>
      </c>
      <c r="G12" s="27" t="n">
        <f aca="false">IF($A12="","",IFERROR(AVERAGEIF('Niche Research'!$B$2:$B$1000,$A12,'Niche Research'!$P$2:$P$1000),""))</f>
        <v>40</v>
      </c>
      <c r="H12" s="26" t="n">
        <f aca="false">IF($A12="","",COUNTIFS('Niche Research'!$B$2:$B$1000,$A12,'Niche Research'!$Q$2:$Q$1000,"Sterke niche"))</f>
        <v>0</v>
      </c>
      <c r="I12" s="26" t="n">
        <f aca="false">IF(OR($A12="",$G12=""),"",RANK($G12,$G$2:$G$101,0))</f>
        <v>7</v>
      </c>
    </row>
    <row r="13" customFormat="false" ht="14.25" hidden="false" customHeight="true" outlineLevel="0" collapsed="false">
      <c r="A13" s="15"/>
      <c r="B13" s="28" t="str">
        <f aca="false">IF($A13="","",COUNTIF('Niche Research'!$B$2:$B$1000,$A13))</f>
        <v/>
      </c>
      <c r="C13" s="19" t="str">
        <f aca="false">IF($A13="","",SUMIF('Niche Research'!$B$2:$B$1000,$A13,'Niche Research'!$I$2:$I$1000))</f>
        <v/>
      </c>
      <c r="D13" s="20" t="str">
        <f aca="false">IF($A13="","",IFERROR(AVERAGEIF('Niche Research'!$B$2:$B$1000,$A13,'Niche Research'!$N$2:$N$1000),""))</f>
        <v/>
      </c>
      <c r="E13" s="21" t="str">
        <f aca="false">IF($A13="","",SUMIF('Niche Research'!$B$2:$B$1000,$A13,'Niche Research'!$O$2:$O$1000))</f>
        <v/>
      </c>
      <c r="F13" s="22" t="str">
        <f aca="false">IF($A13="","",IFERROR(AVERAGEIF('Niche Research'!$B$2:$B$1000,$A13,'Niche Research'!$E$2:$E$1000),""))</f>
        <v/>
      </c>
      <c r="G13" s="29" t="str">
        <f aca="false">IF($A13="","",IFERROR(AVERAGEIF('Niche Research'!$B$2:$B$1000,$A13,'Niche Research'!$P$2:$P$1000),""))</f>
        <v/>
      </c>
      <c r="H13" s="28" t="str">
        <f aca="false">IF($A13="","",COUNTIFS('Niche Research'!$B$2:$B$1000,$A13,'Niche Research'!$Q$2:$Q$1000,"Sterke niche"))</f>
        <v/>
      </c>
      <c r="I13" s="28" t="str">
        <f aca="false">IF(OR($A13="",$G13=""),"",RANK($G13,$G$2:$G$101,0))</f>
        <v/>
      </c>
    </row>
    <row r="14" customFormat="false" ht="14.25" hidden="false" customHeight="true" outlineLevel="0" collapsed="false">
      <c r="A14" s="5"/>
      <c r="B14" s="26" t="str">
        <f aca="false">IF($A14="","",COUNTIF('Niche Research'!$B$2:$B$1000,$A14))</f>
        <v/>
      </c>
      <c r="C14" s="9" t="str">
        <f aca="false">IF($A14="","",SUMIF('Niche Research'!$B$2:$B$1000,$A14,'Niche Research'!$I$2:$I$1000))</f>
        <v/>
      </c>
      <c r="D14" s="10" t="str">
        <f aca="false">IF($A14="","",IFERROR(AVERAGEIF('Niche Research'!$B$2:$B$1000,$A14,'Niche Research'!$N$2:$N$1000),""))</f>
        <v/>
      </c>
      <c r="E14" s="11" t="str">
        <f aca="false">IF($A14="","",SUMIF('Niche Research'!$B$2:$B$1000,$A14,'Niche Research'!$O$2:$O$1000))</f>
        <v/>
      </c>
      <c r="F14" s="12" t="str">
        <f aca="false">IF($A14="","",IFERROR(AVERAGEIF('Niche Research'!$B$2:$B$1000,$A14,'Niche Research'!$E$2:$E$1000),""))</f>
        <v/>
      </c>
      <c r="G14" s="27" t="str">
        <f aca="false">IF($A14="","",IFERROR(AVERAGEIF('Niche Research'!$B$2:$B$1000,$A14,'Niche Research'!$P$2:$P$1000),""))</f>
        <v/>
      </c>
      <c r="H14" s="26" t="str">
        <f aca="false">IF($A14="","",COUNTIFS('Niche Research'!$B$2:$B$1000,$A14,'Niche Research'!$Q$2:$Q$1000,"Sterke niche"))</f>
        <v/>
      </c>
      <c r="I14" s="26" t="str">
        <f aca="false">IF(OR($A14="",$G14=""),"",RANK($G14,$G$2:$G$101,0))</f>
        <v/>
      </c>
    </row>
    <row r="15" customFormat="false" ht="14.25" hidden="false" customHeight="true" outlineLevel="0" collapsed="false">
      <c r="A15" s="15"/>
      <c r="B15" s="28" t="str">
        <f aca="false">IF($A15="","",COUNTIF('Niche Research'!$B$2:$B$1000,$A15))</f>
        <v/>
      </c>
      <c r="C15" s="19" t="str">
        <f aca="false">IF($A15="","",SUMIF('Niche Research'!$B$2:$B$1000,$A15,'Niche Research'!$I$2:$I$1000))</f>
        <v/>
      </c>
      <c r="D15" s="20" t="str">
        <f aca="false">IF($A15="","",IFERROR(AVERAGEIF('Niche Research'!$B$2:$B$1000,$A15,'Niche Research'!$N$2:$N$1000),""))</f>
        <v/>
      </c>
      <c r="E15" s="21" t="str">
        <f aca="false">IF($A15="","",SUMIF('Niche Research'!$B$2:$B$1000,$A15,'Niche Research'!$O$2:$O$1000))</f>
        <v/>
      </c>
      <c r="F15" s="22" t="str">
        <f aca="false">IF($A15="","",IFERROR(AVERAGEIF('Niche Research'!$B$2:$B$1000,$A15,'Niche Research'!$E$2:$E$1000),""))</f>
        <v/>
      </c>
      <c r="G15" s="29" t="str">
        <f aca="false">IF($A15="","",IFERROR(AVERAGEIF('Niche Research'!$B$2:$B$1000,$A15,'Niche Research'!$P$2:$P$1000),""))</f>
        <v/>
      </c>
      <c r="H15" s="28" t="str">
        <f aca="false">IF($A15="","",COUNTIFS('Niche Research'!$B$2:$B$1000,$A15,'Niche Research'!$Q$2:$Q$1000,"Sterke niche"))</f>
        <v/>
      </c>
      <c r="I15" s="28" t="str">
        <f aca="false">IF(OR($A15="",$G15=""),"",RANK($G15,$G$2:$G$101,0))</f>
        <v/>
      </c>
    </row>
    <row r="16" customFormat="false" ht="14.25" hidden="false" customHeight="true" outlineLevel="0" collapsed="false">
      <c r="A16" s="5"/>
      <c r="B16" s="26" t="str">
        <f aca="false">IF($A16="","",COUNTIF('Niche Research'!$B$2:$B$1000,$A16))</f>
        <v/>
      </c>
      <c r="C16" s="9" t="str">
        <f aca="false">IF($A16="","",SUMIF('Niche Research'!$B$2:$B$1000,$A16,'Niche Research'!$I$2:$I$1000))</f>
        <v/>
      </c>
      <c r="D16" s="10" t="str">
        <f aca="false">IF($A16="","",IFERROR(AVERAGEIF('Niche Research'!$B$2:$B$1000,$A16,'Niche Research'!$N$2:$N$1000),""))</f>
        <v/>
      </c>
      <c r="E16" s="11" t="str">
        <f aca="false">IF($A16="","",SUMIF('Niche Research'!$B$2:$B$1000,$A16,'Niche Research'!$O$2:$O$1000))</f>
        <v/>
      </c>
      <c r="F16" s="12" t="str">
        <f aca="false">IF($A16="","",IFERROR(AVERAGEIF('Niche Research'!$B$2:$B$1000,$A16,'Niche Research'!$E$2:$E$1000),""))</f>
        <v/>
      </c>
      <c r="G16" s="27" t="str">
        <f aca="false">IF($A16="","",IFERROR(AVERAGEIF('Niche Research'!$B$2:$B$1000,$A16,'Niche Research'!$P$2:$P$1000),""))</f>
        <v/>
      </c>
      <c r="H16" s="26" t="str">
        <f aca="false">IF($A16="","",COUNTIFS('Niche Research'!$B$2:$B$1000,$A16,'Niche Research'!$Q$2:$Q$1000,"Sterke niche"))</f>
        <v/>
      </c>
      <c r="I16" s="26" t="str">
        <f aca="false">IF(OR($A16="",$G16=""),"",RANK($G16,$G$2:$G$101,0))</f>
        <v/>
      </c>
    </row>
    <row r="17" customFormat="false" ht="14.25" hidden="false" customHeight="true" outlineLevel="0" collapsed="false">
      <c r="A17" s="15"/>
      <c r="B17" s="28" t="str">
        <f aca="false">IF($A17="","",COUNTIF('Niche Research'!$B$2:$B$1000,$A17))</f>
        <v/>
      </c>
      <c r="C17" s="19" t="str">
        <f aca="false">IF($A17="","",SUMIF('Niche Research'!$B$2:$B$1000,$A17,'Niche Research'!$I$2:$I$1000))</f>
        <v/>
      </c>
      <c r="D17" s="20" t="str">
        <f aca="false">IF($A17="","",IFERROR(AVERAGEIF('Niche Research'!$B$2:$B$1000,$A17,'Niche Research'!$N$2:$N$1000),""))</f>
        <v/>
      </c>
      <c r="E17" s="21" t="str">
        <f aca="false">IF($A17="","",SUMIF('Niche Research'!$B$2:$B$1000,$A17,'Niche Research'!$O$2:$O$1000))</f>
        <v/>
      </c>
      <c r="F17" s="22" t="str">
        <f aca="false">IF($A17="","",IFERROR(AVERAGEIF('Niche Research'!$B$2:$B$1000,$A17,'Niche Research'!$E$2:$E$1000),""))</f>
        <v/>
      </c>
      <c r="G17" s="29" t="str">
        <f aca="false">IF($A17="","",IFERROR(AVERAGEIF('Niche Research'!$B$2:$B$1000,$A17,'Niche Research'!$P$2:$P$1000),""))</f>
        <v/>
      </c>
      <c r="H17" s="28" t="str">
        <f aca="false">IF($A17="","",COUNTIFS('Niche Research'!$B$2:$B$1000,$A17,'Niche Research'!$Q$2:$Q$1000,"Sterke niche"))</f>
        <v/>
      </c>
      <c r="I17" s="28" t="str">
        <f aca="false">IF(OR($A17="",$G17=""),"",RANK($G17,$G$2:$G$101,0))</f>
        <v/>
      </c>
    </row>
    <row r="18" customFormat="false" ht="14.25" hidden="false" customHeight="true" outlineLevel="0" collapsed="false">
      <c r="A18" s="5"/>
      <c r="B18" s="26" t="str">
        <f aca="false">IF($A18="","",COUNTIF('Niche Research'!$B$2:$B$1000,$A18))</f>
        <v/>
      </c>
      <c r="C18" s="9" t="str">
        <f aca="false">IF($A18="","",SUMIF('Niche Research'!$B$2:$B$1000,$A18,'Niche Research'!$I$2:$I$1000))</f>
        <v/>
      </c>
      <c r="D18" s="10" t="str">
        <f aca="false">IF($A18="","",IFERROR(AVERAGEIF('Niche Research'!$B$2:$B$1000,$A18,'Niche Research'!$N$2:$N$1000),""))</f>
        <v/>
      </c>
      <c r="E18" s="11" t="str">
        <f aca="false">IF($A18="","",SUMIF('Niche Research'!$B$2:$B$1000,$A18,'Niche Research'!$O$2:$O$1000))</f>
        <v/>
      </c>
      <c r="F18" s="12" t="str">
        <f aca="false">IF($A18="","",IFERROR(AVERAGEIF('Niche Research'!$B$2:$B$1000,$A18,'Niche Research'!$E$2:$E$1000),""))</f>
        <v/>
      </c>
      <c r="G18" s="27" t="str">
        <f aca="false">IF($A18="","",IFERROR(AVERAGEIF('Niche Research'!$B$2:$B$1000,$A18,'Niche Research'!$P$2:$P$1000),""))</f>
        <v/>
      </c>
      <c r="H18" s="26" t="str">
        <f aca="false">IF($A18="","",COUNTIFS('Niche Research'!$B$2:$B$1000,$A18,'Niche Research'!$Q$2:$Q$1000,"Sterke niche"))</f>
        <v/>
      </c>
      <c r="I18" s="26" t="str">
        <f aca="false">IF(OR($A18="",$G18=""),"",RANK($G18,$G$2:$G$101,0))</f>
        <v/>
      </c>
    </row>
    <row r="19" customFormat="false" ht="14.25" hidden="false" customHeight="true" outlineLevel="0" collapsed="false">
      <c r="A19" s="15"/>
      <c r="B19" s="28" t="str">
        <f aca="false">IF($A19="","",COUNTIF('Niche Research'!$B$2:$B$1000,$A19))</f>
        <v/>
      </c>
      <c r="C19" s="19" t="str">
        <f aca="false">IF($A19="","",SUMIF('Niche Research'!$B$2:$B$1000,$A19,'Niche Research'!$I$2:$I$1000))</f>
        <v/>
      </c>
      <c r="D19" s="20" t="str">
        <f aca="false">IF($A19="","",IFERROR(AVERAGEIF('Niche Research'!$B$2:$B$1000,$A19,'Niche Research'!$N$2:$N$1000),""))</f>
        <v/>
      </c>
      <c r="E19" s="21" t="str">
        <f aca="false">IF($A19="","",SUMIF('Niche Research'!$B$2:$B$1000,$A19,'Niche Research'!$O$2:$O$1000))</f>
        <v/>
      </c>
      <c r="F19" s="22" t="str">
        <f aca="false">IF($A19="","",IFERROR(AVERAGEIF('Niche Research'!$B$2:$B$1000,$A19,'Niche Research'!$E$2:$E$1000),""))</f>
        <v/>
      </c>
      <c r="G19" s="29" t="str">
        <f aca="false">IF($A19="","",IFERROR(AVERAGEIF('Niche Research'!$B$2:$B$1000,$A19,'Niche Research'!$P$2:$P$1000),""))</f>
        <v/>
      </c>
      <c r="H19" s="28" t="str">
        <f aca="false">IF($A19="","",COUNTIFS('Niche Research'!$B$2:$B$1000,$A19,'Niche Research'!$Q$2:$Q$1000,"Sterke niche"))</f>
        <v/>
      </c>
      <c r="I19" s="28" t="str">
        <f aca="false">IF(OR($A19="",$G19=""),"",RANK($G19,$G$2:$G$101,0))</f>
        <v/>
      </c>
    </row>
    <row r="20" customFormat="false" ht="14.25" hidden="false" customHeight="true" outlineLevel="0" collapsed="false">
      <c r="A20" s="5"/>
      <c r="B20" s="26" t="str">
        <f aca="false">IF($A20="","",COUNTIF('Niche Research'!$B$2:$B$1000,$A20))</f>
        <v/>
      </c>
      <c r="C20" s="9" t="str">
        <f aca="false">IF($A20="","",SUMIF('Niche Research'!$B$2:$B$1000,$A20,'Niche Research'!$I$2:$I$1000))</f>
        <v/>
      </c>
      <c r="D20" s="10" t="str">
        <f aca="false">IF($A20="","",IFERROR(AVERAGEIF('Niche Research'!$B$2:$B$1000,$A20,'Niche Research'!$N$2:$N$1000),""))</f>
        <v/>
      </c>
      <c r="E20" s="11" t="str">
        <f aca="false">IF($A20="","",SUMIF('Niche Research'!$B$2:$B$1000,$A20,'Niche Research'!$O$2:$O$1000))</f>
        <v/>
      </c>
      <c r="F20" s="12" t="str">
        <f aca="false">IF($A20="","",IFERROR(AVERAGEIF('Niche Research'!$B$2:$B$1000,$A20,'Niche Research'!$E$2:$E$1000),""))</f>
        <v/>
      </c>
      <c r="G20" s="27" t="str">
        <f aca="false">IF($A20="","",IFERROR(AVERAGEIF('Niche Research'!$B$2:$B$1000,$A20,'Niche Research'!$P$2:$P$1000),""))</f>
        <v/>
      </c>
      <c r="H20" s="26" t="str">
        <f aca="false">IF($A20="","",COUNTIFS('Niche Research'!$B$2:$B$1000,$A20,'Niche Research'!$Q$2:$Q$1000,"Sterke niche"))</f>
        <v/>
      </c>
      <c r="I20" s="26" t="str">
        <f aca="false">IF(OR($A20="",$G20=""),"",RANK($G20,$G$2:$G$101,0))</f>
        <v/>
      </c>
    </row>
    <row r="21" customFormat="false" ht="14.25" hidden="false" customHeight="true" outlineLevel="0" collapsed="false">
      <c r="A21" s="15"/>
      <c r="B21" s="28" t="str">
        <f aca="false">IF($A21="","",COUNTIF('Niche Research'!$B$2:$B$1000,$A21))</f>
        <v/>
      </c>
      <c r="C21" s="19" t="str">
        <f aca="false">IF($A21="","",SUMIF('Niche Research'!$B$2:$B$1000,$A21,'Niche Research'!$I$2:$I$1000))</f>
        <v/>
      </c>
      <c r="D21" s="20" t="str">
        <f aca="false">IF($A21="","",IFERROR(AVERAGEIF('Niche Research'!$B$2:$B$1000,$A21,'Niche Research'!$N$2:$N$1000),""))</f>
        <v/>
      </c>
      <c r="E21" s="21" t="str">
        <f aca="false">IF($A21="","",SUMIF('Niche Research'!$B$2:$B$1000,$A21,'Niche Research'!$O$2:$O$1000))</f>
        <v/>
      </c>
      <c r="F21" s="22" t="str">
        <f aca="false">IF($A21="","",IFERROR(AVERAGEIF('Niche Research'!$B$2:$B$1000,$A21,'Niche Research'!$E$2:$E$1000),""))</f>
        <v/>
      </c>
      <c r="G21" s="29" t="str">
        <f aca="false">IF($A21="","",IFERROR(AVERAGEIF('Niche Research'!$B$2:$B$1000,$A21,'Niche Research'!$P$2:$P$1000),""))</f>
        <v/>
      </c>
      <c r="H21" s="28" t="str">
        <f aca="false">IF($A21="","",COUNTIFS('Niche Research'!$B$2:$B$1000,$A21,'Niche Research'!$Q$2:$Q$1000,"Sterke niche"))</f>
        <v/>
      </c>
      <c r="I21" s="28" t="str">
        <f aca="false">IF(OR($A21="",$G21=""),"",RANK($G21,$G$2:$G$101,0))</f>
        <v/>
      </c>
    </row>
    <row r="22" customFormat="false" ht="14.25" hidden="false" customHeight="true" outlineLevel="0" collapsed="false">
      <c r="A22" s="15"/>
      <c r="B22" s="28" t="str">
        <f aca="false">IF($A22="","",COUNTIF('Niche Research'!$B$2:$B$1000,$A22))</f>
        <v/>
      </c>
      <c r="C22" s="19" t="str">
        <f aca="false">IF($A22="","",SUMIF('Niche Research'!$B$2:$B$1000,$A22,'Niche Research'!$I$2:$I$1000))</f>
        <v/>
      </c>
      <c r="D22" s="20" t="str">
        <f aca="false">IF($A22="","",IFERROR(AVERAGEIF('Niche Research'!$B$2:$B$1000,$A22,'Niche Research'!$N$2:$N$1000),""))</f>
        <v/>
      </c>
      <c r="E22" s="21" t="str">
        <f aca="false">IF($A22="","",SUMIF('Niche Research'!$B$2:$B$1000,$A22,'Niche Research'!$O$2:$O$1000))</f>
        <v/>
      </c>
      <c r="F22" s="22" t="str">
        <f aca="false">IF($A22="","",IFERROR(AVERAGEIF('Niche Research'!$B$2:$B$1000,$A22,'Niche Research'!$E$2:$E$1000),""))</f>
        <v/>
      </c>
      <c r="G22" s="29" t="str">
        <f aca="false">IF($A22="","",IFERROR(AVERAGEIF('Niche Research'!$B$2:$B$1000,$A22,'Niche Research'!$P$2:$P$1000),""))</f>
        <v/>
      </c>
      <c r="H22" s="28" t="str">
        <f aca="false">IF($A22="","",COUNTIFS('Niche Research'!$B$2:$B$1000,$A22,'Niche Research'!$Q$2:$Q$1000,"Sterke niche"))</f>
        <v/>
      </c>
      <c r="I22" s="28" t="str">
        <f aca="false">IF(OR($A22="",$G22=""),"",RANK($G22,$G$2:$G$101,0))</f>
        <v/>
      </c>
    </row>
    <row r="23" customFormat="false" ht="14.25" hidden="false" customHeight="true" outlineLevel="0" collapsed="false">
      <c r="A23" s="15"/>
      <c r="B23" s="28" t="str">
        <f aca="false">IF($A23="","",COUNTIF('Niche Research'!$B$2:$B$1000,$A23))</f>
        <v/>
      </c>
      <c r="C23" s="19" t="str">
        <f aca="false">IF($A23="","",SUMIF('Niche Research'!$B$2:$B$1000,$A23,'Niche Research'!$I$2:$I$1000))</f>
        <v/>
      </c>
      <c r="D23" s="20" t="str">
        <f aca="false">IF($A23="","",IFERROR(AVERAGEIF('Niche Research'!$B$2:$B$1000,$A23,'Niche Research'!$N$2:$N$1000),""))</f>
        <v/>
      </c>
      <c r="E23" s="21" t="str">
        <f aca="false">IF($A23="","",SUMIF('Niche Research'!$B$2:$B$1000,$A23,'Niche Research'!$O$2:$O$1000))</f>
        <v/>
      </c>
      <c r="F23" s="22" t="str">
        <f aca="false">IF($A23="","",IFERROR(AVERAGEIF('Niche Research'!$B$2:$B$1000,$A23,'Niche Research'!$E$2:$E$1000),""))</f>
        <v/>
      </c>
      <c r="G23" s="29" t="str">
        <f aca="false">IF($A23="","",IFERROR(AVERAGEIF('Niche Research'!$B$2:$B$1000,$A23,'Niche Research'!$P$2:$P$1000),""))</f>
        <v/>
      </c>
      <c r="H23" s="28" t="str">
        <f aca="false">IF($A23="","",COUNTIFS('Niche Research'!$B$2:$B$1000,$A23,'Niche Research'!$Q$2:$Q$1000,"Sterke niche"))</f>
        <v/>
      </c>
      <c r="I23" s="28" t="str">
        <f aca="false">IF(OR($A23="",$G23=""),"",RANK($G23,$G$2:$G$101,0))</f>
        <v/>
      </c>
    </row>
    <row r="24" customFormat="false" ht="14.25" hidden="false" customHeight="true" outlineLevel="0" collapsed="false">
      <c r="A24" s="15"/>
      <c r="B24" s="28" t="str">
        <f aca="false">IF($A24="","",COUNTIF('Niche Research'!$B$2:$B$1000,$A24))</f>
        <v/>
      </c>
      <c r="C24" s="19" t="str">
        <f aca="false">IF($A24="","",SUMIF('Niche Research'!$B$2:$B$1000,$A24,'Niche Research'!$I$2:$I$1000))</f>
        <v/>
      </c>
      <c r="D24" s="20" t="str">
        <f aca="false">IF($A24="","",IFERROR(AVERAGEIF('Niche Research'!$B$2:$B$1000,$A24,'Niche Research'!$N$2:$N$1000),""))</f>
        <v/>
      </c>
      <c r="E24" s="21" t="str">
        <f aca="false">IF($A24="","",SUMIF('Niche Research'!$B$2:$B$1000,$A24,'Niche Research'!$O$2:$O$1000))</f>
        <v/>
      </c>
      <c r="F24" s="22" t="str">
        <f aca="false">IF($A24="","",IFERROR(AVERAGEIF('Niche Research'!$B$2:$B$1000,$A24,'Niche Research'!$E$2:$E$1000),""))</f>
        <v/>
      </c>
      <c r="G24" s="29" t="str">
        <f aca="false">IF($A24="","",IFERROR(AVERAGEIF('Niche Research'!$B$2:$B$1000,$A24,'Niche Research'!$P$2:$P$1000),""))</f>
        <v/>
      </c>
      <c r="H24" s="28" t="str">
        <f aca="false">IF($A24="","",COUNTIFS('Niche Research'!$B$2:$B$1000,$A24,'Niche Research'!$Q$2:$Q$1000,"Sterke niche"))</f>
        <v/>
      </c>
      <c r="I24" s="28" t="str">
        <f aca="false">IF(OR($A24="",$G24=""),"",RANK($G24,$G$2:$G$101,0))</f>
        <v/>
      </c>
    </row>
    <row r="25" customFormat="false" ht="14.25" hidden="false" customHeight="true" outlineLevel="0" collapsed="false">
      <c r="A25" s="15"/>
      <c r="B25" s="28" t="str">
        <f aca="false">IF($A25="","",COUNTIF('Niche Research'!$B$2:$B$1000,$A25))</f>
        <v/>
      </c>
      <c r="C25" s="19" t="str">
        <f aca="false">IF($A25="","",SUMIF('Niche Research'!$B$2:$B$1000,$A25,'Niche Research'!$I$2:$I$1000))</f>
        <v/>
      </c>
      <c r="D25" s="20" t="str">
        <f aca="false">IF($A25="","",IFERROR(AVERAGEIF('Niche Research'!$B$2:$B$1000,$A25,'Niche Research'!$N$2:$N$1000),""))</f>
        <v/>
      </c>
      <c r="E25" s="21" t="str">
        <f aca="false">IF($A25="","",SUMIF('Niche Research'!$B$2:$B$1000,$A25,'Niche Research'!$O$2:$O$1000))</f>
        <v/>
      </c>
      <c r="F25" s="22" t="str">
        <f aca="false">IF($A25="","",IFERROR(AVERAGEIF('Niche Research'!$B$2:$B$1000,$A25,'Niche Research'!$E$2:$E$1000),""))</f>
        <v/>
      </c>
      <c r="G25" s="29" t="str">
        <f aca="false">IF($A25="","",IFERROR(AVERAGEIF('Niche Research'!$B$2:$B$1000,$A25,'Niche Research'!$P$2:$P$1000),""))</f>
        <v/>
      </c>
      <c r="H25" s="28" t="str">
        <f aca="false">IF($A25="","",COUNTIFS('Niche Research'!$B$2:$B$1000,$A25,'Niche Research'!$Q$2:$Q$1000,"Sterke niche"))</f>
        <v/>
      </c>
      <c r="I25" s="28" t="str">
        <f aca="false">IF(OR($A25="",$G25=""),"",RANK($G25,$G$2:$G$101,0))</f>
        <v/>
      </c>
    </row>
    <row r="26" customFormat="false" ht="14.25" hidden="false" customHeight="true" outlineLevel="0" collapsed="false">
      <c r="A26" s="15"/>
      <c r="B26" s="28" t="str">
        <f aca="false">IF($A26="","",COUNTIF('Niche Research'!$B$2:$B$1000,$A26))</f>
        <v/>
      </c>
      <c r="C26" s="19" t="str">
        <f aca="false">IF($A26="","",SUMIF('Niche Research'!$B$2:$B$1000,$A26,'Niche Research'!$I$2:$I$1000))</f>
        <v/>
      </c>
      <c r="D26" s="20" t="str">
        <f aca="false">IF($A26="","",IFERROR(AVERAGEIF('Niche Research'!$B$2:$B$1000,$A26,'Niche Research'!$N$2:$N$1000),""))</f>
        <v/>
      </c>
      <c r="E26" s="21" t="str">
        <f aca="false">IF($A26="","",SUMIF('Niche Research'!$B$2:$B$1000,$A26,'Niche Research'!$O$2:$O$1000))</f>
        <v/>
      </c>
      <c r="F26" s="22" t="str">
        <f aca="false">IF($A26="","",IFERROR(AVERAGEIF('Niche Research'!$B$2:$B$1000,$A26,'Niche Research'!$E$2:$E$1000),""))</f>
        <v/>
      </c>
      <c r="G26" s="29" t="str">
        <f aca="false">IF($A26="","",IFERROR(AVERAGEIF('Niche Research'!$B$2:$B$1000,$A26,'Niche Research'!$P$2:$P$1000),""))</f>
        <v/>
      </c>
      <c r="H26" s="28" t="str">
        <f aca="false">IF($A26="","",COUNTIFS('Niche Research'!$B$2:$B$1000,$A26,'Niche Research'!$Q$2:$Q$1000,"Sterke niche"))</f>
        <v/>
      </c>
      <c r="I26" s="28" t="str">
        <f aca="false">IF(OR($A26="",$G26=""),"",RANK($G26,$G$2:$G$101,0))</f>
        <v/>
      </c>
    </row>
    <row r="27" customFormat="false" ht="14.25" hidden="false" customHeight="true" outlineLevel="0" collapsed="false">
      <c r="A27" s="15"/>
      <c r="B27" s="28" t="str">
        <f aca="false">IF($A27="","",COUNTIF('Niche Research'!$B$2:$B$1000,$A27))</f>
        <v/>
      </c>
      <c r="C27" s="19" t="str">
        <f aca="false">IF($A27="","",SUMIF('Niche Research'!$B$2:$B$1000,$A27,'Niche Research'!$I$2:$I$1000))</f>
        <v/>
      </c>
      <c r="D27" s="20" t="str">
        <f aca="false">IF($A27="","",IFERROR(AVERAGEIF('Niche Research'!$B$2:$B$1000,$A27,'Niche Research'!$N$2:$N$1000),""))</f>
        <v/>
      </c>
      <c r="E27" s="21" t="str">
        <f aca="false">IF($A27="","",SUMIF('Niche Research'!$B$2:$B$1000,$A27,'Niche Research'!$O$2:$O$1000))</f>
        <v/>
      </c>
      <c r="F27" s="22" t="str">
        <f aca="false">IF($A27="","",IFERROR(AVERAGEIF('Niche Research'!$B$2:$B$1000,$A27,'Niche Research'!$E$2:$E$1000),""))</f>
        <v/>
      </c>
      <c r="G27" s="29" t="str">
        <f aca="false">IF($A27="","",IFERROR(AVERAGEIF('Niche Research'!$B$2:$B$1000,$A27,'Niche Research'!$P$2:$P$1000),""))</f>
        <v/>
      </c>
      <c r="H27" s="28" t="str">
        <f aca="false">IF($A27="","",COUNTIFS('Niche Research'!$B$2:$B$1000,$A27,'Niche Research'!$Q$2:$Q$1000,"Sterke niche"))</f>
        <v/>
      </c>
      <c r="I27" s="28" t="str">
        <f aca="false">IF(OR($A27="",$G27=""),"",RANK($G27,$G$2:$G$101,0))</f>
        <v/>
      </c>
    </row>
    <row r="28" customFormat="false" ht="14.25" hidden="false" customHeight="true" outlineLevel="0" collapsed="false">
      <c r="A28" s="15"/>
      <c r="B28" s="28" t="str">
        <f aca="false">IF($A28="","",COUNTIF('Niche Research'!$B$2:$B$1000,$A28))</f>
        <v/>
      </c>
      <c r="C28" s="19" t="str">
        <f aca="false">IF($A28="","",SUMIF('Niche Research'!$B$2:$B$1000,$A28,'Niche Research'!$I$2:$I$1000))</f>
        <v/>
      </c>
      <c r="D28" s="20" t="str">
        <f aca="false">IF($A28="","",IFERROR(AVERAGEIF('Niche Research'!$B$2:$B$1000,$A28,'Niche Research'!$N$2:$N$1000),""))</f>
        <v/>
      </c>
      <c r="E28" s="21" t="str">
        <f aca="false">IF($A28="","",SUMIF('Niche Research'!$B$2:$B$1000,$A28,'Niche Research'!$O$2:$O$1000))</f>
        <v/>
      </c>
      <c r="F28" s="22" t="str">
        <f aca="false">IF($A28="","",IFERROR(AVERAGEIF('Niche Research'!$B$2:$B$1000,$A28,'Niche Research'!$E$2:$E$1000),""))</f>
        <v/>
      </c>
      <c r="G28" s="29" t="str">
        <f aca="false">IF($A28="","",IFERROR(AVERAGEIF('Niche Research'!$B$2:$B$1000,$A28,'Niche Research'!$P$2:$P$1000),""))</f>
        <v/>
      </c>
      <c r="H28" s="28" t="str">
        <f aca="false">IF($A28="","",COUNTIFS('Niche Research'!$B$2:$B$1000,$A28,'Niche Research'!$Q$2:$Q$1000,"Sterke niche"))</f>
        <v/>
      </c>
      <c r="I28" s="28" t="str">
        <f aca="false">IF(OR($A28="",$G28=""),"",RANK($G28,$G$2:$G$101,0))</f>
        <v/>
      </c>
    </row>
    <row r="29" customFormat="false" ht="14.25" hidden="false" customHeight="true" outlineLevel="0" collapsed="false">
      <c r="A29" s="15"/>
      <c r="B29" s="28" t="str">
        <f aca="false">IF($A29="","",COUNTIF('Niche Research'!$B$2:$B$1000,$A29))</f>
        <v/>
      </c>
      <c r="C29" s="19" t="str">
        <f aca="false">IF($A29="","",SUMIF('Niche Research'!$B$2:$B$1000,$A29,'Niche Research'!$I$2:$I$1000))</f>
        <v/>
      </c>
      <c r="D29" s="20" t="str">
        <f aca="false">IF($A29="","",IFERROR(AVERAGEIF('Niche Research'!$B$2:$B$1000,$A29,'Niche Research'!$N$2:$N$1000),""))</f>
        <v/>
      </c>
      <c r="E29" s="21" t="str">
        <f aca="false">IF($A29="","",SUMIF('Niche Research'!$B$2:$B$1000,$A29,'Niche Research'!$O$2:$O$1000))</f>
        <v/>
      </c>
      <c r="F29" s="22" t="str">
        <f aca="false">IF($A29="","",IFERROR(AVERAGEIF('Niche Research'!$B$2:$B$1000,$A29,'Niche Research'!$E$2:$E$1000),""))</f>
        <v/>
      </c>
      <c r="G29" s="29" t="str">
        <f aca="false">IF($A29="","",IFERROR(AVERAGEIF('Niche Research'!$B$2:$B$1000,$A29,'Niche Research'!$P$2:$P$1000),""))</f>
        <v/>
      </c>
      <c r="H29" s="28" t="str">
        <f aca="false">IF($A29="","",COUNTIFS('Niche Research'!$B$2:$B$1000,$A29,'Niche Research'!$Q$2:$Q$1000,"Sterke niche"))</f>
        <v/>
      </c>
      <c r="I29" s="28" t="str">
        <f aca="false">IF(OR($A29="",$G29=""),"",RANK($G29,$G$2:$G$101,0))</f>
        <v/>
      </c>
    </row>
    <row r="30" customFormat="false" ht="14.25" hidden="false" customHeight="true" outlineLevel="0" collapsed="false">
      <c r="A30" s="15"/>
      <c r="B30" s="28" t="str">
        <f aca="false">IF($A30="","",COUNTIF('Niche Research'!$B$2:$B$1000,$A30))</f>
        <v/>
      </c>
      <c r="C30" s="19" t="str">
        <f aca="false">IF($A30="","",SUMIF('Niche Research'!$B$2:$B$1000,$A30,'Niche Research'!$I$2:$I$1000))</f>
        <v/>
      </c>
      <c r="D30" s="20" t="str">
        <f aca="false">IF($A30="","",IFERROR(AVERAGEIF('Niche Research'!$B$2:$B$1000,$A30,'Niche Research'!$N$2:$N$1000),""))</f>
        <v/>
      </c>
      <c r="E30" s="21" t="str">
        <f aca="false">IF($A30="","",SUMIF('Niche Research'!$B$2:$B$1000,$A30,'Niche Research'!$O$2:$O$1000))</f>
        <v/>
      </c>
      <c r="F30" s="22" t="str">
        <f aca="false">IF($A30="","",IFERROR(AVERAGEIF('Niche Research'!$B$2:$B$1000,$A30,'Niche Research'!$E$2:$E$1000),""))</f>
        <v/>
      </c>
      <c r="G30" s="29" t="str">
        <f aca="false">IF($A30="","",IFERROR(AVERAGEIF('Niche Research'!$B$2:$B$1000,$A30,'Niche Research'!$P$2:$P$1000),""))</f>
        <v/>
      </c>
      <c r="H30" s="28" t="str">
        <f aca="false">IF($A30="","",COUNTIFS('Niche Research'!$B$2:$B$1000,$A30,'Niche Research'!$Q$2:$Q$1000,"Sterke niche"))</f>
        <v/>
      </c>
      <c r="I30" s="28" t="str">
        <f aca="false">IF(OR($A30="",$G30=""),"",RANK($G30,$G$2:$G$101,0))</f>
        <v/>
      </c>
    </row>
    <row r="31" customFormat="false" ht="14.25" hidden="false" customHeight="true" outlineLevel="0" collapsed="false">
      <c r="A31" s="15"/>
      <c r="B31" s="28" t="str">
        <f aca="false">IF($A31="","",COUNTIF('Niche Research'!$B$2:$B$1000,$A31))</f>
        <v/>
      </c>
      <c r="C31" s="19" t="str">
        <f aca="false">IF($A31="","",SUMIF('Niche Research'!$B$2:$B$1000,$A31,'Niche Research'!$I$2:$I$1000))</f>
        <v/>
      </c>
      <c r="D31" s="20" t="str">
        <f aca="false">IF($A31="","",IFERROR(AVERAGEIF('Niche Research'!$B$2:$B$1000,$A31,'Niche Research'!$N$2:$N$1000),""))</f>
        <v/>
      </c>
      <c r="E31" s="21" t="str">
        <f aca="false">IF($A31="","",SUMIF('Niche Research'!$B$2:$B$1000,$A31,'Niche Research'!$O$2:$O$1000))</f>
        <v/>
      </c>
      <c r="F31" s="22" t="str">
        <f aca="false">IF($A31="","",IFERROR(AVERAGEIF('Niche Research'!$B$2:$B$1000,$A31,'Niche Research'!$E$2:$E$1000),""))</f>
        <v/>
      </c>
      <c r="G31" s="29" t="str">
        <f aca="false">IF($A31="","",IFERROR(AVERAGEIF('Niche Research'!$B$2:$B$1000,$A31,'Niche Research'!$P$2:$P$1000),""))</f>
        <v/>
      </c>
      <c r="H31" s="28" t="str">
        <f aca="false">IF($A31="","",COUNTIFS('Niche Research'!$B$2:$B$1000,$A31,'Niche Research'!$Q$2:$Q$1000,"Sterke niche"))</f>
        <v/>
      </c>
      <c r="I31" s="28" t="str">
        <f aca="false">IF(OR($A31="",$G31=""),"",RANK($G31,$G$2:$G$101,0))</f>
        <v/>
      </c>
    </row>
    <row r="32" customFormat="false" ht="14.25" hidden="false" customHeight="true" outlineLevel="0" collapsed="false">
      <c r="A32" s="15"/>
      <c r="B32" s="28" t="str">
        <f aca="false">IF($A32="","",COUNTIF('Niche Research'!$B$2:$B$1000,$A32))</f>
        <v/>
      </c>
      <c r="C32" s="19" t="str">
        <f aca="false">IF($A32="","",SUMIF('Niche Research'!$B$2:$B$1000,$A32,'Niche Research'!$I$2:$I$1000))</f>
        <v/>
      </c>
      <c r="D32" s="20" t="str">
        <f aca="false">IF($A32="","",IFERROR(AVERAGEIF('Niche Research'!$B$2:$B$1000,$A32,'Niche Research'!$N$2:$N$1000),""))</f>
        <v/>
      </c>
      <c r="E32" s="21" t="str">
        <f aca="false">IF($A32="","",SUMIF('Niche Research'!$B$2:$B$1000,$A32,'Niche Research'!$O$2:$O$1000))</f>
        <v/>
      </c>
      <c r="F32" s="22" t="str">
        <f aca="false">IF($A32="","",IFERROR(AVERAGEIF('Niche Research'!$B$2:$B$1000,$A32,'Niche Research'!$E$2:$E$1000),""))</f>
        <v/>
      </c>
      <c r="G32" s="29" t="str">
        <f aca="false">IF($A32="","",IFERROR(AVERAGEIF('Niche Research'!$B$2:$B$1000,$A32,'Niche Research'!$P$2:$P$1000),""))</f>
        <v/>
      </c>
      <c r="H32" s="28" t="str">
        <f aca="false">IF($A32="","",COUNTIFS('Niche Research'!$B$2:$B$1000,$A32,'Niche Research'!$Q$2:$Q$1000,"Sterke niche"))</f>
        <v/>
      </c>
      <c r="I32" s="28" t="str">
        <f aca="false">IF(OR($A32="",$G32=""),"",RANK($G32,$G$2:$G$101,0))</f>
        <v/>
      </c>
    </row>
    <row r="33" customFormat="false" ht="14.25" hidden="false" customHeight="true" outlineLevel="0" collapsed="false">
      <c r="A33" s="15"/>
      <c r="B33" s="28" t="str">
        <f aca="false">IF($A33="","",COUNTIF('Niche Research'!$B$2:$B$1000,$A33))</f>
        <v/>
      </c>
      <c r="C33" s="19" t="str">
        <f aca="false">IF($A33="","",SUMIF('Niche Research'!$B$2:$B$1000,$A33,'Niche Research'!$I$2:$I$1000))</f>
        <v/>
      </c>
      <c r="D33" s="20" t="str">
        <f aca="false">IF($A33="","",IFERROR(AVERAGEIF('Niche Research'!$B$2:$B$1000,$A33,'Niche Research'!$N$2:$N$1000),""))</f>
        <v/>
      </c>
      <c r="E33" s="21" t="str">
        <f aca="false">IF($A33="","",SUMIF('Niche Research'!$B$2:$B$1000,$A33,'Niche Research'!$O$2:$O$1000))</f>
        <v/>
      </c>
      <c r="F33" s="22" t="str">
        <f aca="false">IF($A33="","",IFERROR(AVERAGEIF('Niche Research'!$B$2:$B$1000,$A33,'Niche Research'!$E$2:$E$1000),""))</f>
        <v/>
      </c>
      <c r="G33" s="29" t="str">
        <f aca="false">IF($A33="","",IFERROR(AVERAGEIF('Niche Research'!$B$2:$B$1000,$A33,'Niche Research'!$P$2:$P$1000),""))</f>
        <v/>
      </c>
      <c r="H33" s="28" t="str">
        <f aca="false">IF($A33="","",COUNTIFS('Niche Research'!$B$2:$B$1000,$A33,'Niche Research'!$Q$2:$Q$1000,"Sterke niche"))</f>
        <v/>
      </c>
      <c r="I33" s="28" t="str">
        <f aca="false">IF(OR($A33="",$G33=""),"",RANK($G33,$G$2:$G$101,0))</f>
        <v/>
      </c>
    </row>
    <row r="34" customFormat="false" ht="14.25" hidden="false" customHeight="true" outlineLevel="0" collapsed="false">
      <c r="A34" s="15"/>
      <c r="B34" s="28" t="str">
        <f aca="false">IF($A34="","",COUNTIF('Niche Research'!$B$2:$B$1000,$A34))</f>
        <v/>
      </c>
      <c r="C34" s="19" t="str">
        <f aca="false">IF($A34="","",SUMIF('Niche Research'!$B$2:$B$1000,$A34,'Niche Research'!$I$2:$I$1000))</f>
        <v/>
      </c>
      <c r="D34" s="20" t="str">
        <f aca="false">IF($A34="","",IFERROR(AVERAGEIF('Niche Research'!$B$2:$B$1000,$A34,'Niche Research'!$N$2:$N$1000),""))</f>
        <v/>
      </c>
      <c r="E34" s="21" t="str">
        <f aca="false">IF($A34="","",SUMIF('Niche Research'!$B$2:$B$1000,$A34,'Niche Research'!$O$2:$O$1000))</f>
        <v/>
      </c>
      <c r="F34" s="22" t="str">
        <f aca="false">IF($A34="","",IFERROR(AVERAGEIF('Niche Research'!$B$2:$B$1000,$A34,'Niche Research'!$E$2:$E$1000),""))</f>
        <v/>
      </c>
      <c r="G34" s="29" t="str">
        <f aca="false">IF($A34="","",IFERROR(AVERAGEIF('Niche Research'!$B$2:$B$1000,$A34,'Niche Research'!$P$2:$P$1000),""))</f>
        <v/>
      </c>
      <c r="H34" s="28" t="str">
        <f aca="false">IF($A34="","",COUNTIFS('Niche Research'!$B$2:$B$1000,$A34,'Niche Research'!$Q$2:$Q$1000,"Sterke niche"))</f>
        <v/>
      </c>
      <c r="I34" s="28" t="str">
        <f aca="false">IF(OR($A34="",$G34=""),"",RANK($G34,$G$2:$G$101,0))</f>
        <v/>
      </c>
    </row>
    <row r="35" customFormat="false" ht="14.25" hidden="false" customHeight="true" outlineLevel="0" collapsed="false">
      <c r="A35" s="15"/>
      <c r="B35" s="28" t="str">
        <f aca="false">IF($A35="","",COUNTIF('Niche Research'!$B$2:$B$1000,$A35))</f>
        <v/>
      </c>
      <c r="C35" s="19" t="str">
        <f aca="false">IF($A35="","",SUMIF('Niche Research'!$B$2:$B$1000,$A35,'Niche Research'!$I$2:$I$1000))</f>
        <v/>
      </c>
      <c r="D35" s="20" t="str">
        <f aca="false">IF($A35="","",IFERROR(AVERAGEIF('Niche Research'!$B$2:$B$1000,$A35,'Niche Research'!$N$2:$N$1000),""))</f>
        <v/>
      </c>
      <c r="E35" s="21" t="str">
        <f aca="false">IF($A35="","",SUMIF('Niche Research'!$B$2:$B$1000,$A35,'Niche Research'!$O$2:$O$1000))</f>
        <v/>
      </c>
      <c r="F35" s="22" t="str">
        <f aca="false">IF($A35="","",IFERROR(AVERAGEIF('Niche Research'!$B$2:$B$1000,$A35,'Niche Research'!$E$2:$E$1000),""))</f>
        <v/>
      </c>
      <c r="G35" s="29" t="str">
        <f aca="false">IF($A35="","",IFERROR(AVERAGEIF('Niche Research'!$B$2:$B$1000,$A35,'Niche Research'!$P$2:$P$1000),""))</f>
        <v/>
      </c>
      <c r="H35" s="28" t="str">
        <f aca="false">IF($A35="","",COUNTIFS('Niche Research'!$B$2:$B$1000,$A35,'Niche Research'!$Q$2:$Q$1000,"Sterke niche"))</f>
        <v/>
      </c>
      <c r="I35" s="28" t="str">
        <f aca="false">IF(OR($A35="",$G35=""),"",RANK($G35,$G$2:$G$101,0))</f>
        <v/>
      </c>
    </row>
    <row r="36" customFormat="false" ht="14.25" hidden="false" customHeight="true" outlineLevel="0" collapsed="false">
      <c r="A36" s="15"/>
      <c r="B36" s="28" t="str">
        <f aca="false">IF($A36="","",COUNTIF('Niche Research'!$B$2:$B$1000,$A36))</f>
        <v/>
      </c>
      <c r="C36" s="19" t="str">
        <f aca="false">IF($A36="","",SUMIF('Niche Research'!$B$2:$B$1000,$A36,'Niche Research'!$I$2:$I$1000))</f>
        <v/>
      </c>
      <c r="D36" s="20" t="str">
        <f aca="false">IF($A36="","",IFERROR(AVERAGEIF('Niche Research'!$B$2:$B$1000,$A36,'Niche Research'!$N$2:$N$1000),""))</f>
        <v/>
      </c>
      <c r="E36" s="21" t="str">
        <f aca="false">IF($A36="","",SUMIF('Niche Research'!$B$2:$B$1000,$A36,'Niche Research'!$O$2:$O$1000))</f>
        <v/>
      </c>
      <c r="F36" s="22" t="str">
        <f aca="false">IF($A36="","",IFERROR(AVERAGEIF('Niche Research'!$B$2:$B$1000,$A36,'Niche Research'!$E$2:$E$1000),""))</f>
        <v/>
      </c>
      <c r="G36" s="29" t="str">
        <f aca="false">IF($A36="","",IFERROR(AVERAGEIF('Niche Research'!$B$2:$B$1000,$A36,'Niche Research'!$P$2:$P$1000),""))</f>
        <v/>
      </c>
      <c r="H36" s="28" t="str">
        <f aca="false">IF($A36="","",COUNTIFS('Niche Research'!$B$2:$B$1000,$A36,'Niche Research'!$Q$2:$Q$1000,"Sterke niche"))</f>
        <v/>
      </c>
      <c r="I36" s="28" t="str">
        <f aca="false">IF(OR($A36="",$G36=""),"",RANK($G36,$G$2:$G$101,0))</f>
        <v/>
      </c>
    </row>
    <row r="37" customFormat="false" ht="14.25" hidden="false" customHeight="true" outlineLevel="0" collapsed="false">
      <c r="A37" s="15"/>
      <c r="B37" s="28" t="str">
        <f aca="false">IF($A37="","",COUNTIF('Niche Research'!$B$2:$B$1000,$A37))</f>
        <v/>
      </c>
      <c r="C37" s="19" t="str">
        <f aca="false">IF($A37="","",SUMIF('Niche Research'!$B$2:$B$1000,$A37,'Niche Research'!$I$2:$I$1000))</f>
        <v/>
      </c>
      <c r="D37" s="20" t="str">
        <f aca="false">IF($A37="","",IFERROR(AVERAGEIF('Niche Research'!$B$2:$B$1000,$A37,'Niche Research'!$N$2:$N$1000),""))</f>
        <v/>
      </c>
      <c r="E37" s="21" t="str">
        <f aca="false">IF($A37="","",SUMIF('Niche Research'!$B$2:$B$1000,$A37,'Niche Research'!$O$2:$O$1000))</f>
        <v/>
      </c>
      <c r="F37" s="22" t="str">
        <f aca="false">IF($A37="","",IFERROR(AVERAGEIF('Niche Research'!$B$2:$B$1000,$A37,'Niche Research'!$E$2:$E$1000),""))</f>
        <v/>
      </c>
      <c r="G37" s="29" t="str">
        <f aca="false">IF($A37="","",IFERROR(AVERAGEIF('Niche Research'!$B$2:$B$1000,$A37,'Niche Research'!$P$2:$P$1000),""))</f>
        <v/>
      </c>
      <c r="H37" s="28" t="str">
        <f aca="false">IF($A37="","",COUNTIFS('Niche Research'!$B$2:$B$1000,$A37,'Niche Research'!$Q$2:$Q$1000,"Sterke niche"))</f>
        <v/>
      </c>
      <c r="I37" s="28" t="str">
        <f aca="false">IF(OR($A37="",$G37=""),"",RANK($G37,$G$2:$G$101,0))</f>
        <v/>
      </c>
    </row>
    <row r="38" customFormat="false" ht="14.25" hidden="false" customHeight="true" outlineLevel="0" collapsed="false">
      <c r="A38" s="15"/>
      <c r="B38" s="28" t="str">
        <f aca="false">IF($A38="","",COUNTIF('Niche Research'!$B$2:$B$1000,$A38))</f>
        <v/>
      </c>
      <c r="C38" s="19" t="str">
        <f aca="false">IF($A38="","",SUMIF('Niche Research'!$B$2:$B$1000,$A38,'Niche Research'!$I$2:$I$1000))</f>
        <v/>
      </c>
      <c r="D38" s="20" t="str">
        <f aca="false">IF($A38="","",IFERROR(AVERAGEIF('Niche Research'!$B$2:$B$1000,$A38,'Niche Research'!$N$2:$N$1000),""))</f>
        <v/>
      </c>
      <c r="E38" s="21" t="str">
        <f aca="false">IF($A38="","",SUMIF('Niche Research'!$B$2:$B$1000,$A38,'Niche Research'!$O$2:$O$1000))</f>
        <v/>
      </c>
      <c r="F38" s="22" t="str">
        <f aca="false">IF($A38="","",IFERROR(AVERAGEIF('Niche Research'!$B$2:$B$1000,$A38,'Niche Research'!$E$2:$E$1000),""))</f>
        <v/>
      </c>
      <c r="G38" s="29" t="str">
        <f aca="false">IF($A38="","",IFERROR(AVERAGEIF('Niche Research'!$B$2:$B$1000,$A38,'Niche Research'!$P$2:$P$1000),""))</f>
        <v/>
      </c>
      <c r="H38" s="28" t="str">
        <f aca="false">IF($A38="","",COUNTIFS('Niche Research'!$B$2:$B$1000,$A38,'Niche Research'!$Q$2:$Q$1000,"Sterke niche"))</f>
        <v/>
      </c>
      <c r="I38" s="28" t="str">
        <f aca="false">IF(OR($A38="",$G38=""),"",RANK($G38,$G$2:$G$101,0))</f>
        <v/>
      </c>
    </row>
    <row r="39" customFormat="false" ht="14.25" hidden="false" customHeight="true" outlineLevel="0" collapsed="false">
      <c r="A39" s="15"/>
      <c r="B39" s="28" t="str">
        <f aca="false">IF($A39="","",COUNTIF('Niche Research'!$B$2:$B$1000,$A39))</f>
        <v/>
      </c>
      <c r="C39" s="19" t="str">
        <f aca="false">IF($A39="","",SUMIF('Niche Research'!$B$2:$B$1000,$A39,'Niche Research'!$I$2:$I$1000))</f>
        <v/>
      </c>
      <c r="D39" s="20" t="str">
        <f aca="false">IF($A39="","",IFERROR(AVERAGEIF('Niche Research'!$B$2:$B$1000,$A39,'Niche Research'!$N$2:$N$1000),""))</f>
        <v/>
      </c>
      <c r="E39" s="21" t="str">
        <f aca="false">IF($A39="","",SUMIF('Niche Research'!$B$2:$B$1000,$A39,'Niche Research'!$O$2:$O$1000))</f>
        <v/>
      </c>
      <c r="F39" s="22" t="str">
        <f aca="false">IF($A39="","",IFERROR(AVERAGEIF('Niche Research'!$B$2:$B$1000,$A39,'Niche Research'!$E$2:$E$1000),""))</f>
        <v/>
      </c>
      <c r="G39" s="29" t="str">
        <f aca="false">IF($A39="","",IFERROR(AVERAGEIF('Niche Research'!$B$2:$B$1000,$A39,'Niche Research'!$P$2:$P$1000),""))</f>
        <v/>
      </c>
      <c r="H39" s="28" t="str">
        <f aca="false">IF($A39="","",COUNTIFS('Niche Research'!$B$2:$B$1000,$A39,'Niche Research'!$Q$2:$Q$1000,"Sterke niche"))</f>
        <v/>
      </c>
      <c r="I39" s="28" t="str">
        <f aca="false">IF(OR($A39="",$G39=""),"",RANK($G39,$G$2:$G$101,0))</f>
        <v/>
      </c>
    </row>
    <row r="40" customFormat="false" ht="14.25" hidden="false" customHeight="true" outlineLevel="0" collapsed="false">
      <c r="A40" s="15"/>
      <c r="B40" s="28" t="str">
        <f aca="false">IF($A40="","",COUNTIF('Niche Research'!$B$2:$B$1000,$A40))</f>
        <v/>
      </c>
      <c r="C40" s="19" t="str">
        <f aca="false">IF($A40="","",SUMIF('Niche Research'!$B$2:$B$1000,$A40,'Niche Research'!$I$2:$I$1000))</f>
        <v/>
      </c>
      <c r="D40" s="20" t="str">
        <f aca="false">IF($A40="","",IFERROR(AVERAGEIF('Niche Research'!$B$2:$B$1000,$A40,'Niche Research'!$N$2:$N$1000),""))</f>
        <v/>
      </c>
      <c r="E40" s="21" t="str">
        <f aca="false">IF($A40="","",SUMIF('Niche Research'!$B$2:$B$1000,$A40,'Niche Research'!$O$2:$O$1000))</f>
        <v/>
      </c>
      <c r="F40" s="22" t="str">
        <f aca="false">IF($A40="","",IFERROR(AVERAGEIF('Niche Research'!$B$2:$B$1000,$A40,'Niche Research'!$E$2:$E$1000),""))</f>
        <v/>
      </c>
      <c r="G40" s="29" t="str">
        <f aca="false">IF($A40="","",IFERROR(AVERAGEIF('Niche Research'!$B$2:$B$1000,$A40,'Niche Research'!$P$2:$P$1000),""))</f>
        <v/>
      </c>
      <c r="H40" s="28" t="str">
        <f aca="false">IF($A40="","",COUNTIFS('Niche Research'!$B$2:$B$1000,$A40,'Niche Research'!$Q$2:$Q$1000,"Sterke niche"))</f>
        <v/>
      </c>
      <c r="I40" s="28" t="str">
        <f aca="false">IF(OR($A40="",$G40=""),"",RANK($G40,$G$2:$G$101,0))</f>
        <v/>
      </c>
    </row>
    <row r="41" customFormat="false" ht="14.25" hidden="false" customHeight="true" outlineLevel="0" collapsed="false">
      <c r="A41" s="15"/>
      <c r="B41" s="28" t="str">
        <f aca="false">IF($A41="","",COUNTIF('Niche Research'!$B$2:$B$1000,$A41))</f>
        <v/>
      </c>
      <c r="C41" s="19" t="str">
        <f aca="false">IF($A41="","",SUMIF('Niche Research'!$B$2:$B$1000,$A41,'Niche Research'!$I$2:$I$1000))</f>
        <v/>
      </c>
      <c r="D41" s="20" t="str">
        <f aca="false">IF($A41="","",IFERROR(AVERAGEIF('Niche Research'!$B$2:$B$1000,$A41,'Niche Research'!$N$2:$N$1000),""))</f>
        <v/>
      </c>
      <c r="E41" s="21" t="str">
        <f aca="false">IF($A41="","",SUMIF('Niche Research'!$B$2:$B$1000,$A41,'Niche Research'!$O$2:$O$1000))</f>
        <v/>
      </c>
      <c r="F41" s="22" t="str">
        <f aca="false">IF($A41="","",IFERROR(AVERAGEIF('Niche Research'!$B$2:$B$1000,$A41,'Niche Research'!$E$2:$E$1000),""))</f>
        <v/>
      </c>
      <c r="G41" s="29" t="str">
        <f aca="false">IF($A41="","",IFERROR(AVERAGEIF('Niche Research'!$B$2:$B$1000,$A41,'Niche Research'!$P$2:$P$1000),""))</f>
        <v/>
      </c>
      <c r="H41" s="28" t="str">
        <f aca="false">IF($A41="","",COUNTIFS('Niche Research'!$B$2:$B$1000,$A41,'Niche Research'!$Q$2:$Q$1000,"Sterke niche"))</f>
        <v/>
      </c>
      <c r="I41" s="28" t="str">
        <f aca="false">IF(OR($A41="",$G41=""),"",RANK($G41,$G$2:$G$101,0))</f>
        <v/>
      </c>
    </row>
    <row r="42" customFormat="false" ht="14.25" hidden="false" customHeight="true" outlineLevel="0" collapsed="false">
      <c r="A42" s="15"/>
      <c r="B42" s="28" t="str">
        <f aca="false">IF($A42="","",COUNTIF('Niche Research'!$B$2:$B$1000,$A42))</f>
        <v/>
      </c>
      <c r="C42" s="19" t="str">
        <f aca="false">IF($A42="","",SUMIF('Niche Research'!$B$2:$B$1000,$A42,'Niche Research'!$I$2:$I$1000))</f>
        <v/>
      </c>
      <c r="D42" s="20" t="str">
        <f aca="false">IF($A42="","",IFERROR(AVERAGEIF('Niche Research'!$B$2:$B$1000,$A42,'Niche Research'!$N$2:$N$1000),""))</f>
        <v/>
      </c>
      <c r="E42" s="21" t="str">
        <f aca="false">IF($A42="","",SUMIF('Niche Research'!$B$2:$B$1000,$A42,'Niche Research'!$O$2:$O$1000))</f>
        <v/>
      </c>
      <c r="F42" s="22" t="str">
        <f aca="false">IF($A42="","",IFERROR(AVERAGEIF('Niche Research'!$B$2:$B$1000,$A42,'Niche Research'!$E$2:$E$1000),""))</f>
        <v/>
      </c>
      <c r="G42" s="29" t="str">
        <f aca="false">IF($A42="","",IFERROR(AVERAGEIF('Niche Research'!$B$2:$B$1000,$A42,'Niche Research'!$P$2:$P$1000),""))</f>
        <v/>
      </c>
      <c r="H42" s="28" t="str">
        <f aca="false">IF($A42="","",COUNTIFS('Niche Research'!$B$2:$B$1000,$A42,'Niche Research'!$Q$2:$Q$1000,"Sterke niche"))</f>
        <v/>
      </c>
      <c r="I42" s="28" t="str">
        <f aca="false">IF(OR($A42="",$G42=""),"",RANK($G42,$G$2:$G$101,0))</f>
        <v/>
      </c>
    </row>
    <row r="43" customFormat="false" ht="14.25" hidden="false" customHeight="true" outlineLevel="0" collapsed="false">
      <c r="A43" s="15"/>
      <c r="B43" s="28" t="str">
        <f aca="false">IF($A43="","",COUNTIF('Niche Research'!$B$2:$B$1000,$A43))</f>
        <v/>
      </c>
      <c r="C43" s="19" t="str">
        <f aca="false">IF($A43="","",SUMIF('Niche Research'!$B$2:$B$1000,$A43,'Niche Research'!$I$2:$I$1000))</f>
        <v/>
      </c>
      <c r="D43" s="20" t="str">
        <f aca="false">IF($A43="","",IFERROR(AVERAGEIF('Niche Research'!$B$2:$B$1000,$A43,'Niche Research'!$N$2:$N$1000),""))</f>
        <v/>
      </c>
      <c r="E43" s="21" t="str">
        <f aca="false">IF($A43="","",SUMIF('Niche Research'!$B$2:$B$1000,$A43,'Niche Research'!$O$2:$O$1000))</f>
        <v/>
      </c>
      <c r="F43" s="22" t="str">
        <f aca="false">IF($A43="","",IFERROR(AVERAGEIF('Niche Research'!$B$2:$B$1000,$A43,'Niche Research'!$E$2:$E$1000),""))</f>
        <v/>
      </c>
      <c r="G43" s="29" t="str">
        <f aca="false">IF($A43="","",IFERROR(AVERAGEIF('Niche Research'!$B$2:$B$1000,$A43,'Niche Research'!$P$2:$P$1000),""))</f>
        <v/>
      </c>
      <c r="H43" s="28" t="str">
        <f aca="false">IF($A43="","",COUNTIFS('Niche Research'!$B$2:$B$1000,$A43,'Niche Research'!$Q$2:$Q$1000,"Sterke niche"))</f>
        <v/>
      </c>
      <c r="I43" s="28" t="str">
        <f aca="false">IF(OR($A43="",$G43=""),"",RANK($G43,$G$2:$G$101,0))</f>
        <v/>
      </c>
    </row>
    <row r="44" customFormat="false" ht="14.25" hidden="false" customHeight="true" outlineLevel="0" collapsed="false">
      <c r="A44" s="15"/>
      <c r="B44" s="28" t="str">
        <f aca="false">IF($A44="","",COUNTIF('Niche Research'!$B$2:$B$1000,$A44))</f>
        <v/>
      </c>
      <c r="C44" s="19" t="str">
        <f aca="false">IF($A44="","",SUMIF('Niche Research'!$B$2:$B$1000,$A44,'Niche Research'!$I$2:$I$1000))</f>
        <v/>
      </c>
      <c r="D44" s="20" t="str">
        <f aca="false">IF($A44="","",IFERROR(AVERAGEIF('Niche Research'!$B$2:$B$1000,$A44,'Niche Research'!$N$2:$N$1000),""))</f>
        <v/>
      </c>
      <c r="E44" s="21" t="str">
        <f aca="false">IF($A44="","",SUMIF('Niche Research'!$B$2:$B$1000,$A44,'Niche Research'!$O$2:$O$1000))</f>
        <v/>
      </c>
      <c r="F44" s="22" t="str">
        <f aca="false">IF($A44="","",IFERROR(AVERAGEIF('Niche Research'!$B$2:$B$1000,$A44,'Niche Research'!$E$2:$E$1000),""))</f>
        <v/>
      </c>
      <c r="G44" s="29" t="str">
        <f aca="false">IF($A44="","",IFERROR(AVERAGEIF('Niche Research'!$B$2:$B$1000,$A44,'Niche Research'!$P$2:$P$1000),""))</f>
        <v/>
      </c>
      <c r="H44" s="28" t="str">
        <f aca="false">IF($A44="","",COUNTIFS('Niche Research'!$B$2:$B$1000,$A44,'Niche Research'!$Q$2:$Q$1000,"Sterke niche"))</f>
        <v/>
      </c>
      <c r="I44" s="28" t="str">
        <f aca="false">IF(OR($A44="",$G44=""),"",RANK($G44,$G$2:$G$101,0))</f>
        <v/>
      </c>
    </row>
    <row r="45" customFormat="false" ht="14.25" hidden="false" customHeight="true" outlineLevel="0" collapsed="false">
      <c r="A45" s="15"/>
      <c r="B45" s="28" t="str">
        <f aca="false">IF($A45="","",COUNTIF('Niche Research'!$B$2:$B$1000,$A45))</f>
        <v/>
      </c>
      <c r="C45" s="19" t="str">
        <f aca="false">IF($A45="","",SUMIF('Niche Research'!$B$2:$B$1000,$A45,'Niche Research'!$I$2:$I$1000))</f>
        <v/>
      </c>
      <c r="D45" s="20" t="str">
        <f aca="false">IF($A45="","",IFERROR(AVERAGEIF('Niche Research'!$B$2:$B$1000,$A45,'Niche Research'!$N$2:$N$1000),""))</f>
        <v/>
      </c>
      <c r="E45" s="21" t="str">
        <f aca="false">IF($A45="","",SUMIF('Niche Research'!$B$2:$B$1000,$A45,'Niche Research'!$O$2:$O$1000))</f>
        <v/>
      </c>
      <c r="F45" s="22" t="str">
        <f aca="false">IF($A45="","",IFERROR(AVERAGEIF('Niche Research'!$B$2:$B$1000,$A45,'Niche Research'!$E$2:$E$1000),""))</f>
        <v/>
      </c>
      <c r="G45" s="29" t="str">
        <f aca="false">IF($A45="","",IFERROR(AVERAGEIF('Niche Research'!$B$2:$B$1000,$A45,'Niche Research'!$P$2:$P$1000),""))</f>
        <v/>
      </c>
      <c r="H45" s="28" t="str">
        <f aca="false">IF($A45="","",COUNTIFS('Niche Research'!$B$2:$B$1000,$A45,'Niche Research'!$Q$2:$Q$1000,"Sterke niche"))</f>
        <v/>
      </c>
      <c r="I45" s="28" t="str">
        <f aca="false">IF(OR($A45="",$G45=""),"",RANK($G45,$G$2:$G$101,0))</f>
        <v/>
      </c>
    </row>
    <row r="46" customFormat="false" ht="14.25" hidden="false" customHeight="true" outlineLevel="0" collapsed="false">
      <c r="A46" s="15"/>
      <c r="B46" s="28" t="str">
        <f aca="false">IF($A46="","",COUNTIF('Niche Research'!$B$2:$B$1000,$A46))</f>
        <v/>
      </c>
      <c r="C46" s="19" t="str">
        <f aca="false">IF($A46="","",SUMIF('Niche Research'!$B$2:$B$1000,$A46,'Niche Research'!$I$2:$I$1000))</f>
        <v/>
      </c>
      <c r="D46" s="20" t="str">
        <f aca="false">IF($A46="","",IFERROR(AVERAGEIF('Niche Research'!$B$2:$B$1000,$A46,'Niche Research'!$N$2:$N$1000),""))</f>
        <v/>
      </c>
      <c r="E46" s="21" t="str">
        <f aca="false">IF($A46="","",SUMIF('Niche Research'!$B$2:$B$1000,$A46,'Niche Research'!$O$2:$O$1000))</f>
        <v/>
      </c>
      <c r="F46" s="22" t="str">
        <f aca="false">IF($A46="","",IFERROR(AVERAGEIF('Niche Research'!$B$2:$B$1000,$A46,'Niche Research'!$E$2:$E$1000),""))</f>
        <v/>
      </c>
      <c r="G46" s="29" t="str">
        <f aca="false">IF($A46="","",IFERROR(AVERAGEIF('Niche Research'!$B$2:$B$1000,$A46,'Niche Research'!$P$2:$P$1000),""))</f>
        <v/>
      </c>
      <c r="H46" s="28" t="str">
        <f aca="false">IF($A46="","",COUNTIFS('Niche Research'!$B$2:$B$1000,$A46,'Niche Research'!$Q$2:$Q$1000,"Sterke niche"))</f>
        <v/>
      </c>
      <c r="I46" s="28" t="str">
        <f aca="false">IF(OR($A46="",$G46=""),"",RANK($G46,$G$2:$G$101,0))</f>
        <v/>
      </c>
    </row>
    <row r="47" customFormat="false" ht="14.25" hidden="false" customHeight="true" outlineLevel="0" collapsed="false">
      <c r="A47" s="15"/>
      <c r="B47" s="28" t="str">
        <f aca="false">IF($A47="","",COUNTIF('Niche Research'!$B$2:$B$1000,$A47))</f>
        <v/>
      </c>
      <c r="C47" s="19" t="str">
        <f aca="false">IF($A47="","",SUMIF('Niche Research'!$B$2:$B$1000,$A47,'Niche Research'!$I$2:$I$1000))</f>
        <v/>
      </c>
      <c r="D47" s="20" t="str">
        <f aca="false">IF($A47="","",IFERROR(AVERAGEIF('Niche Research'!$B$2:$B$1000,$A47,'Niche Research'!$N$2:$N$1000),""))</f>
        <v/>
      </c>
      <c r="E47" s="21" t="str">
        <f aca="false">IF($A47="","",SUMIF('Niche Research'!$B$2:$B$1000,$A47,'Niche Research'!$O$2:$O$1000))</f>
        <v/>
      </c>
      <c r="F47" s="22" t="str">
        <f aca="false">IF($A47="","",IFERROR(AVERAGEIF('Niche Research'!$B$2:$B$1000,$A47,'Niche Research'!$E$2:$E$1000),""))</f>
        <v/>
      </c>
      <c r="G47" s="29" t="str">
        <f aca="false">IF($A47="","",IFERROR(AVERAGEIF('Niche Research'!$B$2:$B$1000,$A47,'Niche Research'!$P$2:$P$1000),""))</f>
        <v/>
      </c>
      <c r="H47" s="28" t="str">
        <f aca="false">IF($A47="","",COUNTIFS('Niche Research'!$B$2:$B$1000,$A47,'Niche Research'!$Q$2:$Q$1000,"Sterke niche"))</f>
        <v/>
      </c>
      <c r="I47" s="28" t="str">
        <f aca="false">IF(OR($A47="",$G47=""),"",RANK($G47,$G$2:$G$101,0))</f>
        <v/>
      </c>
    </row>
    <row r="48" customFormat="false" ht="14.25" hidden="false" customHeight="true" outlineLevel="0" collapsed="false">
      <c r="A48" s="15"/>
      <c r="B48" s="28" t="str">
        <f aca="false">IF($A48="","",COUNTIF('Niche Research'!$B$2:$B$1000,$A48))</f>
        <v/>
      </c>
      <c r="C48" s="19" t="str">
        <f aca="false">IF($A48="","",SUMIF('Niche Research'!$B$2:$B$1000,$A48,'Niche Research'!$I$2:$I$1000))</f>
        <v/>
      </c>
      <c r="D48" s="20" t="str">
        <f aca="false">IF($A48="","",IFERROR(AVERAGEIF('Niche Research'!$B$2:$B$1000,$A48,'Niche Research'!$N$2:$N$1000),""))</f>
        <v/>
      </c>
      <c r="E48" s="21" t="str">
        <f aca="false">IF($A48="","",SUMIF('Niche Research'!$B$2:$B$1000,$A48,'Niche Research'!$O$2:$O$1000))</f>
        <v/>
      </c>
      <c r="F48" s="22" t="str">
        <f aca="false">IF($A48="","",IFERROR(AVERAGEIF('Niche Research'!$B$2:$B$1000,$A48,'Niche Research'!$E$2:$E$1000),""))</f>
        <v/>
      </c>
      <c r="G48" s="29" t="str">
        <f aca="false">IF($A48="","",IFERROR(AVERAGEIF('Niche Research'!$B$2:$B$1000,$A48,'Niche Research'!$P$2:$P$1000),""))</f>
        <v/>
      </c>
      <c r="H48" s="28" t="str">
        <f aca="false">IF($A48="","",COUNTIFS('Niche Research'!$B$2:$B$1000,$A48,'Niche Research'!$Q$2:$Q$1000,"Sterke niche"))</f>
        <v/>
      </c>
      <c r="I48" s="28" t="str">
        <f aca="false">IF(OR($A48="",$G48=""),"",RANK($G48,$G$2:$G$101,0))</f>
        <v/>
      </c>
    </row>
    <row r="49" customFormat="false" ht="14.25" hidden="false" customHeight="true" outlineLevel="0" collapsed="false">
      <c r="A49" s="15"/>
      <c r="B49" s="28" t="str">
        <f aca="false">IF($A49="","",COUNTIF('Niche Research'!$B$2:$B$1000,$A49))</f>
        <v/>
      </c>
      <c r="C49" s="19" t="str">
        <f aca="false">IF($A49="","",SUMIF('Niche Research'!$B$2:$B$1000,$A49,'Niche Research'!$I$2:$I$1000))</f>
        <v/>
      </c>
      <c r="D49" s="20" t="str">
        <f aca="false">IF($A49="","",IFERROR(AVERAGEIF('Niche Research'!$B$2:$B$1000,$A49,'Niche Research'!$N$2:$N$1000),""))</f>
        <v/>
      </c>
      <c r="E49" s="21" t="str">
        <f aca="false">IF($A49="","",SUMIF('Niche Research'!$B$2:$B$1000,$A49,'Niche Research'!$O$2:$O$1000))</f>
        <v/>
      </c>
      <c r="F49" s="22" t="str">
        <f aca="false">IF($A49="","",IFERROR(AVERAGEIF('Niche Research'!$B$2:$B$1000,$A49,'Niche Research'!$E$2:$E$1000),""))</f>
        <v/>
      </c>
      <c r="G49" s="29" t="str">
        <f aca="false">IF($A49="","",IFERROR(AVERAGEIF('Niche Research'!$B$2:$B$1000,$A49,'Niche Research'!$P$2:$P$1000),""))</f>
        <v/>
      </c>
      <c r="H49" s="28" t="str">
        <f aca="false">IF($A49="","",COUNTIFS('Niche Research'!$B$2:$B$1000,$A49,'Niche Research'!$Q$2:$Q$1000,"Sterke niche"))</f>
        <v/>
      </c>
      <c r="I49" s="28" t="str">
        <f aca="false">IF(OR($A49="",$G49=""),"",RANK($G49,$G$2:$G$101,0))</f>
        <v/>
      </c>
    </row>
    <row r="50" customFormat="false" ht="14.25" hidden="false" customHeight="true" outlineLevel="0" collapsed="false">
      <c r="A50" s="15"/>
      <c r="B50" s="28" t="str">
        <f aca="false">IF($A50="","",COUNTIF('Niche Research'!$B$2:$B$1000,$A50))</f>
        <v/>
      </c>
      <c r="C50" s="19" t="str">
        <f aca="false">IF($A50="","",SUMIF('Niche Research'!$B$2:$B$1000,$A50,'Niche Research'!$I$2:$I$1000))</f>
        <v/>
      </c>
      <c r="D50" s="20" t="str">
        <f aca="false">IF($A50="","",IFERROR(AVERAGEIF('Niche Research'!$B$2:$B$1000,$A50,'Niche Research'!$N$2:$N$1000),""))</f>
        <v/>
      </c>
      <c r="E50" s="21" t="str">
        <f aca="false">IF($A50="","",SUMIF('Niche Research'!$B$2:$B$1000,$A50,'Niche Research'!$O$2:$O$1000))</f>
        <v/>
      </c>
      <c r="F50" s="22" t="str">
        <f aca="false">IF($A50="","",IFERROR(AVERAGEIF('Niche Research'!$B$2:$B$1000,$A50,'Niche Research'!$E$2:$E$1000),""))</f>
        <v/>
      </c>
      <c r="G50" s="29" t="str">
        <f aca="false">IF($A50="","",IFERROR(AVERAGEIF('Niche Research'!$B$2:$B$1000,$A50,'Niche Research'!$P$2:$P$1000),""))</f>
        <v/>
      </c>
      <c r="H50" s="28" t="str">
        <f aca="false">IF($A50="","",COUNTIFS('Niche Research'!$B$2:$B$1000,$A50,'Niche Research'!$Q$2:$Q$1000,"Sterke niche"))</f>
        <v/>
      </c>
      <c r="I50" s="28" t="str">
        <f aca="false">IF(OR($A50="",$G50=""),"",RANK($G50,$G$2:$G$101,0))</f>
        <v/>
      </c>
    </row>
    <row r="51" customFormat="false" ht="14.25" hidden="false" customHeight="true" outlineLevel="0" collapsed="false">
      <c r="A51" s="15"/>
      <c r="B51" s="28" t="str">
        <f aca="false">IF($A51="","",COUNTIF('Niche Research'!$B$2:$B$1000,$A51))</f>
        <v/>
      </c>
      <c r="C51" s="19" t="str">
        <f aca="false">IF($A51="","",SUMIF('Niche Research'!$B$2:$B$1000,$A51,'Niche Research'!$I$2:$I$1000))</f>
        <v/>
      </c>
      <c r="D51" s="20" t="str">
        <f aca="false">IF($A51="","",IFERROR(AVERAGEIF('Niche Research'!$B$2:$B$1000,$A51,'Niche Research'!$N$2:$N$1000),""))</f>
        <v/>
      </c>
      <c r="E51" s="21" t="str">
        <f aca="false">IF($A51="","",SUMIF('Niche Research'!$B$2:$B$1000,$A51,'Niche Research'!$O$2:$O$1000))</f>
        <v/>
      </c>
      <c r="F51" s="22" t="str">
        <f aca="false">IF($A51="","",IFERROR(AVERAGEIF('Niche Research'!$B$2:$B$1000,$A51,'Niche Research'!$E$2:$E$1000),""))</f>
        <v/>
      </c>
      <c r="G51" s="29" t="str">
        <f aca="false">IF($A51="","",IFERROR(AVERAGEIF('Niche Research'!$B$2:$B$1000,$A51,'Niche Research'!$P$2:$P$1000),""))</f>
        <v/>
      </c>
      <c r="H51" s="28" t="str">
        <f aca="false">IF($A51="","",COUNTIFS('Niche Research'!$B$2:$B$1000,$A51,'Niche Research'!$Q$2:$Q$1000,"Sterke niche"))</f>
        <v/>
      </c>
      <c r="I51" s="28" t="str">
        <f aca="false">IF(OR($A51="",$G51=""),"",RANK($G51,$G$2:$G$101,0))</f>
        <v/>
      </c>
    </row>
    <row r="52" customFormat="false" ht="14.25" hidden="false" customHeight="true" outlineLevel="0" collapsed="false">
      <c r="A52" s="15"/>
      <c r="B52" s="28" t="str">
        <f aca="false">IF($A52="","",COUNTIF('Niche Research'!$B$2:$B$1000,$A52))</f>
        <v/>
      </c>
      <c r="C52" s="19" t="str">
        <f aca="false">IF($A52="","",SUMIF('Niche Research'!$B$2:$B$1000,$A52,'Niche Research'!$I$2:$I$1000))</f>
        <v/>
      </c>
      <c r="D52" s="20" t="str">
        <f aca="false">IF($A52="","",IFERROR(AVERAGEIF('Niche Research'!$B$2:$B$1000,$A52,'Niche Research'!$N$2:$N$1000),""))</f>
        <v/>
      </c>
      <c r="E52" s="21" t="str">
        <f aca="false">IF($A52="","",SUMIF('Niche Research'!$B$2:$B$1000,$A52,'Niche Research'!$O$2:$O$1000))</f>
        <v/>
      </c>
      <c r="F52" s="22" t="str">
        <f aca="false">IF($A52="","",IFERROR(AVERAGEIF('Niche Research'!$B$2:$B$1000,$A52,'Niche Research'!$E$2:$E$1000),""))</f>
        <v/>
      </c>
      <c r="G52" s="29" t="str">
        <f aca="false">IF($A52="","",IFERROR(AVERAGEIF('Niche Research'!$B$2:$B$1000,$A52,'Niche Research'!$P$2:$P$1000),""))</f>
        <v/>
      </c>
      <c r="H52" s="28" t="str">
        <f aca="false">IF($A52="","",COUNTIFS('Niche Research'!$B$2:$B$1000,$A52,'Niche Research'!$Q$2:$Q$1000,"Sterke niche"))</f>
        <v/>
      </c>
      <c r="I52" s="28" t="str">
        <f aca="false">IF(OR($A52="",$G52=""),"",RANK($G52,$G$2:$G$101,0))</f>
        <v/>
      </c>
    </row>
    <row r="53" customFormat="false" ht="14.25" hidden="false" customHeight="true" outlineLevel="0" collapsed="false">
      <c r="A53" s="15"/>
      <c r="B53" s="28" t="str">
        <f aca="false">IF($A53="","",COUNTIF('Niche Research'!$B$2:$B$1000,$A53))</f>
        <v/>
      </c>
      <c r="C53" s="19" t="str">
        <f aca="false">IF($A53="","",SUMIF('Niche Research'!$B$2:$B$1000,$A53,'Niche Research'!$I$2:$I$1000))</f>
        <v/>
      </c>
      <c r="D53" s="20" t="str">
        <f aca="false">IF($A53="","",IFERROR(AVERAGEIF('Niche Research'!$B$2:$B$1000,$A53,'Niche Research'!$N$2:$N$1000),""))</f>
        <v/>
      </c>
      <c r="E53" s="21" t="str">
        <f aca="false">IF($A53="","",SUMIF('Niche Research'!$B$2:$B$1000,$A53,'Niche Research'!$O$2:$O$1000))</f>
        <v/>
      </c>
      <c r="F53" s="22" t="str">
        <f aca="false">IF($A53="","",IFERROR(AVERAGEIF('Niche Research'!$B$2:$B$1000,$A53,'Niche Research'!$E$2:$E$1000),""))</f>
        <v/>
      </c>
      <c r="G53" s="29" t="str">
        <f aca="false">IF($A53="","",IFERROR(AVERAGEIF('Niche Research'!$B$2:$B$1000,$A53,'Niche Research'!$P$2:$P$1000),""))</f>
        <v/>
      </c>
      <c r="H53" s="28" t="str">
        <f aca="false">IF($A53="","",COUNTIFS('Niche Research'!$B$2:$B$1000,$A53,'Niche Research'!$Q$2:$Q$1000,"Sterke niche"))</f>
        <v/>
      </c>
      <c r="I53" s="28" t="str">
        <f aca="false">IF(OR($A53="",$G53=""),"",RANK($G53,$G$2:$G$101,0))</f>
        <v/>
      </c>
    </row>
    <row r="54" customFormat="false" ht="14.25" hidden="false" customHeight="true" outlineLevel="0" collapsed="false">
      <c r="A54" s="15"/>
      <c r="B54" s="28" t="str">
        <f aca="false">IF($A54="","",COUNTIF('Niche Research'!$B$2:$B$1000,$A54))</f>
        <v/>
      </c>
      <c r="C54" s="19" t="str">
        <f aca="false">IF($A54="","",SUMIF('Niche Research'!$B$2:$B$1000,$A54,'Niche Research'!$I$2:$I$1000))</f>
        <v/>
      </c>
      <c r="D54" s="20" t="str">
        <f aca="false">IF($A54="","",IFERROR(AVERAGEIF('Niche Research'!$B$2:$B$1000,$A54,'Niche Research'!$N$2:$N$1000),""))</f>
        <v/>
      </c>
      <c r="E54" s="21" t="str">
        <f aca="false">IF($A54="","",SUMIF('Niche Research'!$B$2:$B$1000,$A54,'Niche Research'!$O$2:$O$1000))</f>
        <v/>
      </c>
      <c r="F54" s="22" t="str">
        <f aca="false">IF($A54="","",IFERROR(AVERAGEIF('Niche Research'!$B$2:$B$1000,$A54,'Niche Research'!$E$2:$E$1000),""))</f>
        <v/>
      </c>
      <c r="G54" s="29" t="str">
        <f aca="false">IF($A54="","",IFERROR(AVERAGEIF('Niche Research'!$B$2:$B$1000,$A54,'Niche Research'!$P$2:$P$1000),""))</f>
        <v/>
      </c>
      <c r="H54" s="28" t="str">
        <f aca="false">IF($A54="","",COUNTIFS('Niche Research'!$B$2:$B$1000,$A54,'Niche Research'!$Q$2:$Q$1000,"Sterke niche"))</f>
        <v/>
      </c>
      <c r="I54" s="28" t="str">
        <f aca="false">IF(OR($A54="",$G54=""),"",RANK($G54,$G$2:$G$101,0))</f>
        <v/>
      </c>
    </row>
    <row r="55" customFormat="false" ht="14.25" hidden="false" customHeight="true" outlineLevel="0" collapsed="false">
      <c r="A55" s="15"/>
      <c r="B55" s="28" t="str">
        <f aca="false">IF($A55="","",COUNTIF('Niche Research'!$B$2:$B$1000,$A55))</f>
        <v/>
      </c>
      <c r="C55" s="19" t="str">
        <f aca="false">IF($A55="","",SUMIF('Niche Research'!$B$2:$B$1000,$A55,'Niche Research'!$I$2:$I$1000))</f>
        <v/>
      </c>
      <c r="D55" s="20" t="str">
        <f aca="false">IF($A55="","",IFERROR(AVERAGEIF('Niche Research'!$B$2:$B$1000,$A55,'Niche Research'!$N$2:$N$1000),""))</f>
        <v/>
      </c>
      <c r="E55" s="21" t="str">
        <f aca="false">IF($A55="","",SUMIF('Niche Research'!$B$2:$B$1000,$A55,'Niche Research'!$O$2:$O$1000))</f>
        <v/>
      </c>
      <c r="F55" s="22" t="str">
        <f aca="false">IF($A55="","",IFERROR(AVERAGEIF('Niche Research'!$B$2:$B$1000,$A55,'Niche Research'!$E$2:$E$1000),""))</f>
        <v/>
      </c>
      <c r="G55" s="29" t="str">
        <f aca="false">IF($A55="","",IFERROR(AVERAGEIF('Niche Research'!$B$2:$B$1000,$A55,'Niche Research'!$P$2:$P$1000),""))</f>
        <v/>
      </c>
      <c r="H55" s="28" t="str">
        <f aca="false">IF($A55="","",COUNTIFS('Niche Research'!$B$2:$B$1000,$A55,'Niche Research'!$Q$2:$Q$1000,"Sterke niche"))</f>
        <v/>
      </c>
      <c r="I55" s="28" t="str">
        <f aca="false">IF(OR($A55="",$G55=""),"",RANK($G55,$G$2:$G$101,0))</f>
        <v/>
      </c>
    </row>
    <row r="56" customFormat="false" ht="14.25" hidden="false" customHeight="true" outlineLevel="0" collapsed="false">
      <c r="A56" s="15"/>
      <c r="B56" s="28" t="str">
        <f aca="false">IF($A56="","",COUNTIF('Niche Research'!$B$2:$B$1000,$A56))</f>
        <v/>
      </c>
      <c r="C56" s="19" t="str">
        <f aca="false">IF($A56="","",SUMIF('Niche Research'!$B$2:$B$1000,$A56,'Niche Research'!$I$2:$I$1000))</f>
        <v/>
      </c>
      <c r="D56" s="20" t="str">
        <f aca="false">IF($A56="","",IFERROR(AVERAGEIF('Niche Research'!$B$2:$B$1000,$A56,'Niche Research'!$N$2:$N$1000),""))</f>
        <v/>
      </c>
      <c r="E56" s="21" t="str">
        <f aca="false">IF($A56="","",SUMIF('Niche Research'!$B$2:$B$1000,$A56,'Niche Research'!$O$2:$O$1000))</f>
        <v/>
      </c>
      <c r="F56" s="22" t="str">
        <f aca="false">IF($A56="","",IFERROR(AVERAGEIF('Niche Research'!$B$2:$B$1000,$A56,'Niche Research'!$E$2:$E$1000),""))</f>
        <v/>
      </c>
      <c r="G56" s="29" t="str">
        <f aca="false">IF($A56="","",IFERROR(AVERAGEIF('Niche Research'!$B$2:$B$1000,$A56,'Niche Research'!$P$2:$P$1000),""))</f>
        <v/>
      </c>
      <c r="H56" s="28" t="str">
        <f aca="false">IF($A56="","",COUNTIFS('Niche Research'!$B$2:$B$1000,$A56,'Niche Research'!$Q$2:$Q$1000,"Sterke niche"))</f>
        <v/>
      </c>
      <c r="I56" s="28" t="str">
        <f aca="false">IF(OR($A56="",$G56=""),"",RANK($G56,$G$2:$G$101,0))</f>
        <v/>
      </c>
    </row>
    <row r="57" customFormat="false" ht="14.25" hidden="false" customHeight="true" outlineLevel="0" collapsed="false">
      <c r="A57" s="15"/>
      <c r="B57" s="28" t="str">
        <f aca="false">IF($A57="","",COUNTIF('Niche Research'!$B$2:$B$1000,$A57))</f>
        <v/>
      </c>
      <c r="C57" s="19" t="str">
        <f aca="false">IF($A57="","",SUMIF('Niche Research'!$B$2:$B$1000,$A57,'Niche Research'!$I$2:$I$1000))</f>
        <v/>
      </c>
      <c r="D57" s="20" t="str">
        <f aca="false">IF($A57="","",IFERROR(AVERAGEIF('Niche Research'!$B$2:$B$1000,$A57,'Niche Research'!$N$2:$N$1000),""))</f>
        <v/>
      </c>
      <c r="E57" s="21" t="str">
        <f aca="false">IF($A57="","",SUMIF('Niche Research'!$B$2:$B$1000,$A57,'Niche Research'!$O$2:$O$1000))</f>
        <v/>
      </c>
      <c r="F57" s="22" t="str">
        <f aca="false">IF($A57="","",IFERROR(AVERAGEIF('Niche Research'!$B$2:$B$1000,$A57,'Niche Research'!$E$2:$E$1000),""))</f>
        <v/>
      </c>
      <c r="G57" s="29" t="str">
        <f aca="false">IF($A57="","",IFERROR(AVERAGEIF('Niche Research'!$B$2:$B$1000,$A57,'Niche Research'!$P$2:$P$1000),""))</f>
        <v/>
      </c>
      <c r="H57" s="28" t="str">
        <f aca="false">IF($A57="","",COUNTIFS('Niche Research'!$B$2:$B$1000,$A57,'Niche Research'!$Q$2:$Q$1000,"Sterke niche"))</f>
        <v/>
      </c>
      <c r="I57" s="28" t="str">
        <f aca="false">IF(OR($A57="",$G57=""),"",RANK($G57,$G$2:$G$101,0))</f>
        <v/>
      </c>
    </row>
    <row r="58" customFormat="false" ht="14.25" hidden="false" customHeight="true" outlineLevel="0" collapsed="false">
      <c r="A58" s="15"/>
      <c r="B58" s="28" t="str">
        <f aca="false">IF($A58="","",COUNTIF('Niche Research'!$B$2:$B$1000,$A58))</f>
        <v/>
      </c>
      <c r="C58" s="19" t="str">
        <f aca="false">IF($A58="","",SUMIF('Niche Research'!$B$2:$B$1000,$A58,'Niche Research'!$I$2:$I$1000))</f>
        <v/>
      </c>
      <c r="D58" s="20" t="str">
        <f aca="false">IF($A58="","",IFERROR(AVERAGEIF('Niche Research'!$B$2:$B$1000,$A58,'Niche Research'!$N$2:$N$1000),""))</f>
        <v/>
      </c>
      <c r="E58" s="21" t="str">
        <f aca="false">IF($A58="","",SUMIF('Niche Research'!$B$2:$B$1000,$A58,'Niche Research'!$O$2:$O$1000))</f>
        <v/>
      </c>
      <c r="F58" s="22" t="str">
        <f aca="false">IF($A58="","",IFERROR(AVERAGEIF('Niche Research'!$B$2:$B$1000,$A58,'Niche Research'!$E$2:$E$1000),""))</f>
        <v/>
      </c>
      <c r="G58" s="29" t="str">
        <f aca="false">IF($A58="","",IFERROR(AVERAGEIF('Niche Research'!$B$2:$B$1000,$A58,'Niche Research'!$P$2:$P$1000),""))</f>
        <v/>
      </c>
      <c r="H58" s="28" t="str">
        <f aca="false">IF($A58="","",COUNTIFS('Niche Research'!$B$2:$B$1000,$A58,'Niche Research'!$Q$2:$Q$1000,"Sterke niche"))</f>
        <v/>
      </c>
      <c r="I58" s="28" t="str">
        <f aca="false">IF(OR($A58="",$G58=""),"",RANK($G58,$G$2:$G$101,0))</f>
        <v/>
      </c>
    </row>
    <row r="59" customFormat="false" ht="14.25" hidden="false" customHeight="true" outlineLevel="0" collapsed="false">
      <c r="A59" s="15"/>
      <c r="B59" s="28" t="str">
        <f aca="false">IF($A59="","",COUNTIF('Niche Research'!$B$2:$B$1000,$A59))</f>
        <v/>
      </c>
      <c r="C59" s="19" t="str">
        <f aca="false">IF($A59="","",SUMIF('Niche Research'!$B$2:$B$1000,$A59,'Niche Research'!$I$2:$I$1000))</f>
        <v/>
      </c>
      <c r="D59" s="20" t="str">
        <f aca="false">IF($A59="","",IFERROR(AVERAGEIF('Niche Research'!$B$2:$B$1000,$A59,'Niche Research'!$N$2:$N$1000),""))</f>
        <v/>
      </c>
      <c r="E59" s="21" t="str">
        <f aca="false">IF($A59="","",SUMIF('Niche Research'!$B$2:$B$1000,$A59,'Niche Research'!$O$2:$O$1000))</f>
        <v/>
      </c>
      <c r="F59" s="22" t="str">
        <f aca="false">IF($A59="","",IFERROR(AVERAGEIF('Niche Research'!$B$2:$B$1000,$A59,'Niche Research'!$E$2:$E$1000),""))</f>
        <v/>
      </c>
      <c r="G59" s="29" t="str">
        <f aca="false">IF($A59="","",IFERROR(AVERAGEIF('Niche Research'!$B$2:$B$1000,$A59,'Niche Research'!$P$2:$P$1000),""))</f>
        <v/>
      </c>
      <c r="H59" s="28" t="str">
        <f aca="false">IF($A59="","",COUNTIFS('Niche Research'!$B$2:$B$1000,$A59,'Niche Research'!$Q$2:$Q$1000,"Sterke niche"))</f>
        <v/>
      </c>
      <c r="I59" s="28" t="str">
        <f aca="false">IF(OR($A59="",$G59=""),"",RANK($G59,$G$2:$G$101,0))</f>
        <v/>
      </c>
    </row>
    <row r="60" customFormat="false" ht="14.25" hidden="false" customHeight="true" outlineLevel="0" collapsed="false">
      <c r="A60" s="15"/>
      <c r="B60" s="28" t="str">
        <f aca="false">IF($A60="","",COUNTIF('Niche Research'!$B$2:$B$1000,$A60))</f>
        <v/>
      </c>
      <c r="C60" s="19" t="str">
        <f aca="false">IF($A60="","",SUMIF('Niche Research'!$B$2:$B$1000,$A60,'Niche Research'!$I$2:$I$1000))</f>
        <v/>
      </c>
      <c r="D60" s="20" t="str">
        <f aca="false">IF($A60="","",IFERROR(AVERAGEIF('Niche Research'!$B$2:$B$1000,$A60,'Niche Research'!$N$2:$N$1000),""))</f>
        <v/>
      </c>
      <c r="E60" s="21" t="str">
        <f aca="false">IF($A60="","",SUMIF('Niche Research'!$B$2:$B$1000,$A60,'Niche Research'!$O$2:$O$1000))</f>
        <v/>
      </c>
      <c r="F60" s="22" t="str">
        <f aca="false">IF($A60="","",IFERROR(AVERAGEIF('Niche Research'!$B$2:$B$1000,$A60,'Niche Research'!$E$2:$E$1000),""))</f>
        <v/>
      </c>
      <c r="G60" s="29" t="str">
        <f aca="false">IF($A60="","",IFERROR(AVERAGEIF('Niche Research'!$B$2:$B$1000,$A60,'Niche Research'!$P$2:$P$1000),""))</f>
        <v/>
      </c>
      <c r="H60" s="28" t="str">
        <f aca="false">IF($A60="","",COUNTIFS('Niche Research'!$B$2:$B$1000,$A60,'Niche Research'!$Q$2:$Q$1000,"Sterke niche"))</f>
        <v/>
      </c>
      <c r="I60" s="28" t="str">
        <f aca="false">IF(OR($A60="",$G60=""),"",RANK($G60,$G$2:$G$101,0))</f>
        <v/>
      </c>
    </row>
    <row r="61" customFormat="false" ht="14.25" hidden="false" customHeight="true" outlineLevel="0" collapsed="false">
      <c r="A61" s="15"/>
      <c r="B61" s="28" t="str">
        <f aca="false">IF($A61="","",COUNTIF('Niche Research'!$B$2:$B$1000,$A61))</f>
        <v/>
      </c>
      <c r="C61" s="19" t="str">
        <f aca="false">IF($A61="","",SUMIF('Niche Research'!$B$2:$B$1000,$A61,'Niche Research'!$I$2:$I$1000))</f>
        <v/>
      </c>
      <c r="D61" s="20" t="str">
        <f aca="false">IF($A61="","",IFERROR(AVERAGEIF('Niche Research'!$B$2:$B$1000,$A61,'Niche Research'!$N$2:$N$1000),""))</f>
        <v/>
      </c>
      <c r="E61" s="21" t="str">
        <f aca="false">IF($A61="","",SUMIF('Niche Research'!$B$2:$B$1000,$A61,'Niche Research'!$O$2:$O$1000))</f>
        <v/>
      </c>
      <c r="F61" s="22" t="str">
        <f aca="false">IF($A61="","",IFERROR(AVERAGEIF('Niche Research'!$B$2:$B$1000,$A61,'Niche Research'!$E$2:$E$1000),""))</f>
        <v/>
      </c>
      <c r="G61" s="29" t="str">
        <f aca="false">IF($A61="","",IFERROR(AVERAGEIF('Niche Research'!$B$2:$B$1000,$A61,'Niche Research'!$P$2:$P$1000),""))</f>
        <v/>
      </c>
      <c r="H61" s="28" t="str">
        <f aca="false">IF($A61="","",COUNTIFS('Niche Research'!$B$2:$B$1000,$A61,'Niche Research'!$Q$2:$Q$1000,"Sterke niche"))</f>
        <v/>
      </c>
      <c r="I61" s="28" t="str">
        <f aca="false">IF(OR($A61="",$G61=""),"",RANK($G61,$G$2:$G$101,0))</f>
        <v/>
      </c>
    </row>
    <row r="62" customFormat="false" ht="14.25" hidden="false" customHeight="true" outlineLevel="0" collapsed="false">
      <c r="A62" s="15"/>
      <c r="B62" s="28" t="str">
        <f aca="false">IF($A62="","",COUNTIF('Niche Research'!$B$2:$B$1000,$A62))</f>
        <v/>
      </c>
      <c r="C62" s="19" t="str">
        <f aca="false">IF($A62="","",SUMIF('Niche Research'!$B$2:$B$1000,$A62,'Niche Research'!$I$2:$I$1000))</f>
        <v/>
      </c>
      <c r="D62" s="20" t="str">
        <f aca="false">IF($A62="","",IFERROR(AVERAGEIF('Niche Research'!$B$2:$B$1000,$A62,'Niche Research'!$N$2:$N$1000),""))</f>
        <v/>
      </c>
      <c r="E62" s="21" t="str">
        <f aca="false">IF($A62="","",SUMIF('Niche Research'!$B$2:$B$1000,$A62,'Niche Research'!$O$2:$O$1000))</f>
        <v/>
      </c>
      <c r="F62" s="22" t="str">
        <f aca="false">IF($A62="","",IFERROR(AVERAGEIF('Niche Research'!$B$2:$B$1000,$A62,'Niche Research'!$E$2:$E$1000),""))</f>
        <v/>
      </c>
      <c r="G62" s="29" t="str">
        <f aca="false">IF($A62="","",IFERROR(AVERAGEIF('Niche Research'!$B$2:$B$1000,$A62,'Niche Research'!$P$2:$P$1000),""))</f>
        <v/>
      </c>
      <c r="H62" s="28" t="str">
        <f aca="false">IF($A62="","",COUNTIFS('Niche Research'!$B$2:$B$1000,$A62,'Niche Research'!$Q$2:$Q$1000,"Sterke niche"))</f>
        <v/>
      </c>
      <c r="I62" s="28" t="str">
        <f aca="false">IF(OR($A62="",$G62=""),"",RANK($G62,$G$2:$G$101,0))</f>
        <v/>
      </c>
    </row>
    <row r="63" customFormat="false" ht="14.25" hidden="false" customHeight="true" outlineLevel="0" collapsed="false">
      <c r="A63" s="15"/>
      <c r="B63" s="28" t="str">
        <f aca="false">IF($A63="","",COUNTIF('Niche Research'!$B$2:$B$1000,$A63))</f>
        <v/>
      </c>
      <c r="C63" s="19" t="str">
        <f aca="false">IF($A63="","",SUMIF('Niche Research'!$B$2:$B$1000,$A63,'Niche Research'!$I$2:$I$1000))</f>
        <v/>
      </c>
      <c r="D63" s="20" t="str">
        <f aca="false">IF($A63="","",IFERROR(AVERAGEIF('Niche Research'!$B$2:$B$1000,$A63,'Niche Research'!$N$2:$N$1000),""))</f>
        <v/>
      </c>
      <c r="E63" s="21" t="str">
        <f aca="false">IF($A63="","",SUMIF('Niche Research'!$B$2:$B$1000,$A63,'Niche Research'!$O$2:$O$1000))</f>
        <v/>
      </c>
      <c r="F63" s="22" t="str">
        <f aca="false">IF($A63="","",IFERROR(AVERAGEIF('Niche Research'!$B$2:$B$1000,$A63,'Niche Research'!$E$2:$E$1000),""))</f>
        <v/>
      </c>
      <c r="G63" s="29" t="str">
        <f aca="false">IF($A63="","",IFERROR(AVERAGEIF('Niche Research'!$B$2:$B$1000,$A63,'Niche Research'!$P$2:$P$1000),""))</f>
        <v/>
      </c>
      <c r="H63" s="28" t="str">
        <f aca="false">IF($A63="","",COUNTIFS('Niche Research'!$B$2:$B$1000,$A63,'Niche Research'!$Q$2:$Q$1000,"Sterke niche"))</f>
        <v/>
      </c>
      <c r="I63" s="28" t="str">
        <f aca="false">IF(OR($A63="",$G63=""),"",RANK($G63,$G$2:$G$101,0))</f>
        <v/>
      </c>
    </row>
    <row r="64" customFormat="false" ht="14.25" hidden="false" customHeight="true" outlineLevel="0" collapsed="false">
      <c r="A64" s="15"/>
      <c r="B64" s="28" t="str">
        <f aca="false">IF($A64="","",COUNTIF('Niche Research'!$B$2:$B$1000,$A64))</f>
        <v/>
      </c>
      <c r="C64" s="19" t="str">
        <f aca="false">IF($A64="","",SUMIF('Niche Research'!$B$2:$B$1000,$A64,'Niche Research'!$I$2:$I$1000))</f>
        <v/>
      </c>
      <c r="D64" s="20" t="str">
        <f aca="false">IF($A64="","",IFERROR(AVERAGEIF('Niche Research'!$B$2:$B$1000,$A64,'Niche Research'!$N$2:$N$1000),""))</f>
        <v/>
      </c>
      <c r="E64" s="21" t="str">
        <f aca="false">IF($A64="","",SUMIF('Niche Research'!$B$2:$B$1000,$A64,'Niche Research'!$O$2:$O$1000))</f>
        <v/>
      </c>
      <c r="F64" s="22" t="str">
        <f aca="false">IF($A64="","",IFERROR(AVERAGEIF('Niche Research'!$B$2:$B$1000,$A64,'Niche Research'!$E$2:$E$1000),""))</f>
        <v/>
      </c>
      <c r="G64" s="29" t="str">
        <f aca="false">IF($A64="","",IFERROR(AVERAGEIF('Niche Research'!$B$2:$B$1000,$A64,'Niche Research'!$P$2:$P$1000),""))</f>
        <v/>
      </c>
      <c r="H64" s="28" t="str">
        <f aca="false">IF($A64="","",COUNTIFS('Niche Research'!$B$2:$B$1000,$A64,'Niche Research'!$Q$2:$Q$1000,"Sterke niche"))</f>
        <v/>
      </c>
      <c r="I64" s="28" t="str">
        <f aca="false">IF(OR($A64="",$G64=""),"",RANK($G64,$G$2:$G$101,0))</f>
        <v/>
      </c>
    </row>
    <row r="65" customFormat="false" ht="14.25" hidden="false" customHeight="true" outlineLevel="0" collapsed="false">
      <c r="A65" s="15"/>
      <c r="B65" s="28" t="str">
        <f aca="false">IF($A65="","",COUNTIF('Niche Research'!$B$2:$B$1000,$A65))</f>
        <v/>
      </c>
      <c r="C65" s="19" t="str">
        <f aca="false">IF($A65="","",SUMIF('Niche Research'!$B$2:$B$1000,$A65,'Niche Research'!$I$2:$I$1000))</f>
        <v/>
      </c>
      <c r="D65" s="20" t="str">
        <f aca="false">IF($A65="","",IFERROR(AVERAGEIF('Niche Research'!$B$2:$B$1000,$A65,'Niche Research'!$N$2:$N$1000),""))</f>
        <v/>
      </c>
      <c r="E65" s="21" t="str">
        <f aca="false">IF($A65="","",SUMIF('Niche Research'!$B$2:$B$1000,$A65,'Niche Research'!$O$2:$O$1000))</f>
        <v/>
      </c>
      <c r="F65" s="22" t="str">
        <f aca="false">IF($A65="","",IFERROR(AVERAGEIF('Niche Research'!$B$2:$B$1000,$A65,'Niche Research'!$E$2:$E$1000),""))</f>
        <v/>
      </c>
      <c r="G65" s="29" t="str">
        <f aca="false">IF($A65="","",IFERROR(AVERAGEIF('Niche Research'!$B$2:$B$1000,$A65,'Niche Research'!$P$2:$P$1000),""))</f>
        <v/>
      </c>
      <c r="H65" s="28" t="str">
        <f aca="false">IF($A65="","",COUNTIFS('Niche Research'!$B$2:$B$1000,$A65,'Niche Research'!$Q$2:$Q$1000,"Sterke niche"))</f>
        <v/>
      </c>
      <c r="I65" s="28" t="str">
        <f aca="false">IF(OR($A65="",$G65=""),"",RANK($G65,$G$2:$G$101,0))</f>
        <v/>
      </c>
    </row>
    <row r="66" customFormat="false" ht="14.25" hidden="false" customHeight="true" outlineLevel="0" collapsed="false">
      <c r="A66" s="15"/>
      <c r="B66" s="28" t="str">
        <f aca="false">IF($A66="","",COUNTIF('Niche Research'!$B$2:$B$1000,$A66))</f>
        <v/>
      </c>
      <c r="C66" s="19" t="str">
        <f aca="false">IF($A66="","",SUMIF('Niche Research'!$B$2:$B$1000,$A66,'Niche Research'!$I$2:$I$1000))</f>
        <v/>
      </c>
      <c r="D66" s="20" t="str">
        <f aca="false">IF($A66="","",IFERROR(AVERAGEIF('Niche Research'!$B$2:$B$1000,$A66,'Niche Research'!$N$2:$N$1000),""))</f>
        <v/>
      </c>
      <c r="E66" s="21" t="str">
        <f aca="false">IF($A66="","",SUMIF('Niche Research'!$B$2:$B$1000,$A66,'Niche Research'!$O$2:$O$1000))</f>
        <v/>
      </c>
      <c r="F66" s="22" t="str">
        <f aca="false">IF($A66="","",IFERROR(AVERAGEIF('Niche Research'!$B$2:$B$1000,$A66,'Niche Research'!$E$2:$E$1000),""))</f>
        <v/>
      </c>
      <c r="G66" s="29" t="str">
        <f aca="false">IF($A66="","",IFERROR(AVERAGEIF('Niche Research'!$B$2:$B$1000,$A66,'Niche Research'!$P$2:$P$1000),""))</f>
        <v/>
      </c>
      <c r="H66" s="28" t="str">
        <f aca="false">IF($A66="","",COUNTIFS('Niche Research'!$B$2:$B$1000,$A66,'Niche Research'!$Q$2:$Q$1000,"Sterke niche"))</f>
        <v/>
      </c>
      <c r="I66" s="28" t="str">
        <f aca="false">IF(OR($A66="",$G66=""),"",RANK($G66,$G$2:$G$101,0))</f>
        <v/>
      </c>
    </row>
    <row r="67" customFormat="false" ht="14.25" hidden="false" customHeight="true" outlineLevel="0" collapsed="false">
      <c r="A67" s="15"/>
      <c r="B67" s="28" t="str">
        <f aca="false">IF($A67="","",COUNTIF('Niche Research'!$B$2:$B$1000,$A67))</f>
        <v/>
      </c>
      <c r="C67" s="19" t="str">
        <f aca="false">IF($A67="","",SUMIF('Niche Research'!$B$2:$B$1000,$A67,'Niche Research'!$I$2:$I$1000))</f>
        <v/>
      </c>
      <c r="D67" s="20" t="str">
        <f aca="false">IF($A67="","",IFERROR(AVERAGEIF('Niche Research'!$B$2:$B$1000,$A67,'Niche Research'!$N$2:$N$1000),""))</f>
        <v/>
      </c>
      <c r="E67" s="21" t="str">
        <f aca="false">IF($A67="","",SUMIF('Niche Research'!$B$2:$B$1000,$A67,'Niche Research'!$O$2:$O$1000))</f>
        <v/>
      </c>
      <c r="F67" s="22" t="str">
        <f aca="false">IF($A67="","",IFERROR(AVERAGEIF('Niche Research'!$B$2:$B$1000,$A67,'Niche Research'!$E$2:$E$1000),""))</f>
        <v/>
      </c>
      <c r="G67" s="29" t="str">
        <f aca="false">IF($A67="","",IFERROR(AVERAGEIF('Niche Research'!$B$2:$B$1000,$A67,'Niche Research'!$P$2:$P$1000),""))</f>
        <v/>
      </c>
      <c r="H67" s="28" t="str">
        <f aca="false">IF($A67="","",COUNTIFS('Niche Research'!$B$2:$B$1000,$A67,'Niche Research'!$Q$2:$Q$1000,"Sterke niche"))</f>
        <v/>
      </c>
      <c r="I67" s="28" t="str">
        <f aca="false">IF(OR($A67="",$G67=""),"",RANK($G67,$G$2:$G$101,0))</f>
        <v/>
      </c>
    </row>
    <row r="68" customFormat="false" ht="14.25" hidden="false" customHeight="true" outlineLevel="0" collapsed="false">
      <c r="A68" s="15"/>
      <c r="B68" s="28" t="str">
        <f aca="false">IF($A68="","",COUNTIF('Niche Research'!$B$2:$B$1000,$A68))</f>
        <v/>
      </c>
      <c r="C68" s="19" t="str">
        <f aca="false">IF($A68="","",SUMIF('Niche Research'!$B$2:$B$1000,$A68,'Niche Research'!$I$2:$I$1000))</f>
        <v/>
      </c>
      <c r="D68" s="20" t="str">
        <f aca="false">IF($A68="","",IFERROR(AVERAGEIF('Niche Research'!$B$2:$B$1000,$A68,'Niche Research'!$N$2:$N$1000),""))</f>
        <v/>
      </c>
      <c r="E68" s="21" t="str">
        <f aca="false">IF($A68="","",SUMIF('Niche Research'!$B$2:$B$1000,$A68,'Niche Research'!$O$2:$O$1000))</f>
        <v/>
      </c>
      <c r="F68" s="22" t="str">
        <f aca="false">IF($A68="","",IFERROR(AVERAGEIF('Niche Research'!$B$2:$B$1000,$A68,'Niche Research'!$E$2:$E$1000),""))</f>
        <v/>
      </c>
      <c r="G68" s="29" t="str">
        <f aca="false">IF($A68="","",IFERROR(AVERAGEIF('Niche Research'!$B$2:$B$1000,$A68,'Niche Research'!$P$2:$P$1000),""))</f>
        <v/>
      </c>
      <c r="H68" s="28" t="str">
        <f aca="false">IF($A68="","",COUNTIFS('Niche Research'!$B$2:$B$1000,$A68,'Niche Research'!$Q$2:$Q$1000,"Sterke niche"))</f>
        <v/>
      </c>
      <c r="I68" s="28" t="str">
        <f aca="false">IF(OR($A68="",$G68=""),"",RANK($G68,$G$2:$G$101,0))</f>
        <v/>
      </c>
    </row>
    <row r="69" customFormat="false" ht="14.25" hidden="false" customHeight="true" outlineLevel="0" collapsed="false">
      <c r="A69" s="15"/>
      <c r="B69" s="28" t="str">
        <f aca="false">IF($A69="","",COUNTIF('Niche Research'!$B$2:$B$1000,$A69))</f>
        <v/>
      </c>
      <c r="C69" s="19" t="str">
        <f aca="false">IF($A69="","",SUMIF('Niche Research'!$B$2:$B$1000,$A69,'Niche Research'!$I$2:$I$1000))</f>
        <v/>
      </c>
      <c r="D69" s="20" t="str">
        <f aca="false">IF($A69="","",IFERROR(AVERAGEIF('Niche Research'!$B$2:$B$1000,$A69,'Niche Research'!$N$2:$N$1000),""))</f>
        <v/>
      </c>
      <c r="E69" s="21" t="str">
        <f aca="false">IF($A69="","",SUMIF('Niche Research'!$B$2:$B$1000,$A69,'Niche Research'!$O$2:$O$1000))</f>
        <v/>
      </c>
      <c r="F69" s="22" t="str">
        <f aca="false">IF($A69="","",IFERROR(AVERAGEIF('Niche Research'!$B$2:$B$1000,$A69,'Niche Research'!$E$2:$E$1000),""))</f>
        <v/>
      </c>
      <c r="G69" s="29" t="str">
        <f aca="false">IF($A69="","",IFERROR(AVERAGEIF('Niche Research'!$B$2:$B$1000,$A69,'Niche Research'!$P$2:$P$1000),""))</f>
        <v/>
      </c>
      <c r="H69" s="28" t="str">
        <f aca="false">IF($A69="","",COUNTIFS('Niche Research'!$B$2:$B$1000,$A69,'Niche Research'!$Q$2:$Q$1000,"Sterke niche"))</f>
        <v/>
      </c>
      <c r="I69" s="28" t="str">
        <f aca="false">IF(OR($A69="",$G69=""),"",RANK($G69,$G$2:$G$101,0))</f>
        <v/>
      </c>
    </row>
    <row r="70" customFormat="false" ht="14.25" hidden="false" customHeight="true" outlineLevel="0" collapsed="false">
      <c r="A70" s="15"/>
      <c r="B70" s="28" t="str">
        <f aca="false">IF($A70="","",COUNTIF('Niche Research'!$B$2:$B$1000,$A70))</f>
        <v/>
      </c>
      <c r="C70" s="19" t="str">
        <f aca="false">IF($A70="","",SUMIF('Niche Research'!$B$2:$B$1000,$A70,'Niche Research'!$I$2:$I$1000))</f>
        <v/>
      </c>
      <c r="D70" s="20" t="str">
        <f aca="false">IF($A70="","",IFERROR(AVERAGEIF('Niche Research'!$B$2:$B$1000,$A70,'Niche Research'!$N$2:$N$1000),""))</f>
        <v/>
      </c>
      <c r="E70" s="21" t="str">
        <f aca="false">IF($A70="","",SUMIF('Niche Research'!$B$2:$B$1000,$A70,'Niche Research'!$O$2:$O$1000))</f>
        <v/>
      </c>
      <c r="F70" s="22" t="str">
        <f aca="false">IF($A70="","",IFERROR(AVERAGEIF('Niche Research'!$B$2:$B$1000,$A70,'Niche Research'!$E$2:$E$1000),""))</f>
        <v/>
      </c>
      <c r="G70" s="29" t="str">
        <f aca="false">IF($A70="","",IFERROR(AVERAGEIF('Niche Research'!$B$2:$B$1000,$A70,'Niche Research'!$P$2:$P$1000),""))</f>
        <v/>
      </c>
      <c r="H70" s="28" t="str">
        <f aca="false">IF($A70="","",COUNTIFS('Niche Research'!$B$2:$B$1000,$A70,'Niche Research'!$Q$2:$Q$1000,"Sterke niche"))</f>
        <v/>
      </c>
      <c r="I70" s="28" t="str">
        <f aca="false">IF(OR($A70="",$G70=""),"",RANK($G70,$G$2:$G$101,0))</f>
        <v/>
      </c>
    </row>
    <row r="71" customFormat="false" ht="14.25" hidden="false" customHeight="true" outlineLevel="0" collapsed="false">
      <c r="A71" s="15"/>
      <c r="B71" s="28" t="str">
        <f aca="false">IF($A71="","",COUNTIF('Niche Research'!$B$2:$B$1000,$A71))</f>
        <v/>
      </c>
      <c r="C71" s="19" t="str">
        <f aca="false">IF($A71="","",SUMIF('Niche Research'!$B$2:$B$1000,$A71,'Niche Research'!$I$2:$I$1000))</f>
        <v/>
      </c>
      <c r="D71" s="20" t="str">
        <f aca="false">IF($A71="","",IFERROR(AVERAGEIF('Niche Research'!$B$2:$B$1000,$A71,'Niche Research'!$N$2:$N$1000),""))</f>
        <v/>
      </c>
      <c r="E71" s="21" t="str">
        <f aca="false">IF($A71="","",SUMIF('Niche Research'!$B$2:$B$1000,$A71,'Niche Research'!$O$2:$O$1000))</f>
        <v/>
      </c>
      <c r="F71" s="22" t="str">
        <f aca="false">IF($A71="","",IFERROR(AVERAGEIF('Niche Research'!$B$2:$B$1000,$A71,'Niche Research'!$E$2:$E$1000),""))</f>
        <v/>
      </c>
      <c r="G71" s="29" t="str">
        <f aca="false">IF($A71="","",IFERROR(AVERAGEIF('Niche Research'!$B$2:$B$1000,$A71,'Niche Research'!$P$2:$P$1000),""))</f>
        <v/>
      </c>
      <c r="H71" s="28" t="str">
        <f aca="false">IF($A71="","",COUNTIFS('Niche Research'!$B$2:$B$1000,$A71,'Niche Research'!$Q$2:$Q$1000,"Sterke niche"))</f>
        <v/>
      </c>
      <c r="I71" s="28" t="str">
        <f aca="false">IF(OR($A71="",$G71=""),"",RANK($G71,$G$2:$G$101,0))</f>
        <v/>
      </c>
    </row>
    <row r="72" customFormat="false" ht="14.25" hidden="false" customHeight="true" outlineLevel="0" collapsed="false">
      <c r="A72" s="15"/>
      <c r="B72" s="28" t="str">
        <f aca="false">IF($A72="","",COUNTIF('Niche Research'!$B$2:$B$1000,$A72))</f>
        <v/>
      </c>
      <c r="C72" s="19" t="str">
        <f aca="false">IF($A72="","",SUMIF('Niche Research'!$B$2:$B$1000,$A72,'Niche Research'!$I$2:$I$1000))</f>
        <v/>
      </c>
      <c r="D72" s="20" t="str">
        <f aca="false">IF($A72="","",IFERROR(AVERAGEIF('Niche Research'!$B$2:$B$1000,$A72,'Niche Research'!$N$2:$N$1000),""))</f>
        <v/>
      </c>
      <c r="E72" s="21" t="str">
        <f aca="false">IF($A72="","",SUMIF('Niche Research'!$B$2:$B$1000,$A72,'Niche Research'!$O$2:$O$1000))</f>
        <v/>
      </c>
      <c r="F72" s="22" t="str">
        <f aca="false">IF($A72="","",IFERROR(AVERAGEIF('Niche Research'!$B$2:$B$1000,$A72,'Niche Research'!$E$2:$E$1000),""))</f>
        <v/>
      </c>
      <c r="G72" s="29" t="str">
        <f aca="false">IF($A72="","",IFERROR(AVERAGEIF('Niche Research'!$B$2:$B$1000,$A72,'Niche Research'!$P$2:$P$1000),""))</f>
        <v/>
      </c>
      <c r="H72" s="28" t="str">
        <f aca="false">IF($A72="","",COUNTIFS('Niche Research'!$B$2:$B$1000,$A72,'Niche Research'!$Q$2:$Q$1000,"Sterke niche"))</f>
        <v/>
      </c>
      <c r="I72" s="28" t="str">
        <f aca="false">IF(OR($A72="",$G72=""),"",RANK($G72,$G$2:$G$101,0))</f>
        <v/>
      </c>
    </row>
    <row r="73" customFormat="false" ht="14.25" hidden="false" customHeight="true" outlineLevel="0" collapsed="false">
      <c r="A73" s="15"/>
      <c r="B73" s="28" t="str">
        <f aca="false">IF($A73="","",COUNTIF('Niche Research'!$B$2:$B$1000,$A73))</f>
        <v/>
      </c>
      <c r="C73" s="19" t="str">
        <f aca="false">IF($A73="","",SUMIF('Niche Research'!$B$2:$B$1000,$A73,'Niche Research'!$I$2:$I$1000))</f>
        <v/>
      </c>
      <c r="D73" s="20" t="str">
        <f aca="false">IF($A73="","",IFERROR(AVERAGEIF('Niche Research'!$B$2:$B$1000,$A73,'Niche Research'!$N$2:$N$1000),""))</f>
        <v/>
      </c>
      <c r="E73" s="21" t="str">
        <f aca="false">IF($A73="","",SUMIF('Niche Research'!$B$2:$B$1000,$A73,'Niche Research'!$O$2:$O$1000))</f>
        <v/>
      </c>
      <c r="F73" s="22" t="str">
        <f aca="false">IF($A73="","",IFERROR(AVERAGEIF('Niche Research'!$B$2:$B$1000,$A73,'Niche Research'!$E$2:$E$1000),""))</f>
        <v/>
      </c>
      <c r="G73" s="29" t="str">
        <f aca="false">IF($A73="","",IFERROR(AVERAGEIF('Niche Research'!$B$2:$B$1000,$A73,'Niche Research'!$P$2:$P$1000),""))</f>
        <v/>
      </c>
      <c r="H73" s="28" t="str">
        <f aca="false">IF($A73="","",COUNTIFS('Niche Research'!$B$2:$B$1000,$A73,'Niche Research'!$Q$2:$Q$1000,"Sterke niche"))</f>
        <v/>
      </c>
      <c r="I73" s="28" t="str">
        <f aca="false">IF(OR($A73="",$G73=""),"",RANK($G73,$G$2:$G$101,0))</f>
        <v/>
      </c>
    </row>
    <row r="74" customFormat="false" ht="14.25" hidden="false" customHeight="true" outlineLevel="0" collapsed="false">
      <c r="A74" s="15"/>
      <c r="B74" s="28" t="str">
        <f aca="false">IF($A74="","",COUNTIF('Niche Research'!$B$2:$B$1000,$A74))</f>
        <v/>
      </c>
      <c r="C74" s="19" t="str">
        <f aca="false">IF($A74="","",SUMIF('Niche Research'!$B$2:$B$1000,$A74,'Niche Research'!$I$2:$I$1000))</f>
        <v/>
      </c>
      <c r="D74" s="20" t="str">
        <f aca="false">IF($A74="","",IFERROR(AVERAGEIF('Niche Research'!$B$2:$B$1000,$A74,'Niche Research'!$N$2:$N$1000),""))</f>
        <v/>
      </c>
      <c r="E74" s="21" t="str">
        <f aca="false">IF($A74="","",SUMIF('Niche Research'!$B$2:$B$1000,$A74,'Niche Research'!$O$2:$O$1000))</f>
        <v/>
      </c>
      <c r="F74" s="22" t="str">
        <f aca="false">IF($A74="","",IFERROR(AVERAGEIF('Niche Research'!$B$2:$B$1000,$A74,'Niche Research'!$E$2:$E$1000),""))</f>
        <v/>
      </c>
      <c r="G74" s="29" t="str">
        <f aca="false">IF($A74="","",IFERROR(AVERAGEIF('Niche Research'!$B$2:$B$1000,$A74,'Niche Research'!$P$2:$P$1000),""))</f>
        <v/>
      </c>
      <c r="H74" s="28" t="str">
        <f aca="false">IF($A74="","",COUNTIFS('Niche Research'!$B$2:$B$1000,$A74,'Niche Research'!$Q$2:$Q$1000,"Sterke niche"))</f>
        <v/>
      </c>
      <c r="I74" s="28" t="str">
        <f aca="false">IF(OR($A74="",$G74=""),"",RANK($G74,$G$2:$G$101,0))</f>
        <v/>
      </c>
    </row>
    <row r="75" customFormat="false" ht="14.25" hidden="false" customHeight="true" outlineLevel="0" collapsed="false">
      <c r="A75" s="15"/>
      <c r="B75" s="28" t="str">
        <f aca="false">IF($A75="","",COUNTIF('Niche Research'!$B$2:$B$1000,$A75))</f>
        <v/>
      </c>
      <c r="C75" s="19" t="str">
        <f aca="false">IF($A75="","",SUMIF('Niche Research'!$B$2:$B$1000,$A75,'Niche Research'!$I$2:$I$1000))</f>
        <v/>
      </c>
      <c r="D75" s="20" t="str">
        <f aca="false">IF($A75="","",IFERROR(AVERAGEIF('Niche Research'!$B$2:$B$1000,$A75,'Niche Research'!$N$2:$N$1000),""))</f>
        <v/>
      </c>
      <c r="E75" s="21" t="str">
        <f aca="false">IF($A75="","",SUMIF('Niche Research'!$B$2:$B$1000,$A75,'Niche Research'!$O$2:$O$1000))</f>
        <v/>
      </c>
      <c r="F75" s="22" t="str">
        <f aca="false">IF($A75="","",IFERROR(AVERAGEIF('Niche Research'!$B$2:$B$1000,$A75,'Niche Research'!$E$2:$E$1000),""))</f>
        <v/>
      </c>
      <c r="G75" s="29" t="str">
        <f aca="false">IF($A75="","",IFERROR(AVERAGEIF('Niche Research'!$B$2:$B$1000,$A75,'Niche Research'!$P$2:$P$1000),""))</f>
        <v/>
      </c>
      <c r="H75" s="28" t="str">
        <f aca="false">IF($A75="","",COUNTIFS('Niche Research'!$B$2:$B$1000,$A75,'Niche Research'!$Q$2:$Q$1000,"Sterke niche"))</f>
        <v/>
      </c>
      <c r="I75" s="28" t="str">
        <f aca="false">IF(OR($A75="",$G75=""),"",RANK($G75,$G$2:$G$101,0))</f>
        <v/>
      </c>
    </row>
    <row r="76" customFormat="false" ht="14.25" hidden="false" customHeight="true" outlineLevel="0" collapsed="false">
      <c r="A76" s="15"/>
      <c r="B76" s="28" t="str">
        <f aca="false">IF($A76="","",COUNTIF('Niche Research'!$B$2:$B$1000,$A76))</f>
        <v/>
      </c>
      <c r="C76" s="19" t="str">
        <f aca="false">IF($A76="","",SUMIF('Niche Research'!$B$2:$B$1000,$A76,'Niche Research'!$I$2:$I$1000))</f>
        <v/>
      </c>
      <c r="D76" s="20" t="str">
        <f aca="false">IF($A76="","",IFERROR(AVERAGEIF('Niche Research'!$B$2:$B$1000,$A76,'Niche Research'!$N$2:$N$1000),""))</f>
        <v/>
      </c>
      <c r="E76" s="21" t="str">
        <f aca="false">IF($A76="","",SUMIF('Niche Research'!$B$2:$B$1000,$A76,'Niche Research'!$O$2:$O$1000))</f>
        <v/>
      </c>
      <c r="F76" s="22" t="str">
        <f aca="false">IF($A76="","",IFERROR(AVERAGEIF('Niche Research'!$B$2:$B$1000,$A76,'Niche Research'!$E$2:$E$1000),""))</f>
        <v/>
      </c>
      <c r="G76" s="29" t="str">
        <f aca="false">IF($A76="","",IFERROR(AVERAGEIF('Niche Research'!$B$2:$B$1000,$A76,'Niche Research'!$P$2:$P$1000),""))</f>
        <v/>
      </c>
      <c r="H76" s="28" t="str">
        <f aca="false">IF($A76="","",COUNTIFS('Niche Research'!$B$2:$B$1000,$A76,'Niche Research'!$Q$2:$Q$1000,"Sterke niche"))</f>
        <v/>
      </c>
      <c r="I76" s="28" t="str">
        <f aca="false">IF(OR($A76="",$G76=""),"",RANK($G76,$G$2:$G$101,0))</f>
        <v/>
      </c>
    </row>
    <row r="77" customFormat="false" ht="14.25" hidden="false" customHeight="true" outlineLevel="0" collapsed="false">
      <c r="A77" s="15"/>
      <c r="B77" s="28" t="str">
        <f aca="false">IF($A77="","",COUNTIF('Niche Research'!$B$2:$B$1000,$A77))</f>
        <v/>
      </c>
      <c r="C77" s="19" t="str">
        <f aca="false">IF($A77="","",SUMIF('Niche Research'!$B$2:$B$1000,$A77,'Niche Research'!$I$2:$I$1000))</f>
        <v/>
      </c>
      <c r="D77" s="20" t="str">
        <f aca="false">IF($A77="","",IFERROR(AVERAGEIF('Niche Research'!$B$2:$B$1000,$A77,'Niche Research'!$N$2:$N$1000),""))</f>
        <v/>
      </c>
      <c r="E77" s="21" t="str">
        <f aca="false">IF($A77="","",SUMIF('Niche Research'!$B$2:$B$1000,$A77,'Niche Research'!$O$2:$O$1000))</f>
        <v/>
      </c>
      <c r="F77" s="22" t="str">
        <f aca="false">IF($A77="","",IFERROR(AVERAGEIF('Niche Research'!$B$2:$B$1000,$A77,'Niche Research'!$E$2:$E$1000),""))</f>
        <v/>
      </c>
      <c r="G77" s="29" t="str">
        <f aca="false">IF($A77="","",IFERROR(AVERAGEIF('Niche Research'!$B$2:$B$1000,$A77,'Niche Research'!$P$2:$P$1000),""))</f>
        <v/>
      </c>
      <c r="H77" s="28" t="str">
        <f aca="false">IF($A77="","",COUNTIFS('Niche Research'!$B$2:$B$1000,$A77,'Niche Research'!$Q$2:$Q$1000,"Sterke niche"))</f>
        <v/>
      </c>
      <c r="I77" s="28" t="str">
        <f aca="false">IF(OR($A77="",$G77=""),"",RANK($G77,$G$2:$G$101,0))</f>
        <v/>
      </c>
    </row>
    <row r="78" customFormat="false" ht="14.25" hidden="false" customHeight="true" outlineLevel="0" collapsed="false">
      <c r="A78" s="15"/>
      <c r="B78" s="28" t="str">
        <f aca="false">IF($A78="","",COUNTIF('Niche Research'!$B$2:$B$1000,$A78))</f>
        <v/>
      </c>
      <c r="C78" s="19" t="str">
        <f aca="false">IF($A78="","",SUMIF('Niche Research'!$B$2:$B$1000,$A78,'Niche Research'!$I$2:$I$1000))</f>
        <v/>
      </c>
      <c r="D78" s="20" t="str">
        <f aca="false">IF($A78="","",IFERROR(AVERAGEIF('Niche Research'!$B$2:$B$1000,$A78,'Niche Research'!$N$2:$N$1000),""))</f>
        <v/>
      </c>
      <c r="E78" s="21" t="str">
        <f aca="false">IF($A78="","",SUMIF('Niche Research'!$B$2:$B$1000,$A78,'Niche Research'!$O$2:$O$1000))</f>
        <v/>
      </c>
      <c r="F78" s="22" t="str">
        <f aca="false">IF($A78="","",IFERROR(AVERAGEIF('Niche Research'!$B$2:$B$1000,$A78,'Niche Research'!$E$2:$E$1000),""))</f>
        <v/>
      </c>
      <c r="G78" s="29" t="str">
        <f aca="false">IF($A78="","",IFERROR(AVERAGEIF('Niche Research'!$B$2:$B$1000,$A78,'Niche Research'!$P$2:$P$1000),""))</f>
        <v/>
      </c>
      <c r="H78" s="28" t="str">
        <f aca="false">IF($A78="","",COUNTIFS('Niche Research'!$B$2:$B$1000,$A78,'Niche Research'!$Q$2:$Q$1000,"Sterke niche"))</f>
        <v/>
      </c>
      <c r="I78" s="28" t="str">
        <f aca="false">IF(OR($A78="",$G78=""),"",RANK($G78,$G$2:$G$101,0))</f>
        <v/>
      </c>
    </row>
    <row r="79" customFormat="false" ht="14.25" hidden="false" customHeight="true" outlineLevel="0" collapsed="false">
      <c r="A79" s="15"/>
      <c r="B79" s="28" t="str">
        <f aca="false">IF($A79="","",COUNTIF('Niche Research'!$B$2:$B$1000,$A79))</f>
        <v/>
      </c>
      <c r="C79" s="19" t="str">
        <f aca="false">IF($A79="","",SUMIF('Niche Research'!$B$2:$B$1000,$A79,'Niche Research'!$I$2:$I$1000))</f>
        <v/>
      </c>
      <c r="D79" s="20" t="str">
        <f aca="false">IF($A79="","",IFERROR(AVERAGEIF('Niche Research'!$B$2:$B$1000,$A79,'Niche Research'!$N$2:$N$1000),""))</f>
        <v/>
      </c>
      <c r="E79" s="21" t="str">
        <f aca="false">IF($A79="","",SUMIF('Niche Research'!$B$2:$B$1000,$A79,'Niche Research'!$O$2:$O$1000))</f>
        <v/>
      </c>
      <c r="F79" s="22" t="str">
        <f aca="false">IF($A79="","",IFERROR(AVERAGEIF('Niche Research'!$B$2:$B$1000,$A79,'Niche Research'!$E$2:$E$1000),""))</f>
        <v/>
      </c>
      <c r="G79" s="29" t="str">
        <f aca="false">IF($A79="","",IFERROR(AVERAGEIF('Niche Research'!$B$2:$B$1000,$A79,'Niche Research'!$P$2:$P$1000),""))</f>
        <v/>
      </c>
      <c r="H79" s="28" t="str">
        <f aca="false">IF($A79="","",COUNTIFS('Niche Research'!$B$2:$B$1000,$A79,'Niche Research'!$Q$2:$Q$1000,"Sterke niche"))</f>
        <v/>
      </c>
      <c r="I79" s="28" t="str">
        <f aca="false">IF(OR($A79="",$G79=""),"",RANK($G79,$G$2:$G$101,0))</f>
        <v/>
      </c>
    </row>
    <row r="80" customFormat="false" ht="14.25" hidden="false" customHeight="true" outlineLevel="0" collapsed="false">
      <c r="A80" s="15"/>
      <c r="B80" s="28" t="str">
        <f aca="false">IF($A80="","",COUNTIF('Niche Research'!$B$2:$B$1000,$A80))</f>
        <v/>
      </c>
      <c r="C80" s="19" t="str">
        <f aca="false">IF($A80="","",SUMIF('Niche Research'!$B$2:$B$1000,$A80,'Niche Research'!$I$2:$I$1000))</f>
        <v/>
      </c>
      <c r="D80" s="20" t="str">
        <f aca="false">IF($A80="","",IFERROR(AVERAGEIF('Niche Research'!$B$2:$B$1000,$A80,'Niche Research'!$N$2:$N$1000),""))</f>
        <v/>
      </c>
      <c r="E80" s="21" t="str">
        <f aca="false">IF($A80="","",SUMIF('Niche Research'!$B$2:$B$1000,$A80,'Niche Research'!$O$2:$O$1000))</f>
        <v/>
      </c>
      <c r="F80" s="22" t="str">
        <f aca="false">IF($A80="","",IFERROR(AVERAGEIF('Niche Research'!$B$2:$B$1000,$A80,'Niche Research'!$E$2:$E$1000),""))</f>
        <v/>
      </c>
      <c r="G80" s="29" t="str">
        <f aca="false">IF($A80="","",IFERROR(AVERAGEIF('Niche Research'!$B$2:$B$1000,$A80,'Niche Research'!$P$2:$P$1000),""))</f>
        <v/>
      </c>
      <c r="H80" s="28" t="str">
        <f aca="false">IF($A80="","",COUNTIFS('Niche Research'!$B$2:$B$1000,$A80,'Niche Research'!$Q$2:$Q$1000,"Sterke niche"))</f>
        <v/>
      </c>
      <c r="I80" s="28" t="str">
        <f aca="false">IF(OR($A80="",$G80=""),"",RANK($G80,$G$2:$G$101,0))</f>
        <v/>
      </c>
    </row>
    <row r="81" customFormat="false" ht="14.25" hidden="false" customHeight="true" outlineLevel="0" collapsed="false">
      <c r="A81" s="15"/>
      <c r="B81" s="28" t="str">
        <f aca="false">IF($A81="","",COUNTIF('Niche Research'!$B$2:$B$1000,$A81))</f>
        <v/>
      </c>
      <c r="C81" s="19" t="str">
        <f aca="false">IF($A81="","",SUMIF('Niche Research'!$B$2:$B$1000,$A81,'Niche Research'!$I$2:$I$1000))</f>
        <v/>
      </c>
      <c r="D81" s="20" t="str">
        <f aca="false">IF($A81="","",IFERROR(AVERAGEIF('Niche Research'!$B$2:$B$1000,$A81,'Niche Research'!$N$2:$N$1000),""))</f>
        <v/>
      </c>
      <c r="E81" s="21" t="str">
        <f aca="false">IF($A81="","",SUMIF('Niche Research'!$B$2:$B$1000,$A81,'Niche Research'!$O$2:$O$1000))</f>
        <v/>
      </c>
      <c r="F81" s="22" t="str">
        <f aca="false">IF($A81="","",IFERROR(AVERAGEIF('Niche Research'!$B$2:$B$1000,$A81,'Niche Research'!$E$2:$E$1000),""))</f>
        <v/>
      </c>
      <c r="G81" s="29" t="str">
        <f aca="false">IF($A81="","",IFERROR(AVERAGEIF('Niche Research'!$B$2:$B$1000,$A81,'Niche Research'!$P$2:$P$1000),""))</f>
        <v/>
      </c>
      <c r="H81" s="28" t="str">
        <f aca="false">IF($A81="","",COUNTIFS('Niche Research'!$B$2:$B$1000,$A81,'Niche Research'!$Q$2:$Q$1000,"Sterke niche"))</f>
        <v/>
      </c>
      <c r="I81" s="28" t="str">
        <f aca="false">IF(OR($A81="",$G81=""),"",RANK($G81,$G$2:$G$101,0))</f>
        <v/>
      </c>
    </row>
    <row r="82" customFormat="false" ht="14.25" hidden="false" customHeight="true" outlineLevel="0" collapsed="false">
      <c r="A82" s="15"/>
      <c r="B82" s="28" t="str">
        <f aca="false">IF($A82="","",COUNTIF('Niche Research'!$B$2:$B$1000,$A82))</f>
        <v/>
      </c>
      <c r="C82" s="19" t="str">
        <f aca="false">IF($A82="","",SUMIF('Niche Research'!$B$2:$B$1000,$A82,'Niche Research'!$I$2:$I$1000))</f>
        <v/>
      </c>
      <c r="D82" s="20" t="str">
        <f aca="false">IF($A82="","",IFERROR(AVERAGEIF('Niche Research'!$B$2:$B$1000,$A82,'Niche Research'!$N$2:$N$1000),""))</f>
        <v/>
      </c>
      <c r="E82" s="21" t="str">
        <f aca="false">IF($A82="","",SUMIF('Niche Research'!$B$2:$B$1000,$A82,'Niche Research'!$O$2:$O$1000))</f>
        <v/>
      </c>
      <c r="F82" s="22" t="str">
        <f aca="false">IF($A82="","",IFERROR(AVERAGEIF('Niche Research'!$B$2:$B$1000,$A82,'Niche Research'!$E$2:$E$1000),""))</f>
        <v/>
      </c>
      <c r="G82" s="29" t="str">
        <f aca="false">IF($A82="","",IFERROR(AVERAGEIF('Niche Research'!$B$2:$B$1000,$A82,'Niche Research'!$P$2:$P$1000),""))</f>
        <v/>
      </c>
      <c r="H82" s="28" t="str">
        <f aca="false">IF($A82="","",COUNTIFS('Niche Research'!$B$2:$B$1000,$A82,'Niche Research'!$Q$2:$Q$1000,"Sterke niche"))</f>
        <v/>
      </c>
      <c r="I82" s="28" t="str">
        <f aca="false">IF(OR($A82="",$G82=""),"",RANK($G82,$G$2:$G$101,0))</f>
        <v/>
      </c>
    </row>
    <row r="83" customFormat="false" ht="14.25" hidden="false" customHeight="true" outlineLevel="0" collapsed="false">
      <c r="A83" s="15"/>
      <c r="B83" s="28" t="str">
        <f aca="false">IF($A83="","",COUNTIF('Niche Research'!$B$2:$B$1000,$A83))</f>
        <v/>
      </c>
      <c r="C83" s="19" t="str">
        <f aca="false">IF($A83="","",SUMIF('Niche Research'!$B$2:$B$1000,$A83,'Niche Research'!$I$2:$I$1000))</f>
        <v/>
      </c>
      <c r="D83" s="20" t="str">
        <f aca="false">IF($A83="","",IFERROR(AVERAGEIF('Niche Research'!$B$2:$B$1000,$A83,'Niche Research'!$N$2:$N$1000),""))</f>
        <v/>
      </c>
      <c r="E83" s="21" t="str">
        <f aca="false">IF($A83="","",SUMIF('Niche Research'!$B$2:$B$1000,$A83,'Niche Research'!$O$2:$O$1000))</f>
        <v/>
      </c>
      <c r="F83" s="22" t="str">
        <f aca="false">IF($A83="","",IFERROR(AVERAGEIF('Niche Research'!$B$2:$B$1000,$A83,'Niche Research'!$E$2:$E$1000),""))</f>
        <v/>
      </c>
      <c r="G83" s="29" t="str">
        <f aca="false">IF($A83="","",IFERROR(AVERAGEIF('Niche Research'!$B$2:$B$1000,$A83,'Niche Research'!$P$2:$P$1000),""))</f>
        <v/>
      </c>
      <c r="H83" s="28" t="str">
        <f aca="false">IF($A83="","",COUNTIFS('Niche Research'!$B$2:$B$1000,$A83,'Niche Research'!$Q$2:$Q$1000,"Sterke niche"))</f>
        <v/>
      </c>
      <c r="I83" s="28" t="str">
        <f aca="false">IF(OR($A83="",$G83=""),"",RANK($G83,$G$2:$G$101,0))</f>
        <v/>
      </c>
    </row>
    <row r="84" customFormat="false" ht="14.25" hidden="false" customHeight="true" outlineLevel="0" collapsed="false">
      <c r="A84" s="15"/>
      <c r="B84" s="28" t="str">
        <f aca="false">IF($A84="","",COUNTIF('Niche Research'!$B$2:$B$1000,$A84))</f>
        <v/>
      </c>
      <c r="C84" s="19" t="str">
        <f aca="false">IF($A84="","",SUMIF('Niche Research'!$B$2:$B$1000,$A84,'Niche Research'!$I$2:$I$1000))</f>
        <v/>
      </c>
      <c r="D84" s="20" t="str">
        <f aca="false">IF($A84="","",IFERROR(AVERAGEIF('Niche Research'!$B$2:$B$1000,$A84,'Niche Research'!$N$2:$N$1000),""))</f>
        <v/>
      </c>
      <c r="E84" s="21" t="str">
        <f aca="false">IF($A84="","",SUMIF('Niche Research'!$B$2:$B$1000,$A84,'Niche Research'!$O$2:$O$1000))</f>
        <v/>
      </c>
      <c r="F84" s="22" t="str">
        <f aca="false">IF($A84="","",IFERROR(AVERAGEIF('Niche Research'!$B$2:$B$1000,$A84,'Niche Research'!$E$2:$E$1000),""))</f>
        <v/>
      </c>
      <c r="G84" s="29" t="str">
        <f aca="false">IF($A84="","",IFERROR(AVERAGEIF('Niche Research'!$B$2:$B$1000,$A84,'Niche Research'!$P$2:$P$1000),""))</f>
        <v/>
      </c>
      <c r="H84" s="28" t="str">
        <f aca="false">IF($A84="","",COUNTIFS('Niche Research'!$B$2:$B$1000,$A84,'Niche Research'!$Q$2:$Q$1000,"Sterke niche"))</f>
        <v/>
      </c>
      <c r="I84" s="28" t="str">
        <f aca="false">IF(OR($A84="",$G84=""),"",RANK($G84,$G$2:$G$101,0))</f>
        <v/>
      </c>
    </row>
    <row r="85" customFormat="false" ht="14.25" hidden="false" customHeight="true" outlineLevel="0" collapsed="false">
      <c r="A85" s="15"/>
      <c r="B85" s="28" t="str">
        <f aca="false">IF($A85="","",COUNTIF('Niche Research'!$B$2:$B$1000,$A85))</f>
        <v/>
      </c>
      <c r="C85" s="19" t="str">
        <f aca="false">IF($A85="","",SUMIF('Niche Research'!$B$2:$B$1000,$A85,'Niche Research'!$I$2:$I$1000))</f>
        <v/>
      </c>
      <c r="D85" s="20" t="str">
        <f aca="false">IF($A85="","",IFERROR(AVERAGEIF('Niche Research'!$B$2:$B$1000,$A85,'Niche Research'!$N$2:$N$1000),""))</f>
        <v/>
      </c>
      <c r="E85" s="21" t="str">
        <f aca="false">IF($A85="","",SUMIF('Niche Research'!$B$2:$B$1000,$A85,'Niche Research'!$O$2:$O$1000))</f>
        <v/>
      </c>
      <c r="F85" s="22" t="str">
        <f aca="false">IF($A85="","",IFERROR(AVERAGEIF('Niche Research'!$B$2:$B$1000,$A85,'Niche Research'!$E$2:$E$1000),""))</f>
        <v/>
      </c>
      <c r="G85" s="29" t="str">
        <f aca="false">IF($A85="","",IFERROR(AVERAGEIF('Niche Research'!$B$2:$B$1000,$A85,'Niche Research'!$P$2:$P$1000),""))</f>
        <v/>
      </c>
      <c r="H85" s="28" t="str">
        <f aca="false">IF($A85="","",COUNTIFS('Niche Research'!$B$2:$B$1000,$A85,'Niche Research'!$Q$2:$Q$1000,"Sterke niche"))</f>
        <v/>
      </c>
      <c r="I85" s="28" t="str">
        <f aca="false">IF(OR($A85="",$G85=""),"",RANK($G85,$G$2:$G$101,0))</f>
        <v/>
      </c>
    </row>
    <row r="86" customFormat="false" ht="14.25" hidden="false" customHeight="true" outlineLevel="0" collapsed="false">
      <c r="A86" s="15"/>
      <c r="B86" s="28" t="str">
        <f aca="false">IF($A86="","",COUNTIF('Niche Research'!$B$2:$B$1000,$A86))</f>
        <v/>
      </c>
      <c r="C86" s="19" t="str">
        <f aca="false">IF($A86="","",SUMIF('Niche Research'!$B$2:$B$1000,$A86,'Niche Research'!$I$2:$I$1000))</f>
        <v/>
      </c>
      <c r="D86" s="20" t="str">
        <f aca="false">IF($A86="","",IFERROR(AVERAGEIF('Niche Research'!$B$2:$B$1000,$A86,'Niche Research'!$N$2:$N$1000),""))</f>
        <v/>
      </c>
      <c r="E86" s="21" t="str">
        <f aca="false">IF($A86="","",SUMIF('Niche Research'!$B$2:$B$1000,$A86,'Niche Research'!$O$2:$O$1000))</f>
        <v/>
      </c>
      <c r="F86" s="22" t="str">
        <f aca="false">IF($A86="","",IFERROR(AVERAGEIF('Niche Research'!$B$2:$B$1000,$A86,'Niche Research'!$E$2:$E$1000),""))</f>
        <v/>
      </c>
      <c r="G86" s="29" t="str">
        <f aca="false">IF($A86="","",IFERROR(AVERAGEIF('Niche Research'!$B$2:$B$1000,$A86,'Niche Research'!$P$2:$P$1000),""))</f>
        <v/>
      </c>
      <c r="H86" s="28" t="str">
        <f aca="false">IF($A86="","",COUNTIFS('Niche Research'!$B$2:$B$1000,$A86,'Niche Research'!$Q$2:$Q$1000,"Sterke niche"))</f>
        <v/>
      </c>
      <c r="I86" s="28" t="str">
        <f aca="false">IF(OR($A86="",$G86=""),"",RANK($G86,$G$2:$G$101,0))</f>
        <v/>
      </c>
    </row>
    <row r="87" customFormat="false" ht="14.25" hidden="false" customHeight="true" outlineLevel="0" collapsed="false">
      <c r="A87" s="15"/>
      <c r="B87" s="28" t="str">
        <f aca="false">IF($A87="","",COUNTIF('Niche Research'!$B$2:$B$1000,$A87))</f>
        <v/>
      </c>
      <c r="C87" s="19" t="str">
        <f aca="false">IF($A87="","",SUMIF('Niche Research'!$B$2:$B$1000,$A87,'Niche Research'!$I$2:$I$1000))</f>
        <v/>
      </c>
      <c r="D87" s="20" t="str">
        <f aca="false">IF($A87="","",IFERROR(AVERAGEIF('Niche Research'!$B$2:$B$1000,$A87,'Niche Research'!$N$2:$N$1000),""))</f>
        <v/>
      </c>
      <c r="E87" s="21" t="str">
        <f aca="false">IF($A87="","",SUMIF('Niche Research'!$B$2:$B$1000,$A87,'Niche Research'!$O$2:$O$1000))</f>
        <v/>
      </c>
      <c r="F87" s="22" t="str">
        <f aca="false">IF($A87="","",IFERROR(AVERAGEIF('Niche Research'!$B$2:$B$1000,$A87,'Niche Research'!$E$2:$E$1000),""))</f>
        <v/>
      </c>
      <c r="G87" s="29" t="str">
        <f aca="false">IF($A87="","",IFERROR(AVERAGEIF('Niche Research'!$B$2:$B$1000,$A87,'Niche Research'!$P$2:$P$1000),""))</f>
        <v/>
      </c>
      <c r="H87" s="28" t="str">
        <f aca="false">IF($A87="","",COUNTIFS('Niche Research'!$B$2:$B$1000,$A87,'Niche Research'!$Q$2:$Q$1000,"Sterke niche"))</f>
        <v/>
      </c>
      <c r="I87" s="28" t="str">
        <f aca="false">IF(OR($A87="",$G87=""),"",RANK($G87,$G$2:$G$101,0))</f>
        <v/>
      </c>
    </row>
    <row r="88" customFormat="false" ht="14.25" hidden="false" customHeight="true" outlineLevel="0" collapsed="false">
      <c r="A88" s="15"/>
      <c r="B88" s="28" t="str">
        <f aca="false">IF($A88="","",COUNTIF('Niche Research'!$B$2:$B$1000,$A88))</f>
        <v/>
      </c>
      <c r="C88" s="19" t="str">
        <f aca="false">IF($A88="","",SUMIF('Niche Research'!$B$2:$B$1000,$A88,'Niche Research'!$I$2:$I$1000))</f>
        <v/>
      </c>
      <c r="D88" s="20" t="str">
        <f aca="false">IF($A88="","",IFERROR(AVERAGEIF('Niche Research'!$B$2:$B$1000,$A88,'Niche Research'!$N$2:$N$1000),""))</f>
        <v/>
      </c>
      <c r="E88" s="21" t="str">
        <f aca="false">IF($A88="","",SUMIF('Niche Research'!$B$2:$B$1000,$A88,'Niche Research'!$O$2:$O$1000))</f>
        <v/>
      </c>
      <c r="F88" s="22" t="str">
        <f aca="false">IF($A88="","",IFERROR(AVERAGEIF('Niche Research'!$B$2:$B$1000,$A88,'Niche Research'!$E$2:$E$1000),""))</f>
        <v/>
      </c>
      <c r="G88" s="29" t="str">
        <f aca="false">IF($A88="","",IFERROR(AVERAGEIF('Niche Research'!$B$2:$B$1000,$A88,'Niche Research'!$P$2:$P$1000),""))</f>
        <v/>
      </c>
      <c r="H88" s="28" t="str">
        <f aca="false">IF($A88="","",COUNTIFS('Niche Research'!$B$2:$B$1000,$A88,'Niche Research'!$Q$2:$Q$1000,"Sterke niche"))</f>
        <v/>
      </c>
      <c r="I88" s="28" t="str">
        <f aca="false">IF(OR($A88="",$G88=""),"",RANK($G88,$G$2:$G$101,0))</f>
        <v/>
      </c>
    </row>
    <row r="89" customFormat="false" ht="14.25" hidden="false" customHeight="true" outlineLevel="0" collapsed="false">
      <c r="A89" s="15"/>
      <c r="B89" s="28" t="str">
        <f aca="false">IF($A89="","",COUNTIF('Niche Research'!$B$2:$B$1000,$A89))</f>
        <v/>
      </c>
      <c r="C89" s="19" t="str">
        <f aca="false">IF($A89="","",SUMIF('Niche Research'!$B$2:$B$1000,$A89,'Niche Research'!$I$2:$I$1000))</f>
        <v/>
      </c>
      <c r="D89" s="20" t="str">
        <f aca="false">IF($A89="","",IFERROR(AVERAGEIF('Niche Research'!$B$2:$B$1000,$A89,'Niche Research'!$N$2:$N$1000),""))</f>
        <v/>
      </c>
      <c r="E89" s="21" t="str">
        <f aca="false">IF($A89="","",SUMIF('Niche Research'!$B$2:$B$1000,$A89,'Niche Research'!$O$2:$O$1000))</f>
        <v/>
      </c>
      <c r="F89" s="22" t="str">
        <f aca="false">IF($A89="","",IFERROR(AVERAGEIF('Niche Research'!$B$2:$B$1000,$A89,'Niche Research'!$E$2:$E$1000),""))</f>
        <v/>
      </c>
      <c r="G89" s="29" t="str">
        <f aca="false">IF($A89="","",IFERROR(AVERAGEIF('Niche Research'!$B$2:$B$1000,$A89,'Niche Research'!$P$2:$P$1000),""))</f>
        <v/>
      </c>
      <c r="H89" s="28" t="str">
        <f aca="false">IF($A89="","",COUNTIFS('Niche Research'!$B$2:$B$1000,$A89,'Niche Research'!$Q$2:$Q$1000,"Sterke niche"))</f>
        <v/>
      </c>
      <c r="I89" s="28" t="str">
        <f aca="false">IF(OR($A89="",$G89=""),"",RANK($G89,$G$2:$G$101,0))</f>
        <v/>
      </c>
    </row>
    <row r="90" customFormat="false" ht="14.25" hidden="false" customHeight="true" outlineLevel="0" collapsed="false">
      <c r="A90" s="15"/>
      <c r="B90" s="28" t="str">
        <f aca="false">IF($A90="","",COUNTIF('Niche Research'!$B$2:$B$1000,$A90))</f>
        <v/>
      </c>
      <c r="C90" s="19" t="str">
        <f aca="false">IF($A90="","",SUMIF('Niche Research'!$B$2:$B$1000,$A90,'Niche Research'!$I$2:$I$1000))</f>
        <v/>
      </c>
      <c r="D90" s="20" t="str">
        <f aca="false">IF($A90="","",IFERROR(AVERAGEIF('Niche Research'!$B$2:$B$1000,$A90,'Niche Research'!$N$2:$N$1000),""))</f>
        <v/>
      </c>
      <c r="E90" s="21" t="str">
        <f aca="false">IF($A90="","",SUMIF('Niche Research'!$B$2:$B$1000,$A90,'Niche Research'!$O$2:$O$1000))</f>
        <v/>
      </c>
      <c r="F90" s="22" t="str">
        <f aca="false">IF($A90="","",IFERROR(AVERAGEIF('Niche Research'!$B$2:$B$1000,$A90,'Niche Research'!$E$2:$E$1000),""))</f>
        <v/>
      </c>
      <c r="G90" s="29" t="str">
        <f aca="false">IF($A90="","",IFERROR(AVERAGEIF('Niche Research'!$B$2:$B$1000,$A90,'Niche Research'!$P$2:$P$1000),""))</f>
        <v/>
      </c>
      <c r="H90" s="28" t="str">
        <f aca="false">IF($A90="","",COUNTIFS('Niche Research'!$B$2:$B$1000,$A90,'Niche Research'!$Q$2:$Q$1000,"Sterke niche"))</f>
        <v/>
      </c>
      <c r="I90" s="28" t="str">
        <f aca="false">IF(OR($A90="",$G90=""),"",RANK($G90,$G$2:$G$101,0))</f>
        <v/>
      </c>
    </row>
    <row r="91" customFormat="false" ht="14.25" hidden="false" customHeight="true" outlineLevel="0" collapsed="false">
      <c r="A91" s="15"/>
      <c r="B91" s="28" t="str">
        <f aca="false">IF($A91="","",COUNTIF('Niche Research'!$B$2:$B$1000,$A91))</f>
        <v/>
      </c>
      <c r="C91" s="19" t="str">
        <f aca="false">IF($A91="","",SUMIF('Niche Research'!$B$2:$B$1000,$A91,'Niche Research'!$I$2:$I$1000))</f>
        <v/>
      </c>
      <c r="D91" s="20" t="str">
        <f aca="false">IF($A91="","",IFERROR(AVERAGEIF('Niche Research'!$B$2:$B$1000,$A91,'Niche Research'!$N$2:$N$1000),""))</f>
        <v/>
      </c>
      <c r="E91" s="21" t="str">
        <f aca="false">IF($A91="","",SUMIF('Niche Research'!$B$2:$B$1000,$A91,'Niche Research'!$O$2:$O$1000))</f>
        <v/>
      </c>
      <c r="F91" s="22" t="str">
        <f aca="false">IF($A91="","",IFERROR(AVERAGEIF('Niche Research'!$B$2:$B$1000,$A91,'Niche Research'!$E$2:$E$1000),""))</f>
        <v/>
      </c>
      <c r="G91" s="29" t="str">
        <f aca="false">IF($A91="","",IFERROR(AVERAGEIF('Niche Research'!$B$2:$B$1000,$A91,'Niche Research'!$P$2:$P$1000),""))</f>
        <v/>
      </c>
      <c r="H91" s="28" t="str">
        <f aca="false">IF($A91="","",COUNTIFS('Niche Research'!$B$2:$B$1000,$A91,'Niche Research'!$Q$2:$Q$1000,"Sterke niche"))</f>
        <v/>
      </c>
      <c r="I91" s="28" t="str">
        <f aca="false">IF(OR($A91="",$G91=""),"",RANK($G91,$G$2:$G$101,0))</f>
        <v/>
      </c>
    </row>
    <row r="92" customFormat="false" ht="14.25" hidden="false" customHeight="true" outlineLevel="0" collapsed="false">
      <c r="A92" s="15"/>
      <c r="B92" s="28" t="str">
        <f aca="false">IF($A92="","",COUNTIF('Niche Research'!$B$2:$B$1000,$A92))</f>
        <v/>
      </c>
      <c r="C92" s="19" t="str">
        <f aca="false">IF($A92="","",SUMIF('Niche Research'!$B$2:$B$1000,$A92,'Niche Research'!$I$2:$I$1000))</f>
        <v/>
      </c>
      <c r="D92" s="20" t="str">
        <f aca="false">IF($A92="","",IFERROR(AVERAGEIF('Niche Research'!$B$2:$B$1000,$A92,'Niche Research'!$N$2:$N$1000),""))</f>
        <v/>
      </c>
      <c r="E92" s="21" t="str">
        <f aca="false">IF($A92="","",SUMIF('Niche Research'!$B$2:$B$1000,$A92,'Niche Research'!$O$2:$O$1000))</f>
        <v/>
      </c>
      <c r="F92" s="22" t="str">
        <f aca="false">IF($A92="","",IFERROR(AVERAGEIF('Niche Research'!$B$2:$B$1000,$A92,'Niche Research'!$E$2:$E$1000),""))</f>
        <v/>
      </c>
      <c r="G92" s="29" t="str">
        <f aca="false">IF($A92="","",IFERROR(AVERAGEIF('Niche Research'!$B$2:$B$1000,$A92,'Niche Research'!$P$2:$P$1000),""))</f>
        <v/>
      </c>
      <c r="H92" s="28" t="str">
        <f aca="false">IF($A92="","",COUNTIFS('Niche Research'!$B$2:$B$1000,$A92,'Niche Research'!$Q$2:$Q$1000,"Sterke niche"))</f>
        <v/>
      </c>
      <c r="I92" s="28" t="str">
        <f aca="false">IF(OR($A92="",$G92=""),"",RANK($G92,$G$2:$G$101,0))</f>
        <v/>
      </c>
    </row>
    <row r="93" customFormat="false" ht="14.25" hidden="false" customHeight="true" outlineLevel="0" collapsed="false">
      <c r="A93" s="15"/>
      <c r="B93" s="28" t="str">
        <f aca="false">IF($A93="","",COUNTIF('Niche Research'!$B$2:$B$1000,$A93))</f>
        <v/>
      </c>
      <c r="C93" s="19" t="str">
        <f aca="false">IF($A93="","",SUMIF('Niche Research'!$B$2:$B$1000,$A93,'Niche Research'!$I$2:$I$1000))</f>
        <v/>
      </c>
      <c r="D93" s="20" t="str">
        <f aca="false">IF($A93="","",IFERROR(AVERAGEIF('Niche Research'!$B$2:$B$1000,$A93,'Niche Research'!$N$2:$N$1000),""))</f>
        <v/>
      </c>
      <c r="E93" s="21" t="str">
        <f aca="false">IF($A93="","",SUMIF('Niche Research'!$B$2:$B$1000,$A93,'Niche Research'!$O$2:$O$1000))</f>
        <v/>
      </c>
      <c r="F93" s="22" t="str">
        <f aca="false">IF($A93="","",IFERROR(AVERAGEIF('Niche Research'!$B$2:$B$1000,$A93,'Niche Research'!$E$2:$E$1000),""))</f>
        <v/>
      </c>
      <c r="G93" s="29" t="str">
        <f aca="false">IF($A93="","",IFERROR(AVERAGEIF('Niche Research'!$B$2:$B$1000,$A93,'Niche Research'!$P$2:$P$1000),""))</f>
        <v/>
      </c>
      <c r="H93" s="28" t="str">
        <f aca="false">IF($A93="","",COUNTIFS('Niche Research'!$B$2:$B$1000,$A93,'Niche Research'!$Q$2:$Q$1000,"Sterke niche"))</f>
        <v/>
      </c>
      <c r="I93" s="28" t="str">
        <f aca="false">IF(OR($A93="",$G93=""),"",RANK($G93,$G$2:$G$101,0))</f>
        <v/>
      </c>
    </row>
    <row r="94" customFormat="false" ht="14.25" hidden="false" customHeight="true" outlineLevel="0" collapsed="false">
      <c r="A94" s="15"/>
      <c r="B94" s="28" t="str">
        <f aca="false">IF($A94="","",COUNTIF('Niche Research'!$B$2:$B$1000,$A94))</f>
        <v/>
      </c>
      <c r="C94" s="19" t="str">
        <f aca="false">IF($A94="","",SUMIF('Niche Research'!$B$2:$B$1000,$A94,'Niche Research'!$I$2:$I$1000))</f>
        <v/>
      </c>
      <c r="D94" s="20" t="str">
        <f aca="false">IF($A94="","",IFERROR(AVERAGEIF('Niche Research'!$B$2:$B$1000,$A94,'Niche Research'!$N$2:$N$1000),""))</f>
        <v/>
      </c>
      <c r="E94" s="21" t="str">
        <f aca="false">IF($A94="","",SUMIF('Niche Research'!$B$2:$B$1000,$A94,'Niche Research'!$O$2:$O$1000))</f>
        <v/>
      </c>
      <c r="F94" s="22" t="str">
        <f aca="false">IF($A94="","",IFERROR(AVERAGEIF('Niche Research'!$B$2:$B$1000,$A94,'Niche Research'!$E$2:$E$1000),""))</f>
        <v/>
      </c>
      <c r="G94" s="29" t="str">
        <f aca="false">IF($A94="","",IFERROR(AVERAGEIF('Niche Research'!$B$2:$B$1000,$A94,'Niche Research'!$P$2:$P$1000),""))</f>
        <v/>
      </c>
      <c r="H94" s="28" t="str">
        <f aca="false">IF($A94="","",COUNTIFS('Niche Research'!$B$2:$B$1000,$A94,'Niche Research'!$Q$2:$Q$1000,"Sterke niche"))</f>
        <v/>
      </c>
      <c r="I94" s="28" t="str">
        <f aca="false">IF(OR($A94="",$G94=""),"",RANK($G94,$G$2:$G$101,0))</f>
        <v/>
      </c>
    </row>
    <row r="95" customFormat="false" ht="14.25" hidden="false" customHeight="true" outlineLevel="0" collapsed="false">
      <c r="A95" s="15"/>
      <c r="B95" s="28" t="str">
        <f aca="false">IF($A95="","",COUNTIF('Niche Research'!$B$2:$B$1000,$A95))</f>
        <v/>
      </c>
      <c r="C95" s="19" t="str">
        <f aca="false">IF($A95="","",SUMIF('Niche Research'!$B$2:$B$1000,$A95,'Niche Research'!$I$2:$I$1000))</f>
        <v/>
      </c>
      <c r="D95" s="20" t="str">
        <f aca="false">IF($A95="","",IFERROR(AVERAGEIF('Niche Research'!$B$2:$B$1000,$A95,'Niche Research'!$N$2:$N$1000),""))</f>
        <v/>
      </c>
      <c r="E95" s="21" t="str">
        <f aca="false">IF($A95="","",SUMIF('Niche Research'!$B$2:$B$1000,$A95,'Niche Research'!$O$2:$O$1000))</f>
        <v/>
      </c>
      <c r="F95" s="22" t="str">
        <f aca="false">IF($A95="","",IFERROR(AVERAGEIF('Niche Research'!$B$2:$B$1000,$A95,'Niche Research'!$E$2:$E$1000),""))</f>
        <v/>
      </c>
      <c r="G95" s="29" t="str">
        <f aca="false">IF($A95="","",IFERROR(AVERAGEIF('Niche Research'!$B$2:$B$1000,$A95,'Niche Research'!$P$2:$P$1000),""))</f>
        <v/>
      </c>
      <c r="H95" s="28" t="str">
        <f aca="false">IF($A95="","",COUNTIFS('Niche Research'!$B$2:$B$1000,$A95,'Niche Research'!$Q$2:$Q$1000,"Sterke niche"))</f>
        <v/>
      </c>
      <c r="I95" s="28" t="str">
        <f aca="false">IF(OR($A95="",$G95=""),"",RANK($G95,$G$2:$G$101,0))</f>
        <v/>
      </c>
    </row>
    <row r="96" customFormat="false" ht="14.25" hidden="false" customHeight="true" outlineLevel="0" collapsed="false">
      <c r="A96" s="15"/>
      <c r="B96" s="28" t="str">
        <f aca="false">IF($A96="","",COUNTIF('Niche Research'!$B$2:$B$1000,$A96))</f>
        <v/>
      </c>
      <c r="C96" s="19" t="str">
        <f aca="false">IF($A96="","",SUMIF('Niche Research'!$B$2:$B$1000,$A96,'Niche Research'!$I$2:$I$1000))</f>
        <v/>
      </c>
      <c r="D96" s="20" t="str">
        <f aca="false">IF($A96="","",IFERROR(AVERAGEIF('Niche Research'!$B$2:$B$1000,$A96,'Niche Research'!$N$2:$N$1000),""))</f>
        <v/>
      </c>
      <c r="E96" s="21" t="str">
        <f aca="false">IF($A96="","",SUMIF('Niche Research'!$B$2:$B$1000,$A96,'Niche Research'!$O$2:$O$1000))</f>
        <v/>
      </c>
      <c r="F96" s="22" t="str">
        <f aca="false">IF($A96="","",IFERROR(AVERAGEIF('Niche Research'!$B$2:$B$1000,$A96,'Niche Research'!$E$2:$E$1000),""))</f>
        <v/>
      </c>
      <c r="G96" s="29" t="str">
        <f aca="false">IF($A96="","",IFERROR(AVERAGEIF('Niche Research'!$B$2:$B$1000,$A96,'Niche Research'!$P$2:$P$1000),""))</f>
        <v/>
      </c>
      <c r="H96" s="28" t="str">
        <f aca="false">IF($A96="","",COUNTIFS('Niche Research'!$B$2:$B$1000,$A96,'Niche Research'!$Q$2:$Q$1000,"Sterke niche"))</f>
        <v/>
      </c>
      <c r="I96" s="28" t="str">
        <f aca="false">IF(OR($A96="",$G96=""),"",RANK($G96,$G$2:$G$101,0))</f>
        <v/>
      </c>
    </row>
    <row r="97" customFormat="false" ht="14.25" hidden="false" customHeight="true" outlineLevel="0" collapsed="false">
      <c r="A97" s="15"/>
      <c r="B97" s="28" t="str">
        <f aca="false">IF($A97="","",COUNTIF('Niche Research'!$B$2:$B$1000,$A97))</f>
        <v/>
      </c>
      <c r="C97" s="19" t="str">
        <f aca="false">IF($A97="","",SUMIF('Niche Research'!$B$2:$B$1000,$A97,'Niche Research'!$I$2:$I$1000))</f>
        <v/>
      </c>
      <c r="D97" s="20" t="str">
        <f aca="false">IF($A97="","",IFERROR(AVERAGEIF('Niche Research'!$B$2:$B$1000,$A97,'Niche Research'!$N$2:$N$1000),""))</f>
        <v/>
      </c>
      <c r="E97" s="21" t="str">
        <f aca="false">IF($A97="","",SUMIF('Niche Research'!$B$2:$B$1000,$A97,'Niche Research'!$O$2:$O$1000))</f>
        <v/>
      </c>
      <c r="F97" s="22" t="str">
        <f aca="false">IF($A97="","",IFERROR(AVERAGEIF('Niche Research'!$B$2:$B$1000,$A97,'Niche Research'!$E$2:$E$1000),""))</f>
        <v/>
      </c>
      <c r="G97" s="29" t="str">
        <f aca="false">IF($A97="","",IFERROR(AVERAGEIF('Niche Research'!$B$2:$B$1000,$A97,'Niche Research'!$P$2:$P$1000),""))</f>
        <v/>
      </c>
      <c r="H97" s="28" t="str">
        <f aca="false">IF($A97="","",COUNTIFS('Niche Research'!$B$2:$B$1000,$A97,'Niche Research'!$Q$2:$Q$1000,"Sterke niche"))</f>
        <v/>
      </c>
      <c r="I97" s="28" t="str">
        <f aca="false">IF(OR($A97="",$G97=""),"",RANK($G97,$G$2:$G$101,0))</f>
        <v/>
      </c>
    </row>
    <row r="98" customFormat="false" ht="14.25" hidden="false" customHeight="true" outlineLevel="0" collapsed="false">
      <c r="A98" s="15"/>
      <c r="B98" s="28" t="str">
        <f aca="false">IF($A98="","",COUNTIF('Niche Research'!$B$2:$B$1000,$A98))</f>
        <v/>
      </c>
      <c r="C98" s="19" t="str">
        <f aca="false">IF($A98="","",SUMIF('Niche Research'!$B$2:$B$1000,$A98,'Niche Research'!$I$2:$I$1000))</f>
        <v/>
      </c>
      <c r="D98" s="20" t="str">
        <f aca="false">IF($A98="","",IFERROR(AVERAGEIF('Niche Research'!$B$2:$B$1000,$A98,'Niche Research'!$N$2:$N$1000),""))</f>
        <v/>
      </c>
      <c r="E98" s="21" t="str">
        <f aca="false">IF($A98="","",SUMIF('Niche Research'!$B$2:$B$1000,$A98,'Niche Research'!$O$2:$O$1000))</f>
        <v/>
      </c>
      <c r="F98" s="22" t="str">
        <f aca="false">IF($A98="","",IFERROR(AVERAGEIF('Niche Research'!$B$2:$B$1000,$A98,'Niche Research'!$E$2:$E$1000),""))</f>
        <v/>
      </c>
      <c r="G98" s="29" t="str">
        <f aca="false">IF($A98="","",IFERROR(AVERAGEIF('Niche Research'!$B$2:$B$1000,$A98,'Niche Research'!$P$2:$P$1000),""))</f>
        <v/>
      </c>
      <c r="H98" s="28" t="str">
        <f aca="false">IF($A98="","",COUNTIFS('Niche Research'!$B$2:$B$1000,$A98,'Niche Research'!$Q$2:$Q$1000,"Sterke niche"))</f>
        <v/>
      </c>
      <c r="I98" s="28" t="str">
        <f aca="false">IF(OR($A98="",$G98=""),"",RANK($G98,$G$2:$G$101,0))</f>
        <v/>
      </c>
    </row>
    <row r="99" customFormat="false" ht="14.25" hidden="false" customHeight="true" outlineLevel="0" collapsed="false">
      <c r="A99" s="15"/>
      <c r="B99" s="28" t="str">
        <f aca="false">IF($A99="","",COUNTIF('Niche Research'!$B$2:$B$1000,$A99))</f>
        <v/>
      </c>
      <c r="C99" s="19" t="str">
        <f aca="false">IF($A99="","",SUMIF('Niche Research'!$B$2:$B$1000,$A99,'Niche Research'!$I$2:$I$1000))</f>
        <v/>
      </c>
      <c r="D99" s="20" t="str">
        <f aca="false">IF($A99="","",IFERROR(AVERAGEIF('Niche Research'!$B$2:$B$1000,$A99,'Niche Research'!$N$2:$N$1000),""))</f>
        <v/>
      </c>
      <c r="E99" s="21" t="str">
        <f aca="false">IF($A99="","",SUMIF('Niche Research'!$B$2:$B$1000,$A99,'Niche Research'!$O$2:$O$1000))</f>
        <v/>
      </c>
      <c r="F99" s="22" t="str">
        <f aca="false">IF($A99="","",IFERROR(AVERAGEIF('Niche Research'!$B$2:$B$1000,$A99,'Niche Research'!$E$2:$E$1000),""))</f>
        <v/>
      </c>
      <c r="G99" s="29" t="str">
        <f aca="false">IF($A99="","",IFERROR(AVERAGEIF('Niche Research'!$B$2:$B$1000,$A99,'Niche Research'!$P$2:$P$1000),""))</f>
        <v/>
      </c>
      <c r="H99" s="28" t="str">
        <f aca="false">IF($A99="","",COUNTIFS('Niche Research'!$B$2:$B$1000,$A99,'Niche Research'!$Q$2:$Q$1000,"Sterke niche"))</f>
        <v/>
      </c>
      <c r="I99" s="28" t="str">
        <f aca="false">IF(OR($A99="",$G99=""),"",RANK($G99,$G$2:$G$101,0))</f>
        <v/>
      </c>
    </row>
    <row r="100" customFormat="false" ht="14.25" hidden="false" customHeight="true" outlineLevel="0" collapsed="false">
      <c r="A100" s="15"/>
      <c r="B100" s="28" t="str">
        <f aca="false">IF($A100="","",COUNTIF('Niche Research'!$B$2:$B$1000,$A100))</f>
        <v/>
      </c>
      <c r="C100" s="19" t="str">
        <f aca="false">IF($A100="","",SUMIF('Niche Research'!$B$2:$B$1000,$A100,'Niche Research'!$I$2:$I$1000))</f>
        <v/>
      </c>
      <c r="D100" s="20" t="str">
        <f aca="false">IF($A100="","",IFERROR(AVERAGEIF('Niche Research'!$B$2:$B$1000,$A100,'Niche Research'!$N$2:$N$1000),""))</f>
        <v/>
      </c>
      <c r="E100" s="21" t="str">
        <f aca="false">IF($A100="","",SUMIF('Niche Research'!$B$2:$B$1000,$A100,'Niche Research'!$O$2:$O$1000))</f>
        <v/>
      </c>
      <c r="F100" s="22" t="str">
        <f aca="false">IF($A100="","",IFERROR(AVERAGEIF('Niche Research'!$B$2:$B$1000,$A100,'Niche Research'!$E$2:$E$1000),""))</f>
        <v/>
      </c>
      <c r="G100" s="29" t="str">
        <f aca="false">IF($A100="","",IFERROR(AVERAGEIF('Niche Research'!$B$2:$B$1000,$A100,'Niche Research'!$P$2:$P$1000),""))</f>
        <v/>
      </c>
      <c r="H100" s="28" t="str">
        <f aca="false">IF($A100="","",COUNTIFS('Niche Research'!$B$2:$B$1000,$A100,'Niche Research'!$Q$2:$Q$1000,"Sterke niche"))</f>
        <v/>
      </c>
      <c r="I100" s="28" t="str">
        <f aca="false">IF(OR($A100="",$G100=""),"",RANK($G100,$G$2:$G$101,0))</f>
        <v/>
      </c>
    </row>
    <row r="101" customFormat="false" ht="14.25" hidden="false" customHeight="true" outlineLevel="0" collapsed="false">
      <c r="A101" s="15"/>
      <c r="B101" s="28" t="str">
        <f aca="false">IF($A101="","",COUNTIF('Niche Research'!$B$2:$B$1000,$A101))</f>
        <v/>
      </c>
      <c r="C101" s="19" t="str">
        <f aca="false">IF($A101="","",SUMIF('Niche Research'!$B$2:$B$1000,$A101,'Niche Research'!$I$2:$I$1000))</f>
        <v/>
      </c>
      <c r="D101" s="20" t="str">
        <f aca="false">IF($A101="","",IFERROR(AVERAGEIF('Niche Research'!$B$2:$B$1000,$A101,'Niche Research'!$N$2:$N$1000),""))</f>
        <v/>
      </c>
      <c r="E101" s="21" t="str">
        <f aca="false">IF($A101="","",SUMIF('Niche Research'!$B$2:$B$1000,$A101,'Niche Research'!$O$2:$O$1000))</f>
        <v/>
      </c>
      <c r="F101" s="22" t="str">
        <f aca="false">IF($A101="","",IFERROR(AVERAGEIF('Niche Research'!$B$2:$B$1000,$A101,'Niche Research'!$E$2:$E$1000),""))</f>
        <v/>
      </c>
      <c r="G101" s="29" t="str">
        <f aca="false">IF($A101="","",IFERROR(AVERAGEIF('Niche Research'!$B$2:$B$1000,$A101,'Niche Research'!$P$2:$P$1000),""))</f>
        <v/>
      </c>
      <c r="H101" s="28" t="str">
        <f aca="false">IF($A101="","",COUNTIFS('Niche Research'!$B$2:$B$1000,$A101,'Niche Research'!$Q$2:$Q$1000,"Sterke niche"))</f>
        <v/>
      </c>
      <c r="I101" s="28" t="str">
        <f aca="false">IF(OR($A101="",$G101=""),"",RANK($G101,$G$2:$G$101,0))</f>
        <v/>
      </c>
    </row>
    <row r="103" customFormat="false" ht="14.25" hidden="false" customHeight="true" outlineLevel="0" collapsed="false">
      <c r="A103" s="30" t="s">
        <v>77</v>
      </c>
      <c r="B103" s="30"/>
      <c r="C103" s="30"/>
      <c r="D103" s="30"/>
      <c r="E103" s="30"/>
      <c r="F103" s="30"/>
      <c r="G103" s="30"/>
      <c r="H103" s="30"/>
      <c r="I103" s="30"/>
    </row>
  </sheetData>
  <autoFilter ref="A1:I101"/>
  <mergeCells count="1">
    <mergeCell ref="A103:I103"/>
  </mergeCells>
  <conditionalFormatting sqref="G2:G10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0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01">
    <cfRule type="cellIs" priority="4" operator="greaterThan" aboveAverage="0" equalAverage="0" bottom="0" percent="0" rank="0" text="" dxfId="36">
      <formula>180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24"/>
  </cols>
  <sheetData>
    <row r="1" customFormat="false" ht="31.5" hidden="false" customHeight="true" outlineLevel="0" collapsed="false">
      <c r="A1" s="2" t="s">
        <v>78</v>
      </c>
      <c r="B1" s="2" t="s">
        <v>1</v>
      </c>
      <c r="C1" s="2" t="s">
        <v>69</v>
      </c>
      <c r="D1" s="2" t="s">
        <v>79</v>
      </c>
      <c r="E1" s="2" t="s">
        <v>74</v>
      </c>
      <c r="F1" s="2" t="s">
        <v>75</v>
      </c>
      <c r="G1" s="2" t="s">
        <v>72</v>
      </c>
    </row>
    <row r="2" customFormat="false" ht="15" hidden="false" customHeight="true" outlineLevel="0" collapsed="false">
      <c r="A2" s="31" t="n">
        <v>46268</v>
      </c>
      <c r="B2" s="1" t="s">
        <v>20</v>
      </c>
      <c r="C2" s="1" t="n">
        <v>6</v>
      </c>
      <c r="D2" s="32" t="n">
        <v>6.74058333333333</v>
      </c>
      <c r="E2" s="33" t="n">
        <v>59</v>
      </c>
      <c r="F2" s="1" t="n">
        <v>3</v>
      </c>
      <c r="G2" s="34" t="n">
        <v>23066.0911768</v>
      </c>
    </row>
    <row r="3" customFormat="false" ht="15" hidden="false" customHeight="true" outlineLevel="0" collapsed="false">
      <c r="A3" s="31" t="n">
        <v>46268</v>
      </c>
      <c r="B3" s="1" t="s">
        <v>63</v>
      </c>
      <c r="C3" s="1" t="n">
        <v>3</v>
      </c>
      <c r="D3" s="32" t="n">
        <v>3.91486666666667</v>
      </c>
      <c r="E3" s="33" t="n">
        <v>43.3333333333333</v>
      </c>
      <c r="F3" s="1" t="n">
        <v>1</v>
      </c>
      <c r="G3" s="34" t="n">
        <v>7135.4573364</v>
      </c>
    </row>
    <row r="4" customFormat="false" ht="15" hidden="false" customHeight="true" outlineLevel="0" collapsed="false">
      <c r="A4" s="31" t="n">
        <v>46268</v>
      </c>
      <c r="B4" s="1" t="s">
        <v>29</v>
      </c>
      <c r="C4" s="1" t="n">
        <v>5</v>
      </c>
      <c r="D4" s="32" t="n">
        <v>3.39772</v>
      </c>
      <c r="E4" s="33" t="n">
        <v>47.2</v>
      </c>
      <c r="F4" s="1" t="n">
        <v>2</v>
      </c>
      <c r="G4" s="34" t="n">
        <v>21419.054829</v>
      </c>
    </row>
    <row r="5" customFormat="false" ht="15" hidden="false" customHeight="true" outlineLevel="0" collapsed="false">
      <c r="A5" s="31" t="n">
        <v>46268</v>
      </c>
      <c r="B5" s="1" t="s">
        <v>66</v>
      </c>
      <c r="C5" s="1" t="n">
        <v>3</v>
      </c>
      <c r="D5" s="32" t="n">
        <v>3.6</v>
      </c>
      <c r="E5" s="33" t="n">
        <v>39</v>
      </c>
      <c r="F5" s="1" t="n">
        <v>0</v>
      </c>
      <c r="G5" s="34" t="n">
        <v>1161.794016</v>
      </c>
    </row>
    <row r="6" customFormat="false" ht="15" hidden="false" customHeight="true" outlineLevel="0" collapsed="false">
      <c r="A6" s="31" t="n">
        <v>46268</v>
      </c>
      <c r="B6" s="1" t="s">
        <v>24</v>
      </c>
      <c r="C6" s="1" t="n">
        <v>5</v>
      </c>
      <c r="D6" s="32" t="n">
        <v>4.1472</v>
      </c>
      <c r="E6" s="33" t="n">
        <v>28.6</v>
      </c>
      <c r="F6" s="1" t="n">
        <v>0</v>
      </c>
      <c r="G6" s="34" t="n">
        <v>277.6905504</v>
      </c>
    </row>
    <row r="7" customFormat="false" ht="15" hidden="false" customHeight="true" outlineLevel="0" collapsed="false">
      <c r="A7" s="31" t="n">
        <v>46268</v>
      </c>
      <c r="B7" s="1" t="s">
        <v>47</v>
      </c>
      <c r="C7" s="1" t="n">
        <v>5</v>
      </c>
      <c r="D7" s="32" t="n">
        <v>5.97024</v>
      </c>
      <c r="E7" s="33" t="n">
        <v>56.4</v>
      </c>
      <c r="F7" s="1" t="n">
        <v>3</v>
      </c>
      <c r="G7" s="34" t="n">
        <v>3158.07228</v>
      </c>
    </row>
    <row r="8" customFormat="false" ht="15" hidden="false" customHeight="true" outlineLevel="0" collapsed="false">
      <c r="A8" s="31" t="n">
        <v>46268</v>
      </c>
      <c r="B8" s="1" t="s">
        <v>56</v>
      </c>
      <c r="C8" s="1" t="n">
        <v>5</v>
      </c>
      <c r="D8" s="32" t="n">
        <v>3.65558</v>
      </c>
      <c r="E8" s="33" t="n">
        <v>43.4</v>
      </c>
      <c r="F8" s="1" t="n">
        <v>2</v>
      </c>
      <c r="G8" s="34" t="n">
        <v>12741.3483127</v>
      </c>
    </row>
    <row r="9" customFormat="false" ht="15" hidden="false" customHeight="true" outlineLevel="0" collapsed="false">
      <c r="A9" s="31" t="n">
        <v>46268</v>
      </c>
      <c r="B9" s="1" t="s">
        <v>43</v>
      </c>
      <c r="C9" s="1" t="n">
        <v>5</v>
      </c>
      <c r="D9" s="32" t="n">
        <v>3.64472</v>
      </c>
      <c r="E9" s="33" t="n">
        <v>50.4</v>
      </c>
      <c r="F9" s="1" t="n">
        <v>1</v>
      </c>
      <c r="G9" s="34" t="n">
        <v>5065.4463807</v>
      </c>
    </row>
    <row r="10" customFormat="false" ht="15" hidden="false" customHeight="true" outlineLevel="0" collapsed="false">
      <c r="A10" s="31" t="n">
        <v>46268</v>
      </c>
      <c r="B10" s="1" t="s">
        <v>59</v>
      </c>
      <c r="C10" s="1" t="n">
        <v>3</v>
      </c>
      <c r="D10" s="32" t="n">
        <v>5.67033333333333</v>
      </c>
      <c r="E10" s="33" t="n">
        <v>49.6666666666667</v>
      </c>
      <c r="F10" s="1" t="n">
        <v>1</v>
      </c>
      <c r="G10" s="34" t="n">
        <v>5317.2584158</v>
      </c>
    </row>
    <row r="11" customFormat="false" ht="15" hidden="false" customHeight="true" outlineLevel="0" collapsed="false">
      <c r="A11" s="31" t="n">
        <v>46268</v>
      </c>
      <c r="B11" s="1" t="s">
        <v>40</v>
      </c>
      <c r="C11" s="1" t="n">
        <v>5</v>
      </c>
      <c r="D11" s="32" t="n">
        <v>5.38194</v>
      </c>
      <c r="E11" s="33" t="n">
        <v>76</v>
      </c>
      <c r="F11" s="1" t="n">
        <v>3</v>
      </c>
      <c r="G11" s="34" t="n">
        <v>24848.140083</v>
      </c>
    </row>
    <row r="12" customFormat="false" ht="15" hidden="false" customHeight="true" outlineLevel="0" collapsed="false">
      <c r="A12" s="31" t="n">
        <v>46268</v>
      </c>
      <c r="B12" s="1" t="s">
        <v>33</v>
      </c>
      <c r="C12" s="1" t="n">
        <v>5</v>
      </c>
      <c r="D12" s="32" t="n">
        <v>2.57678</v>
      </c>
      <c r="E12" s="33" t="n">
        <v>60</v>
      </c>
      <c r="F12" s="1" t="n">
        <v>2</v>
      </c>
      <c r="G12" s="34" t="n">
        <v>13274.081967</v>
      </c>
    </row>
    <row r="13" customFormat="false" ht="15" hidden="false" customHeight="true" outlineLevel="0" collapsed="false">
      <c r="A13" s="31"/>
      <c r="D13" s="32"/>
      <c r="E13" s="33"/>
      <c r="G13" s="34"/>
    </row>
    <row r="14" customFormat="false" ht="15" hidden="false" customHeight="true" outlineLevel="0" collapsed="false">
      <c r="A14" s="31"/>
      <c r="D14" s="32"/>
      <c r="E14" s="33"/>
      <c r="G14" s="34"/>
    </row>
    <row r="15" customFormat="false" ht="15" hidden="false" customHeight="true" outlineLevel="0" collapsed="false">
      <c r="A15" s="31"/>
      <c r="D15" s="32"/>
      <c r="E15" s="33"/>
      <c r="G15" s="34"/>
    </row>
    <row r="16" customFormat="false" ht="15" hidden="false" customHeight="true" outlineLevel="0" collapsed="false">
      <c r="A16" s="31"/>
      <c r="D16" s="32"/>
      <c r="E16" s="33"/>
      <c r="G16" s="34"/>
    </row>
    <row r="17" customFormat="false" ht="15" hidden="false" customHeight="true" outlineLevel="0" collapsed="false">
      <c r="A17" s="31"/>
      <c r="D17" s="32"/>
      <c r="E17" s="33"/>
      <c r="G17" s="34"/>
    </row>
    <row r="18" customFormat="false" ht="15" hidden="false" customHeight="true" outlineLevel="0" collapsed="false">
      <c r="A18" s="31"/>
      <c r="D18" s="32"/>
      <c r="E18" s="33"/>
      <c r="G18" s="34"/>
    </row>
    <row r="19" customFormat="false" ht="15" hidden="false" customHeight="true" outlineLevel="0" collapsed="false">
      <c r="A19" s="31"/>
      <c r="D19" s="32"/>
      <c r="E19" s="33"/>
      <c r="G19" s="34"/>
    </row>
    <row r="20" customFormat="false" ht="15" hidden="false" customHeight="true" outlineLevel="0" collapsed="false">
      <c r="A20" s="31"/>
      <c r="D20" s="32"/>
      <c r="E20" s="33"/>
      <c r="G20" s="34"/>
    </row>
    <row r="21" customFormat="false" ht="15" hidden="false" customHeight="true" outlineLevel="0" collapsed="false">
      <c r="A21" s="31"/>
      <c r="D21" s="32"/>
      <c r="E21" s="33"/>
      <c r="G21" s="34"/>
    </row>
    <row r="22" customFormat="false" ht="15" hidden="false" customHeight="true" outlineLevel="0" collapsed="false">
      <c r="A22" s="31"/>
      <c r="D22" s="32"/>
      <c r="E22" s="33"/>
      <c r="G22" s="34"/>
    </row>
    <row r="23" customFormat="false" ht="15" hidden="false" customHeight="true" outlineLevel="0" collapsed="false">
      <c r="A23" s="31"/>
      <c r="D23" s="32"/>
      <c r="E23" s="33"/>
      <c r="G23" s="34"/>
    </row>
    <row r="24" customFormat="false" ht="15" hidden="false" customHeight="true" outlineLevel="0" collapsed="false">
      <c r="A24" s="31"/>
      <c r="D24" s="32"/>
      <c r="E24" s="33"/>
      <c r="G24" s="34"/>
    </row>
    <row r="25" customFormat="false" ht="15" hidden="false" customHeight="true" outlineLevel="0" collapsed="false">
      <c r="A25" s="31"/>
      <c r="D25" s="32"/>
      <c r="E25" s="33"/>
      <c r="G25" s="34"/>
    </row>
    <row r="26" customFormat="false" ht="15" hidden="false" customHeight="true" outlineLevel="0" collapsed="false">
      <c r="A26" s="31"/>
      <c r="D26" s="32"/>
      <c r="E26" s="33"/>
      <c r="G26" s="34"/>
    </row>
    <row r="27" customFormat="false" ht="15" hidden="false" customHeight="true" outlineLevel="0" collapsed="false">
      <c r="A27" s="31"/>
      <c r="D27" s="32"/>
      <c r="E27" s="33"/>
      <c r="G27" s="34"/>
    </row>
    <row r="28" customFormat="false" ht="15" hidden="false" customHeight="true" outlineLevel="0" collapsed="false">
      <c r="A28" s="31"/>
      <c r="D28" s="32"/>
      <c r="E28" s="33"/>
      <c r="G28" s="34"/>
    </row>
    <row r="29" customFormat="false" ht="15" hidden="false" customHeight="true" outlineLevel="0" collapsed="false">
      <c r="A29" s="31"/>
      <c r="D29" s="32"/>
      <c r="E29" s="33"/>
      <c r="G29" s="34"/>
    </row>
    <row r="30" customFormat="false" ht="15" hidden="false" customHeight="true" outlineLevel="0" collapsed="false">
      <c r="A30" s="31"/>
      <c r="D30" s="32"/>
      <c r="E30" s="33"/>
      <c r="G30" s="34"/>
    </row>
    <row r="31" customFormat="false" ht="15" hidden="false" customHeight="true" outlineLevel="0" collapsed="false">
      <c r="A31" s="31"/>
      <c r="D31" s="32"/>
      <c r="E31" s="33"/>
      <c r="G31" s="34"/>
    </row>
    <row r="32" customFormat="false" ht="15" hidden="false" customHeight="true" outlineLevel="0" collapsed="false">
      <c r="A32" s="31"/>
      <c r="D32" s="32"/>
      <c r="E32" s="33"/>
      <c r="G32" s="34"/>
    </row>
    <row r="33" customFormat="false" ht="15" hidden="false" customHeight="true" outlineLevel="0" collapsed="false">
      <c r="A33" s="31"/>
      <c r="D33" s="32"/>
      <c r="E33" s="33"/>
      <c r="G33" s="34"/>
    </row>
    <row r="34" customFormat="false" ht="15" hidden="false" customHeight="true" outlineLevel="0" collapsed="false">
      <c r="A34" s="31"/>
      <c r="D34" s="32"/>
      <c r="E34" s="33"/>
      <c r="G34" s="34"/>
    </row>
    <row r="35" customFormat="false" ht="15" hidden="false" customHeight="true" outlineLevel="0" collapsed="false">
      <c r="A35" s="31"/>
      <c r="D35" s="32"/>
      <c r="E35" s="33"/>
      <c r="G35" s="34"/>
    </row>
    <row r="36" customFormat="false" ht="15" hidden="false" customHeight="true" outlineLevel="0" collapsed="false">
      <c r="A36" s="31"/>
      <c r="D36" s="32"/>
      <c r="E36" s="33"/>
      <c r="G36" s="34"/>
    </row>
    <row r="37" customFormat="false" ht="15" hidden="false" customHeight="true" outlineLevel="0" collapsed="false">
      <c r="A37" s="31"/>
      <c r="D37" s="32"/>
      <c r="E37" s="33"/>
      <c r="G37" s="34"/>
    </row>
    <row r="38" customFormat="false" ht="15" hidden="false" customHeight="true" outlineLevel="0" collapsed="false">
      <c r="A38" s="31"/>
      <c r="D38" s="32"/>
      <c r="E38" s="33"/>
      <c r="G38" s="34"/>
    </row>
    <row r="39" customFormat="false" ht="15" hidden="false" customHeight="true" outlineLevel="0" collapsed="false">
      <c r="A39" s="31"/>
      <c r="D39" s="32"/>
      <c r="E39" s="33"/>
      <c r="G39" s="34"/>
    </row>
    <row r="40" customFormat="false" ht="15" hidden="false" customHeight="true" outlineLevel="0" collapsed="false">
      <c r="A40" s="31"/>
      <c r="D40" s="32"/>
      <c r="E40" s="33"/>
      <c r="G40" s="34"/>
    </row>
    <row r="41" customFormat="false" ht="15" hidden="false" customHeight="true" outlineLevel="0" collapsed="false">
      <c r="A41" s="31"/>
      <c r="D41" s="32"/>
      <c r="E41" s="33"/>
      <c r="G41" s="34"/>
    </row>
    <row r="42" customFormat="false" ht="15" hidden="false" customHeight="true" outlineLevel="0" collapsed="false">
      <c r="A42" s="31"/>
      <c r="D42" s="32"/>
      <c r="E42" s="33"/>
      <c r="G42" s="34"/>
    </row>
    <row r="43" customFormat="false" ht="15" hidden="false" customHeight="true" outlineLevel="0" collapsed="false">
      <c r="A43" s="31"/>
      <c r="D43" s="32"/>
      <c r="E43" s="33"/>
      <c r="G43" s="34"/>
    </row>
    <row r="44" customFormat="false" ht="15" hidden="false" customHeight="true" outlineLevel="0" collapsed="false">
      <c r="A44" s="31"/>
      <c r="D44" s="32"/>
      <c r="E44" s="33"/>
      <c r="G44" s="34"/>
    </row>
    <row r="45" customFormat="false" ht="15" hidden="false" customHeight="true" outlineLevel="0" collapsed="false">
      <c r="A45" s="31"/>
      <c r="D45" s="32"/>
      <c r="E45" s="33"/>
      <c r="G45" s="34"/>
    </row>
    <row r="46" customFormat="false" ht="15" hidden="false" customHeight="true" outlineLevel="0" collapsed="false">
      <c r="A46" s="31"/>
      <c r="D46" s="32"/>
      <c r="E46" s="33"/>
      <c r="G46" s="34"/>
    </row>
    <row r="47" customFormat="false" ht="15" hidden="false" customHeight="true" outlineLevel="0" collapsed="false">
      <c r="A47" s="31"/>
      <c r="D47" s="32"/>
      <c r="E47" s="33"/>
      <c r="G47" s="34"/>
    </row>
    <row r="48" customFormat="false" ht="15" hidden="false" customHeight="true" outlineLevel="0" collapsed="false">
      <c r="A48" s="31"/>
      <c r="D48" s="32"/>
      <c r="E48" s="33"/>
      <c r="G48" s="34"/>
    </row>
    <row r="49" customFormat="false" ht="15" hidden="false" customHeight="true" outlineLevel="0" collapsed="false">
      <c r="A49" s="31"/>
      <c r="D49" s="32"/>
      <c r="E49" s="33"/>
      <c r="G49" s="34"/>
    </row>
    <row r="50" customFormat="false" ht="15" hidden="false" customHeight="true" outlineLevel="0" collapsed="false">
      <c r="A50" s="31"/>
      <c r="D50" s="32"/>
      <c r="E50" s="33"/>
      <c r="G50" s="34"/>
    </row>
    <row r="51" customFormat="false" ht="15" hidden="false" customHeight="true" outlineLevel="0" collapsed="false">
      <c r="A51" s="31"/>
      <c r="D51" s="32"/>
      <c r="E51" s="33"/>
      <c r="G51" s="34"/>
    </row>
    <row r="52" customFormat="false" ht="15" hidden="false" customHeight="true" outlineLevel="0" collapsed="false">
      <c r="A52" s="31"/>
      <c r="D52" s="32"/>
      <c r="E52" s="33"/>
      <c r="G52" s="34"/>
    </row>
    <row r="53" customFormat="false" ht="15" hidden="false" customHeight="true" outlineLevel="0" collapsed="false">
      <c r="A53" s="31"/>
      <c r="D53" s="32"/>
      <c r="E53" s="33"/>
      <c r="G53" s="34"/>
    </row>
    <row r="54" customFormat="false" ht="15" hidden="false" customHeight="true" outlineLevel="0" collapsed="false">
      <c r="A54" s="31"/>
      <c r="D54" s="32"/>
      <c r="E54" s="33"/>
      <c r="G54" s="34"/>
    </row>
    <row r="55" customFormat="false" ht="15" hidden="false" customHeight="true" outlineLevel="0" collapsed="false">
      <c r="A55" s="31"/>
      <c r="D55" s="32"/>
      <c r="E55" s="33"/>
      <c r="G55" s="34"/>
    </row>
    <row r="56" customFormat="false" ht="15" hidden="false" customHeight="true" outlineLevel="0" collapsed="false">
      <c r="A56" s="31"/>
      <c r="D56" s="32"/>
      <c r="E56" s="33"/>
      <c r="G56" s="34"/>
    </row>
    <row r="57" customFormat="false" ht="15" hidden="false" customHeight="true" outlineLevel="0" collapsed="false">
      <c r="A57" s="31"/>
      <c r="D57" s="32"/>
      <c r="E57" s="33"/>
      <c r="G57" s="34"/>
    </row>
    <row r="58" customFormat="false" ht="15" hidden="false" customHeight="true" outlineLevel="0" collapsed="false">
      <c r="A58" s="31"/>
      <c r="D58" s="32"/>
      <c r="E58" s="33"/>
      <c r="G58" s="34"/>
    </row>
    <row r="59" customFormat="false" ht="15" hidden="false" customHeight="true" outlineLevel="0" collapsed="false">
      <c r="A59" s="31"/>
      <c r="D59" s="32"/>
      <c r="E59" s="33"/>
      <c r="G59" s="34"/>
    </row>
    <row r="60" customFormat="false" ht="15" hidden="false" customHeight="true" outlineLevel="0" collapsed="false">
      <c r="A60" s="31"/>
      <c r="D60" s="32"/>
      <c r="E60" s="33"/>
      <c r="G60" s="34"/>
    </row>
    <row r="61" customFormat="false" ht="15" hidden="false" customHeight="true" outlineLevel="0" collapsed="false">
      <c r="A61" s="31"/>
      <c r="D61" s="32"/>
      <c r="E61" s="33"/>
      <c r="G61" s="34"/>
    </row>
    <row r="62" customFormat="false" ht="15" hidden="false" customHeight="true" outlineLevel="0" collapsed="false">
      <c r="A62" s="31"/>
      <c r="D62" s="32"/>
      <c r="E62" s="33"/>
      <c r="G62" s="34"/>
    </row>
    <row r="63" customFormat="false" ht="15" hidden="false" customHeight="true" outlineLevel="0" collapsed="false">
      <c r="A63" s="31"/>
      <c r="D63" s="32"/>
      <c r="E63" s="33"/>
      <c r="G63" s="34"/>
    </row>
    <row r="64" customFormat="false" ht="15" hidden="false" customHeight="true" outlineLevel="0" collapsed="false">
      <c r="A64" s="31"/>
      <c r="D64" s="32"/>
      <c r="E64" s="33"/>
      <c r="G64" s="34"/>
    </row>
    <row r="65" customFormat="false" ht="15" hidden="false" customHeight="true" outlineLevel="0" collapsed="false">
      <c r="A65" s="31"/>
      <c r="D65" s="32"/>
      <c r="E65" s="33"/>
      <c r="G65" s="34"/>
    </row>
    <row r="66" customFormat="false" ht="15" hidden="false" customHeight="true" outlineLevel="0" collapsed="false">
      <c r="A66" s="31"/>
      <c r="D66" s="32"/>
      <c r="E66" s="33"/>
      <c r="G66" s="34"/>
    </row>
    <row r="67" customFormat="false" ht="15" hidden="false" customHeight="true" outlineLevel="0" collapsed="false">
      <c r="A67" s="31"/>
      <c r="D67" s="32"/>
      <c r="E67" s="33"/>
      <c r="G67" s="34"/>
    </row>
    <row r="68" customFormat="false" ht="15" hidden="false" customHeight="true" outlineLevel="0" collapsed="false">
      <c r="A68" s="31"/>
      <c r="D68" s="32"/>
      <c r="E68" s="33"/>
      <c r="G68" s="34"/>
    </row>
    <row r="69" customFormat="false" ht="15" hidden="false" customHeight="true" outlineLevel="0" collapsed="false">
      <c r="A69" s="31"/>
      <c r="D69" s="32"/>
      <c r="E69" s="33"/>
      <c r="G69" s="34"/>
    </row>
    <row r="70" customFormat="false" ht="15" hidden="false" customHeight="true" outlineLevel="0" collapsed="false">
      <c r="A70" s="31"/>
      <c r="D70" s="32"/>
      <c r="E70" s="33"/>
      <c r="G70" s="34"/>
    </row>
    <row r="71" customFormat="false" ht="15" hidden="false" customHeight="true" outlineLevel="0" collapsed="false">
      <c r="A71" s="31"/>
      <c r="D71" s="32"/>
      <c r="E71" s="33"/>
      <c r="G71" s="34"/>
    </row>
    <row r="72" customFormat="false" ht="15" hidden="false" customHeight="true" outlineLevel="0" collapsed="false">
      <c r="A72" s="31"/>
      <c r="D72" s="32"/>
      <c r="E72" s="33"/>
      <c r="G72" s="34"/>
    </row>
    <row r="73" customFormat="false" ht="15" hidden="false" customHeight="true" outlineLevel="0" collapsed="false">
      <c r="A73" s="31"/>
      <c r="D73" s="32"/>
      <c r="E73" s="33"/>
      <c r="G73" s="34"/>
    </row>
    <row r="74" customFormat="false" ht="15" hidden="false" customHeight="true" outlineLevel="0" collapsed="false">
      <c r="A74" s="31"/>
      <c r="D74" s="32"/>
      <c r="E74" s="33"/>
      <c r="G74" s="34"/>
    </row>
    <row r="75" customFormat="false" ht="15" hidden="false" customHeight="true" outlineLevel="0" collapsed="false">
      <c r="A75" s="31"/>
      <c r="D75" s="32"/>
      <c r="E75" s="33"/>
      <c r="G75" s="34"/>
    </row>
    <row r="76" customFormat="false" ht="15" hidden="false" customHeight="true" outlineLevel="0" collapsed="false">
      <c r="A76" s="31"/>
      <c r="D76" s="32"/>
      <c r="E76" s="33"/>
      <c r="G76" s="34"/>
    </row>
    <row r="77" customFormat="false" ht="15" hidden="false" customHeight="true" outlineLevel="0" collapsed="false">
      <c r="A77" s="31"/>
      <c r="D77" s="32"/>
      <c r="E77" s="33"/>
      <c r="G77" s="34"/>
    </row>
    <row r="78" customFormat="false" ht="15" hidden="false" customHeight="true" outlineLevel="0" collapsed="false">
      <c r="A78" s="31"/>
      <c r="D78" s="32"/>
      <c r="E78" s="33"/>
      <c r="G78" s="34"/>
    </row>
    <row r="79" customFormat="false" ht="15" hidden="false" customHeight="true" outlineLevel="0" collapsed="false">
      <c r="A79" s="31"/>
      <c r="D79" s="32"/>
      <c r="E79" s="33"/>
      <c r="G79" s="34"/>
    </row>
    <row r="80" customFormat="false" ht="15" hidden="false" customHeight="true" outlineLevel="0" collapsed="false">
      <c r="A80" s="31"/>
      <c r="D80" s="32"/>
      <c r="E80" s="33"/>
      <c r="G80" s="34"/>
    </row>
    <row r="81" customFormat="false" ht="15" hidden="false" customHeight="true" outlineLevel="0" collapsed="false">
      <c r="A81" s="31"/>
      <c r="D81" s="32"/>
      <c r="E81" s="33"/>
      <c r="G81" s="34"/>
    </row>
    <row r="82" customFormat="false" ht="15" hidden="false" customHeight="true" outlineLevel="0" collapsed="false">
      <c r="A82" s="31"/>
      <c r="D82" s="32"/>
      <c r="E82" s="33"/>
      <c r="G82" s="34"/>
    </row>
    <row r="83" customFormat="false" ht="15" hidden="false" customHeight="true" outlineLevel="0" collapsed="false">
      <c r="A83" s="31"/>
      <c r="D83" s="32"/>
      <c r="E83" s="33"/>
      <c r="G83" s="34"/>
    </row>
    <row r="84" customFormat="false" ht="15" hidden="false" customHeight="true" outlineLevel="0" collapsed="false">
      <c r="A84" s="31"/>
      <c r="D84" s="32"/>
      <c r="E84" s="33"/>
      <c r="G84" s="34"/>
    </row>
    <row r="85" customFormat="false" ht="15" hidden="false" customHeight="true" outlineLevel="0" collapsed="false">
      <c r="A85" s="31"/>
      <c r="D85" s="32"/>
      <c r="E85" s="33"/>
      <c r="G85" s="34"/>
    </row>
    <row r="86" customFormat="false" ht="15" hidden="false" customHeight="true" outlineLevel="0" collapsed="false">
      <c r="A86" s="31"/>
      <c r="D86" s="32"/>
      <c r="E86" s="33"/>
      <c r="G86" s="34"/>
    </row>
    <row r="87" customFormat="false" ht="15" hidden="false" customHeight="true" outlineLevel="0" collapsed="false">
      <c r="A87" s="31"/>
      <c r="D87" s="32"/>
      <c r="E87" s="33"/>
      <c r="G87" s="34"/>
    </row>
    <row r="88" customFormat="false" ht="15" hidden="false" customHeight="true" outlineLevel="0" collapsed="false">
      <c r="A88" s="31"/>
      <c r="D88" s="32"/>
      <c r="E88" s="33"/>
      <c r="G88" s="34"/>
    </row>
    <row r="89" customFormat="false" ht="15" hidden="false" customHeight="true" outlineLevel="0" collapsed="false">
      <c r="A89" s="31"/>
      <c r="D89" s="32"/>
      <c r="E89" s="33"/>
      <c r="G89" s="34"/>
    </row>
    <row r="90" customFormat="false" ht="15" hidden="false" customHeight="true" outlineLevel="0" collapsed="false">
      <c r="A90" s="31"/>
      <c r="D90" s="32"/>
      <c r="E90" s="33"/>
      <c r="G90" s="34"/>
    </row>
    <row r="91" customFormat="false" ht="15" hidden="false" customHeight="true" outlineLevel="0" collapsed="false">
      <c r="A91" s="31"/>
      <c r="D91" s="32"/>
      <c r="E91" s="33"/>
      <c r="G91" s="34"/>
    </row>
    <row r="92" customFormat="false" ht="15" hidden="false" customHeight="true" outlineLevel="0" collapsed="false">
      <c r="A92" s="31"/>
      <c r="D92" s="32"/>
      <c r="E92" s="33"/>
      <c r="G92" s="34"/>
    </row>
    <row r="93" customFormat="false" ht="15" hidden="false" customHeight="true" outlineLevel="0" collapsed="false">
      <c r="A93" s="31"/>
      <c r="D93" s="32"/>
      <c r="E93" s="33"/>
      <c r="G93" s="34"/>
    </row>
    <row r="94" customFormat="false" ht="15" hidden="false" customHeight="true" outlineLevel="0" collapsed="false">
      <c r="A94" s="31"/>
      <c r="D94" s="32"/>
      <c r="E94" s="33"/>
      <c r="G94" s="34"/>
    </row>
    <row r="95" customFormat="false" ht="15" hidden="false" customHeight="true" outlineLevel="0" collapsed="false">
      <c r="A95" s="31"/>
      <c r="D95" s="32"/>
      <c r="E95" s="33"/>
      <c r="G95" s="34"/>
    </row>
    <row r="96" customFormat="false" ht="15" hidden="false" customHeight="true" outlineLevel="0" collapsed="false">
      <c r="A96" s="31"/>
      <c r="D96" s="32"/>
      <c r="E96" s="33"/>
      <c r="G96" s="34"/>
    </row>
    <row r="97" customFormat="false" ht="15" hidden="false" customHeight="true" outlineLevel="0" collapsed="false">
      <c r="A97" s="31"/>
      <c r="D97" s="32"/>
      <c r="E97" s="33"/>
      <c r="G97" s="34"/>
    </row>
    <row r="98" customFormat="false" ht="15" hidden="false" customHeight="true" outlineLevel="0" collapsed="false">
      <c r="A98" s="31"/>
      <c r="D98" s="32"/>
      <c r="E98" s="33"/>
      <c r="G98" s="34"/>
    </row>
    <row r="99" customFormat="false" ht="15" hidden="false" customHeight="true" outlineLevel="0" collapsed="false">
      <c r="A99" s="31"/>
      <c r="D99" s="32"/>
      <c r="E99" s="33"/>
      <c r="G99" s="34"/>
    </row>
    <row r="100" customFormat="false" ht="15" hidden="false" customHeight="true" outlineLevel="0" collapsed="false">
      <c r="A100" s="31"/>
      <c r="D100" s="32"/>
      <c r="E100" s="33"/>
      <c r="G100" s="34"/>
    </row>
    <row r="101" customFormat="false" ht="15" hidden="false" customHeight="true" outlineLevel="0" collapsed="false">
      <c r="A101" s="31"/>
      <c r="D101" s="32"/>
      <c r="E101" s="33"/>
      <c r="G101" s="34"/>
    </row>
    <row r="102" customFormat="false" ht="15" hidden="false" customHeight="true" outlineLevel="0" collapsed="false">
      <c r="A102" s="31"/>
      <c r="D102" s="32"/>
      <c r="E102" s="33"/>
      <c r="G102" s="34"/>
    </row>
    <row r="103" customFormat="false" ht="15" hidden="false" customHeight="true" outlineLevel="0" collapsed="false">
      <c r="A103" s="31"/>
      <c r="D103" s="32"/>
      <c r="E103" s="33"/>
      <c r="G103" s="34"/>
    </row>
    <row r="104" customFormat="false" ht="15" hidden="false" customHeight="true" outlineLevel="0" collapsed="false">
      <c r="A104" s="31"/>
      <c r="D104" s="32"/>
      <c r="E104" s="33"/>
      <c r="G104" s="34"/>
    </row>
    <row r="105" customFormat="false" ht="15" hidden="false" customHeight="true" outlineLevel="0" collapsed="false">
      <c r="A105" s="31"/>
      <c r="D105" s="32"/>
      <c r="E105" s="33"/>
      <c r="G105" s="34"/>
    </row>
    <row r="106" customFormat="false" ht="15" hidden="false" customHeight="true" outlineLevel="0" collapsed="false">
      <c r="A106" s="31"/>
      <c r="D106" s="32"/>
      <c r="E106" s="33"/>
      <c r="G106" s="34"/>
    </row>
    <row r="107" customFormat="false" ht="15" hidden="false" customHeight="true" outlineLevel="0" collapsed="false">
      <c r="A107" s="31"/>
      <c r="D107" s="32"/>
      <c r="E107" s="33"/>
      <c r="G107" s="34"/>
    </row>
    <row r="108" customFormat="false" ht="15" hidden="false" customHeight="true" outlineLevel="0" collapsed="false">
      <c r="A108" s="31"/>
      <c r="D108" s="32"/>
      <c r="E108" s="33"/>
      <c r="G108" s="34"/>
    </row>
    <row r="109" customFormat="false" ht="15" hidden="false" customHeight="true" outlineLevel="0" collapsed="false">
      <c r="A109" s="31"/>
      <c r="D109" s="32"/>
      <c r="E109" s="33"/>
      <c r="G109" s="34"/>
    </row>
    <row r="110" customFormat="false" ht="15" hidden="false" customHeight="true" outlineLevel="0" collapsed="false">
      <c r="A110" s="31"/>
      <c r="D110" s="32"/>
      <c r="E110" s="33"/>
      <c r="G110" s="34"/>
    </row>
    <row r="111" customFormat="false" ht="15" hidden="false" customHeight="true" outlineLevel="0" collapsed="false">
      <c r="A111" s="31"/>
      <c r="D111" s="32"/>
      <c r="E111" s="33"/>
      <c r="G111" s="34"/>
    </row>
    <row r="112" customFormat="false" ht="15" hidden="false" customHeight="true" outlineLevel="0" collapsed="false">
      <c r="A112" s="31"/>
      <c r="D112" s="32"/>
      <c r="E112" s="33"/>
      <c r="G112" s="34"/>
    </row>
    <row r="113" customFormat="false" ht="15" hidden="false" customHeight="true" outlineLevel="0" collapsed="false">
      <c r="A113" s="31"/>
      <c r="D113" s="32"/>
      <c r="E113" s="33"/>
      <c r="G113" s="34"/>
    </row>
    <row r="114" customFormat="false" ht="15" hidden="false" customHeight="true" outlineLevel="0" collapsed="false">
      <c r="A114" s="31"/>
      <c r="D114" s="32"/>
      <c r="E114" s="33"/>
      <c r="G114" s="34"/>
    </row>
    <row r="115" customFormat="false" ht="15" hidden="false" customHeight="true" outlineLevel="0" collapsed="false">
      <c r="A115" s="31"/>
      <c r="D115" s="32"/>
      <c r="E115" s="33"/>
      <c r="G115" s="34"/>
    </row>
    <row r="116" customFormat="false" ht="15" hidden="false" customHeight="true" outlineLevel="0" collapsed="false">
      <c r="A116" s="31"/>
      <c r="D116" s="32"/>
      <c r="E116" s="33"/>
      <c r="G116" s="34"/>
    </row>
    <row r="117" customFormat="false" ht="15" hidden="false" customHeight="true" outlineLevel="0" collapsed="false">
      <c r="A117" s="31"/>
      <c r="D117" s="32"/>
      <c r="E117" s="33"/>
      <c r="G117" s="34"/>
    </row>
    <row r="118" customFormat="false" ht="15" hidden="false" customHeight="true" outlineLevel="0" collapsed="false">
      <c r="A118" s="31"/>
      <c r="D118" s="32"/>
      <c r="E118" s="33"/>
      <c r="G118" s="34"/>
    </row>
    <row r="119" customFormat="false" ht="15" hidden="false" customHeight="true" outlineLevel="0" collapsed="false">
      <c r="A119" s="31"/>
      <c r="D119" s="32"/>
      <c r="E119" s="33"/>
      <c r="G119" s="34"/>
    </row>
    <row r="120" customFormat="false" ht="15" hidden="false" customHeight="true" outlineLevel="0" collapsed="false">
      <c r="A120" s="31"/>
      <c r="D120" s="32"/>
      <c r="E120" s="33"/>
      <c r="G120" s="34"/>
    </row>
    <row r="121" customFormat="false" ht="15" hidden="false" customHeight="true" outlineLevel="0" collapsed="false">
      <c r="A121" s="31"/>
      <c r="D121" s="32"/>
      <c r="E121" s="33"/>
      <c r="G121" s="34"/>
    </row>
    <row r="122" customFormat="false" ht="15" hidden="false" customHeight="true" outlineLevel="0" collapsed="false">
      <c r="A122" s="31"/>
      <c r="D122" s="32"/>
      <c r="E122" s="33"/>
      <c r="G122" s="34"/>
    </row>
    <row r="123" customFormat="false" ht="15" hidden="false" customHeight="true" outlineLevel="0" collapsed="false">
      <c r="A123" s="31"/>
      <c r="D123" s="32"/>
      <c r="E123" s="33"/>
      <c r="G123" s="34"/>
    </row>
    <row r="124" customFormat="false" ht="15" hidden="false" customHeight="true" outlineLevel="0" collapsed="false">
      <c r="A124" s="31"/>
      <c r="D124" s="32"/>
      <c r="E124" s="33"/>
      <c r="G124" s="34"/>
    </row>
    <row r="125" customFormat="false" ht="15" hidden="false" customHeight="true" outlineLevel="0" collapsed="false">
      <c r="A125" s="31"/>
      <c r="D125" s="32"/>
      <c r="E125" s="33"/>
      <c r="G125" s="34"/>
    </row>
    <row r="126" customFormat="false" ht="15" hidden="false" customHeight="true" outlineLevel="0" collapsed="false">
      <c r="A126" s="31"/>
      <c r="D126" s="32"/>
      <c r="E126" s="33"/>
      <c r="G126" s="34"/>
    </row>
    <row r="127" customFormat="false" ht="15" hidden="false" customHeight="true" outlineLevel="0" collapsed="false">
      <c r="A127" s="31"/>
      <c r="D127" s="32"/>
      <c r="E127" s="33"/>
      <c r="G127" s="34"/>
    </row>
    <row r="128" customFormat="false" ht="15" hidden="false" customHeight="true" outlineLevel="0" collapsed="false">
      <c r="A128" s="31"/>
      <c r="D128" s="32"/>
      <c r="E128" s="33"/>
      <c r="G128" s="34"/>
    </row>
    <row r="129" customFormat="false" ht="15" hidden="false" customHeight="true" outlineLevel="0" collapsed="false">
      <c r="A129" s="31"/>
      <c r="D129" s="32"/>
      <c r="E129" s="33"/>
      <c r="G129" s="34"/>
    </row>
    <row r="130" customFormat="false" ht="15" hidden="false" customHeight="true" outlineLevel="0" collapsed="false">
      <c r="A130" s="31"/>
      <c r="D130" s="32"/>
      <c r="E130" s="33"/>
      <c r="G130" s="34"/>
    </row>
    <row r="131" customFormat="false" ht="15" hidden="false" customHeight="true" outlineLevel="0" collapsed="false">
      <c r="A131" s="31"/>
      <c r="D131" s="32"/>
      <c r="E131" s="33"/>
      <c r="G131" s="34"/>
    </row>
    <row r="132" customFormat="false" ht="15" hidden="false" customHeight="true" outlineLevel="0" collapsed="false">
      <c r="A132" s="31"/>
      <c r="D132" s="32"/>
      <c r="E132" s="33"/>
      <c r="G132" s="34"/>
    </row>
    <row r="133" customFormat="false" ht="15" hidden="false" customHeight="true" outlineLevel="0" collapsed="false">
      <c r="A133" s="31"/>
      <c r="D133" s="32"/>
      <c r="E133" s="33"/>
      <c r="G133" s="34"/>
    </row>
    <row r="134" customFormat="false" ht="15" hidden="false" customHeight="true" outlineLevel="0" collapsed="false">
      <c r="A134" s="31"/>
      <c r="D134" s="32"/>
      <c r="E134" s="33"/>
      <c r="G134" s="34"/>
    </row>
    <row r="135" customFormat="false" ht="15" hidden="false" customHeight="true" outlineLevel="0" collapsed="false">
      <c r="A135" s="31"/>
      <c r="D135" s="32"/>
      <c r="E135" s="33"/>
      <c r="G135" s="34"/>
    </row>
    <row r="136" customFormat="false" ht="15" hidden="false" customHeight="true" outlineLevel="0" collapsed="false">
      <c r="A136" s="31"/>
      <c r="D136" s="32"/>
      <c r="E136" s="33"/>
      <c r="G136" s="34"/>
    </row>
    <row r="137" customFormat="false" ht="15" hidden="false" customHeight="true" outlineLevel="0" collapsed="false">
      <c r="A137" s="31"/>
      <c r="D137" s="32"/>
      <c r="E137" s="33"/>
      <c r="G137" s="34"/>
    </row>
    <row r="138" customFormat="false" ht="15" hidden="false" customHeight="true" outlineLevel="0" collapsed="false">
      <c r="A138" s="31"/>
      <c r="D138" s="32"/>
      <c r="E138" s="33"/>
      <c r="G138" s="34"/>
    </row>
    <row r="139" customFormat="false" ht="15" hidden="false" customHeight="true" outlineLevel="0" collapsed="false">
      <c r="A139" s="31"/>
      <c r="D139" s="32"/>
      <c r="E139" s="33"/>
      <c r="G139" s="34"/>
    </row>
    <row r="140" customFormat="false" ht="15" hidden="false" customHeight="true" outlineLevel="0" collapsed="false">
      <c r="A140" s="31"/>
      <c r="D140" s="32"/>
      <c r="E140" s="33"/>
      <c r="G140" s="34"/>
    </row>
    <row r="141" customFormat="false" ht="15" hidden="false" customHeight="true" outlineLevel="0" collapsed="false">
      <c r="A141" s="31"/>
      <c r="D141" s="32"/>
      <c r="E141" s="33"/>
      <c r="G141" s="34"/>
    </row>
    <row r="142" customFormat="false" ht="15" hidden="false" customHeight="true" outlineLevel="0" collapsed="false">
      <c r="A142" s="31"/>
      <c r="D142" s="32"/>
      <c r="E142" s="33"/>
      <c r="G142" s="34"/>
    </row>
    <row r="143" customFormat="false" ht="15" hidden="false" customHeight="true" outlineLevel="0" collapsed="false">
      <c r="A143" s="31"/>
      <c r="D143" s="32"/>
      <c r="E143" s="33"/>
      <c r="G143" s="34"/>
    </row>
    <row r="144" customFormat="false" ht="15" hidden="false" customHeight="true" outlineLevel="0" collapsed="false">
      <c r="A144" s="31"/>
      <c r="D144" s="32"/>
      <c r="E144" s="33"/>
      <c r="G144" s="34"/>
    </row>
    <row r="145" customFormat="false" ht="15" hidden="false" customHeight="true" outlineLevel="0" collapsed="false">
      <c r="A145" s="31"/>
      <c r="D145" s="32"/>
      <c r="E145" s="33"/>
      <c r="G145" s="34"/>
    </row>
    <row r="146" customFormat="false" ht="15" hidden="false" customHeight="true" outlineLevel="0" collapsed="false">
      <c r="A146" s="31"/>
      <c r="D146" s="32"/>
      <c r="E146" s="33"/>
      <c r="G146" s="34"/>
    </row>
    <row r="147" customFormat="false" ht="15" hidden="false" customHeight="true" outlineLevel="0" collapsed="false">
      <c r="A147" s="31"/>
      <c r="D147" s="32"/>
      <c r="E147" s="33"/>
      <c r="G147" s="34"/>
    </row>
    <row r="148" customFormat="false" ht="15" hidden="false" customHeight="true" outlineLevel="0" collapsed="false">
      <c r="A148" s="31"/>
      <c r="D148" s="32"/>
      <c r="E148" s="33"/>
      <c r="G148" s="34"/>
    </row>
    <row r="149" customFormat="false" ht="15" hidden="false" customHeight="true" outlineLevel="0" collapsed="false">
      <c r="A149" s="31"/>
      <c r="D149" s="32"/>
      <c r="E149" s="33"/>
      <c r="G149" s="34"/>
    </row>
    <row r="150" customFormat="false" ht="15" hidden="false" customHeight="true" outlineLevel="0" collapsed="false">
      <c r="A150" s="31"/>
      <c r="D150" s="32"/>
      <c r="E150" s="33"/>
      <c r="G150" s="34"/>
    </row>
    <row r="151" customFormat="false" ht="15" hidden="false" customHeight="true" outlineLevel="0" collapsed="false">
      <c r="A151" s="31"/>
      <c r="D151" s="32"/>
      <c r="E151" s="33"/>
      <c r="G151" s="34"/>
    </row>
    <row r="152" customFormat="false" ht="15" hidden="false" customHeight="true" outlineLevel="0" collapsed="false">
      <c r="A152" s="31"/>
      <c r="D152" s="32"/>
      <c r="E152" s="33"/>
      <c r="G152" s="34"/>
    </row>
    <row r="153" customFormat="false" ht="15" hidden="false" customHeight="true" outlineLevel="0" collapsed="false">
      <c r="A153" s="31"/>
      <c r="D153" s="32"/>
      <c r="E153" s="33"/>
      <c r="G153" s="34"/>
    </row>
    <row r="154" customFormat="false" ht="15" hidden="false" customHeight="true" outlineLevel="0" collapsed="false">
      <c r="A154" s="31"/>
      <c r="D154" s="32"/>
      <c r="E154" s="33"/>
      <c r="G154" s="34"/>
    </row>
    <row r="155" customFormat="false" ht="15" hidden="false" customHeight="true" outlineLevel="0" collapsed="false">
      <c r="A155" s="31"/>
      <c r="D155" s="32"/>
      <c r="E155" s="33"/>
      <c r="G155" s="34"/>
    </row>
    <row r="156" customFormat="false" ht="15" hidden="false" customHeight="true" outlineLevel="0" collapsed="false">
      <c r="A156" s="31"/>
      <c r="D156" s="32"/>
      <c r="E156" s="33"/>
      <c r="G156" s="34"/>
    </row>
    <row r="157" customFormat="false" ht="15" hidden="false" customHeight="true" outlineLevel="0" collapsed="false">
      <c r="A157" s="31"/>
      <c r="D157" s="32"/>
      <c r="E157" s="33"/>
      <c r="G157" s="34"/>
    </row>
    <row r="158" customFormat="false" ht="15" hidden="false" customHeight="true" outlineLevel="0" collapsed="false">
      <c r="A158" s="31"/>
      <c r="D158" s="32"/>
      <c r="E158" s="33"/>
      <c r="G158" s="34"/>
    </row>
    <row r="159" customFormat="false" ht="15" hidden="false" customHeight="true" outlineLevel="0" collapsed="false">
      <c r="A159" s="31"/>
      <c r="D159" s="32"/>
      <c r="E159" s="33"/>
      <c r="G159" s="34"/>
    </row>
    <row r="160" customFormat="false" ht="15" hidden="false" customHeight="true" outlineLevel="0" collapsed="false">
      <c r="A160" s="31"/>
      <c r="D160" s="32"/>
      <c r="E160" s="33"/>
      <c r="G160" s="34"/>
    </row>
    <row r="161" customFormat="false" ht="15" hidden="false" customHeight="true" outlineLevel="0" collapsed="false">
      <c r="A161" s="31"/>
      <c r="D161" s="32"/>
      <c r="E161" s="33"/>
      <c r="G161" s="34"/>
    </row>
    <row r="162" customFormat="false" ht="15" hidden="false" customHeight="true" outlineLevel="0" collapsed="false">
      <c r="A162" s="31"/>
      <c r="D162" s="32"/>
      <c r="E162" s="33"/>
      <c r="G162" s="34"/>
    </row>
    <row r="163" customFormat="false" ht="15" hidden="false" customHeight="true" outlineLevel="0" collapsed="false">
      <c r="A163" s="31"/>
      <c r="D163" s="32"/>
      <c r="E163" s="33"/>
      <c r="G163" s="34"/>
    </row>
    <row r="164" customFormat="false" ht="15" hidden="false" customHeight="true" outlineLevel="0" collapsed="false">
      <c r="A164" s="31"/>
      <c r="D164" s="32"/>
      <c r="E164" s="33"/>
      <c r="G164" s="34"/>
    </row>
    <row r="165" customFormat="false" ht="15" hidden="false" customHeight="true" outlineLevel="0" collapsed="false">
      <c r="A165" s="31"/>
      <c r="D165" s="32"/>
      <c r="E165" s="33"/>
      <c r="G165" s="34"/>
    </row>
    <row r="166" customFormat="false" ht="15" hidden="false" customHeight="true" outlineLevel="0" collapsed="false">
      <c r="A166" s="31"/>
      <c r="D166" s="32"/>
      <c r="E166" s="33"/>
      <c r="G166" s="34"/>
    </row>
    <row r="167" customFormat="false" ht="15" hidden="false" customHeight="true" outlineLevel="0" collapsed="false">
      <c r="A167" s="31"/>
      <c r="D167" s="32"/>
      <c r="E167" s="33"/>
      <c r="G167" s="34"/>
    </row>
    <row r="168" customFormat="false" ht="15" hidden="false" customHeight="true" outlineLevel="0" collapsed="false">
      <c r="A168" s="31"/>
      <c r="D168" s="32"/>
      <c r="E168" s="33"/>
      <c r="G168" s="34"/>
    </row>
    <row r="169" customFormat="false" ht="15" hidden="false" customHeight="true" outlineLevel="0" collapsed="false">
      <c r="A169" s="31"/>
      <c r="D169" s="32"/>
      <c r="E169" s="33"/>
      <c r="G169" s="34"/>
    </row>
    <row r="170" customFormat="false" ht="15" hidden="false" customHeight="true" outlineLevel="0" collapsed="false">
      <c r="A170" s="31"/>
      <c r="D170" s="32"/>
      <c r="E170" s="33"/>
      <c r="G170" s="34"/>
    </row>
    <row r="171" customFormat="false" ht="15" hidden="false" customHeight="true" outlineLevel="0" collapsed="false">
      <c r="A171" s="31"/>
      <c r="D171" s="32"/>
      <c r="E171" s="33"/>
      <c r="G171" s="34"/>
    </row>
    <row r="172" customFormat="false" ht="15" hidden="false" customHeight="true" outlineLevel="0" collapsed="false">
      <c r="A172" s="31"/>
      <c r="D172" s="32"/>
      <c r="E172" s="33"/>
      <c r="G172" s="34"/>
    </row>
    <row r="173" customFormat="false" ht="15" hidden="false" customHeight="true" outlineLevel="0" collapsed="false">
      <c r="A173" s="31"/>
      <c r="D173" s="32"/>
      <c r="E173" s="33"/>
      <c r="G173" s="34"/>
    </row>
    <row r="174" customFormat="false" ht="15" hidden="false" customHeight="true" outlineLevel="0" collapsed="false">
      <c r="A174" s="31"/>
      <c r="D174" s="32"/>
      <c r="E174" s="33"/>
      <c r="G174" s="34"/>
    </row>
    <row r="175" customFormat="false" ht="15" hidden="false" customHeight="true" outlineLevel="0" collapsed="false">
      <c r="A175" s="31"/>
      <c r="D175" s="32"/>
      <c r="E175" s="33"/>
      <c r="G175" s="34"/>
    </row>
    <row r="176" customFormat="false" ht="15" hidden="false" customHeight="true" outlineLevel="0" collapsed="false">
      <c r="A176" s="31"/>
      <c r="D176" s="32"/>
      <c r="E176" s="33"/>
      <c r="G176" s="34"/>
    </row>
    <row r="177" customFormat="false" ht="15" hidden="false" customHeight="true" outlineLevel="0" collapsed="false">
      <c r="A177" s="31"/>
      <c r="D177" s="32"/>
      <c r="E177" s="33"/>
      <c r="G177" s="34"/>
    </row>
    <row r="178" customFormat="false" ht="15" hidden="false" customHeight="true" outlineLevel="0" collapsed="false">
      <c r="A178" s="31"/>
      <c r="D178" s="32"/>
      <c r="E178" s="33"/>
      <c r="G178" s="34"/>
    </row>
    <row r="179" customFormat="false" ht="15" hidden="false" customHeight="true" outlineLevel="0" collapsed="false">
      <c r="A179" s="31"/>
      <c r="D179" s="32"/>
      <c r="E179" s="33"/>
      <c r="G179" s="34"/>
    </row>
    <row r="180" customFormat="false" ht="15" hidden="false" customHeight="true" outlineLevel="0" collapsed="false">
      <c r="A180" s="31"/>
      <c r="D180" s="32"/>
      <c r="E180" s="33"/>
      <c r="G180" s="34"/>
    </row>
    <row r="181" customFormat="false" ht="15" hidden="false" customHeight="true" outlineLevel="0" collapsed="false">
      <c r="A181" s="31"/>
      <c r="D181" s="32"/>
      <c r="E181" s="33"/>
      <c r="G181" s="34"/>
    </row>
    <row r="182" customFormat="false" ht="15" hidden="false" customHeight="true" outlineLevel="0" collapsed="false">
      <c r="A182" s="31"/>
      <c r="D182" s="32"/>
      <c r="E182" s="33"/>
      <c r="G182" s="34"/>
    </row>
    <row r="183" customFormat="false" ht="15" hidden="false" customHeight="true" outlineLevel="0" collapsed="false">
      <c r="A183" s="31"/>
      <c r="D183" s="32"/>
      <c r="E183" s="33"/>
      <c r="G183" s="34"/>
    </row>
    <row r="184" customFormat="false" ht="15" hidden="false" customHeight="true" outlineLevel="0" collapsed="false">
      <c r="A184" s="31"/>
      <c r="D184" s="32"/>
      <c r="E184" s="33"/>
      <c r="G184" s="34"/>
    </row>
    <row r="185" customFormat="false" ht="15" hidden="false" customHeight="true" outlineLevel="0" collapsed="false">
      <c r="A185" s="31"/>
      <c r="D185" s="32"/>
      <c r="E185" s="33"/>
      <c r="G185" s="34"/>
    </row>
    <row r="186" customFormat="false" ht="15" hidden="false" customHeight="true" outlineLevel="0" collapsed="false">
      <c r="A186" s="31"/>
      <c r="D186" s="32"/>
      <c r="E186" s="33"/>
      <c r="G186" s="34"/>
    </row>
    <row r="187" customFormat="false" ht="15" hidden="false" customHeight="true" outlineLevel="0" collapsed="false">
      <c r="A187" s="31"/>
      <c r="D187" s="32"/>
      <c r="E187" s="33"/>
      <c r="G187" s="34"/>
    </row>
    <row r="188" customFormat="false" ht="15" hidden="false" customHeight="true" outlineLevel="0" collapsed="false">
      <c r="A188" s="31"/>
      <c r="D188" s="32"/>
      <c r="E188" s="33"/>
      <c r="G188" s="34"/>
    </row>
    <row r="189" customFormat="false" ht="15" hidden="false" customHeight="true" outlineLevel="0" collapsed="false">
      <c r="A189" s="31"/>
      <c r="D189" s="32"/>
      <c r="E189" s="33"/>
      <c r="G189" s="34"/>
    </row>
    <row r="190" customFormat="false" ht="15" hidden="false" customHeight="true" outlineLevel="0" collapsed="false">
      <c r="A190" s="31"/>
      <c r="D190" s="32"/>
      <c r="E190" s="33"/>
      <c r="G190" s="34"/>
    </row>
    <row r="191" customFormat="false" ht="15" hidden="false" customHeight="true" outlineLevel="0" collapsed="false">
      <c r="A191" s="31"/>
      <c r="D191" s="32"/>
      <c r="E191" s="33"/>
      <c r="G191" s="34"/>
    </row>
    <row r="192" customFormat="false" ht="15" hidden="false" customHeight="true" outlineLevel="0" collapsed="false">
      <c r="A192" s="31"/>
      <c r="D192" s="32"/>
      <c r="E192" s="33"/>
      <c r="G192" s="34"/>
    </row>
    <row r="193" customFormat="false" ht="15" hidden="false" customHeight="true" outlineLevel="0" collapsed="false">
      <c r="A193" s="31"/>
      <c r="D193" s="32"/>
      <c r="E193" s="33"/>
      <c r="G193" s="34"/>
    </row>
    <row r="194" customFormat="false" ht="15" hidden="false" customHeight="true" outlineLevel="0" collapsed="false">
      <c r="A194" s="31"/>
      <c r="D194" s="32"/>
      <c r="E194" s="33"/>
      <c r="G194" s="34"/>
    </row>
    <row r="195" customFormat="false" ht="15" hidden="false" customHeight="true" outlineLevel="0" collapsed="false">
      <c r="A195" s="31"/>
      <c r="D195" s="32"/>
      <c r="E195" s="33"/>
      <c r="G195" s="34"/>
    </row>
    <row r="196" customFormat="false" ht="15" hidden="false" customHeight="true" outlineLevel="0" collapsed="false">
      <c r="A196" s="31"/>
      <c r="D196" s="32"/>
      <c r="E196" s="33"/>
      <c r="G196" s="34"/>
    </row>
    <row r="197" customFormat="false" ht="15" hidden="false" customHeight="true" outlineLevel="0" collapsed="false">
      <c r="A197" s="31"/>
      <c r="D197" s="32"/>
      <c r="E197" s="33"/>
      <c r="G197" s="34"/>
    </row>
    <row r="198" customFormat="false" ht="15" hidden="false" customHeight="true" outlineLevel="0" collapsed="false">
      <c r="A198" s="31"/>
      <c r="D198" s="32"/>
      <c r="E198" s="33"/>
      <c r="G198" s="34"/>
    </row>
    <row r="199" customFormat="false" ht="15" hidden="false" customHeight="true" outlineLevel="0" collapsed="false">
      <c r="A199" s="31"/>
      <c r="D199" s="32"/>
      <c r="E199" s="33"/>
      <c r="G199" s="34"/>
    </row>
    <row r="200" customFormat="false" ht="15" hidden="false" customHeight="true" outlineLevel="0" collapsed="false">
      <c r="A200" s="31"/>
      <c r="D200" s="32"/>
      <c r="E200" s="33"/>
      <c r="G200" s="34"/>
    </row>
    <row r="201" customFormat="false" ht="15" hidden="false" customHeight="true" outlineLevel="0" collapsed="false">
      <c r="A201" s="31"/>
      <c r="D201" s="32"/>
      <c r="E201" s="33"/>
      <c r="G201" s="34"/>
    </row>
    <row r="202" customFormat="false" ht="15" hidden="false" customHeight="true" outlineLevel="0" collapsed="false">
      <c r="A202" s="31"/>
      <c r="D202" s="32"/>
      <c r="E202" s="33"/>
      <c r="G202" s="34"/>
    </row>
    <row r="203" customFormat="false" ht="15" hidden="false" customHeight="true" outlineLevel="0" collapsed="false">
      <c r="A203" s="31"/>
      <c r="D203" s="32"/>
      <c r="E203" s="33"/>
      <c r="G203" s="34"/>
    </row>
    <row r="204" customFormat="false" ht="15" hidden="false" customHeight="true" outlineLevel="0" collapsed="false">
      <c r="A204" s="31"/>
      <c r="D204" s="32"/>
      <c r="E204" s="33"/>
      <c r="G204" s="34"/>
    </row>
    <row r="205" customFormat="false" ht="15" hidden="false" customHeight="true" outlineLevel="0" collapsed="false">
      <c r="A205" s="31"/>
      <c r="D205" s="32"/>
      <c r="E205" s="33"/>
      <c r="G205" s="34"/>
    </row>
    <row r="206" customFormat="false" ht="15" hidden="false" customHeight="true" outlineLevel="0" collapsed="false">
      <c r="A206" s="31"/>
      <c r="D206" s="32"/>
      <c r="E206" s="33"/>
      <c r="G206" s="34"/>
    </row>
    <row r="207" customFormat="false" ht="15" hidden="false" customHeight="true" outlineLevel="0" collapsed="false">
      <c r="A207" s="31"/>
      <c r="D207" s="32"/>
      <c r="E207" s="33"/>
      <c r="G207" s="34"/>
    </row>
    <row r="208" customFormat="false" ht="15" hidden="false" customHeight="true" outlineLevel="0" collapsed="false">
      <c r="A208" s="31"/>
      <c r="D208" s="32"/>
      <c r="E208" s="33"/>
      <c r="G208" s="34"/>
    </row>
    <row r="209" customFormat="false" ht="15" hidden="false" customHeight="true" outlineLevel="0" collapsed="false">
      <c r="A209" s="31"/>
      <c r="D209" s="32"/>
      <c r="E209" s="33"/>
      <c r="G209" s="34"/>
    </row>
    <row r="210" customFormat="false" ht="15" hidden="false" customHeight="true" outlineLevel="0" collapsed="false">
      <c r="A210" s="31"/>
      <c r="D210" s="32"/>
      <c r="E210" s="33"/>
      <c r="G210" s="34"/>
    </row>
    <row r="211" customFormat="false" ht="15" hidden="false" customHeight="true" outlineLevel="0" collapsed="false">
      <c r="A211" s="31"/>
      <c r="D211" s="32"/>
      <c r="E211" s="33"/>
      <c r="G211" s="34"/>
    </row>
    <row r="212" customFormat="false" ht="15" hidden="false" customHeight="true" outlineLevel="0" collapsed="false">
      <c r="A212" s="31"/>
      <c r="D212" s="32"/>
      <c r="E212" s="33"/>
      <c r="G212" s="34"/>
    </row>
    <row r="213" customFormat="false" ht="15" hidden="false" customHeight="true" outlineLevel="0" collapsed="false">
      <c r="A213" s="31"/>
      <c r="D213" s="32"/>
      <c r="E213" s="33"/>
      <c r="G213" s="34"/>
    </row>
    <row r="214" customFormat="false" ht="15" hidden="false" customHeight="true" outlineLevel="0" collapsed="false">
      <c r="A214" s="31"/>
      <c r="D214" s="32"/>
      <c r="E214" s="33"/>
      <c r="G214" s="34"/>
    </row>
    <row r="215" customFormat="false" ht="15" hidden="false" customHeight="true" outlineLevel="0" collapsed="false">
      <c r="A215" s="31"/>
      <c r="D215" s="32"/>
      <c r="E215" s="33"/>
      <c r="G215" s="34"/>
    </row>
    <row r="216" customFormat="false" ht="15" hidden="false" customHeight="true" outlineLevel="0" collapsed="false">
      <c r="A216" s="31"/>
      <c r="D216" s="32"/>
      <c r="E216" s="33"/>
      <c r="G216" s="34"/>
    </row>
    <row r="217" customFormat="false" ht="15" hidden="false" customHeight="true" outlineLevel="0" collapsed="false">
      <c r="A217" s="31"/>
      <c r="D217" s="32"/>
      <c r="E217" s="33"/>
      <c r="G217" s="34"/>
    </row>
    <row r="218" customFormat="false" ht="15" hidden="false" customHeight="true" outlineLevel="0" collapsed="false">
      <c r="A218" s="31"/>
      <c r="D218" s="32"/>
      <c r="E218" s="33"/>
      <c r="G218" s="34"/>
    </row>
    <row r="219" customFormat="false" ht="15" hidden="false" customHeight="true" outlineLevel="0" collapsed="false">
      <c r="A219" s="31"/>
      <c r="D219" s="32"/>
      <c r="E219" s="33"/>
      <c r="G219" s="34"/>
    </row>
    <row r="220" customFormat="false" ht="15" hidden="false" customHeight="true" outlineLevel="0" collapsed="false">
      <c r="A220" s="31"/>
      <c r="D220" s="32"/>
      <c r="E220" s="33"/>
      <c r="G220" s="34"/>
    </row>
    <row r="221" customFormat="false" ht="15" hidden="false" customHeight="true" outlineLevel="0" collapsed="false">
      <c r="A221" s="31"/>
      <c r="D221" s="32"/>
      <c r="E221" s="33"/>
      <c r="G221" s="34"/>
    </row>
    <row r="222" customFormat="false" ht="15" hidden="false" customHeight="true" outlineLevel="0" collapsed="false">
      <c r="A222" s="31"/>
      <c r="D222" s="32"/>
      <c r="E222" s="33"/>
      <c r="G222" s="34"/>
    </row>
    <row r="223" customFormat="false" ht="15" hidden="false" customHeight="true" outlineLevel="0" collapsed="false">
      <c r="A223" s="31"/>
      <c r="D223" s="32"/>
      <c r="E223" s="33"/>
      <c r="G223" s="34"/>
    </row>
    <row r="224" customFormat="false" ht="15" hidden="false" customHeight="true" outlineLevel="0" collapsed="false">
      <c r="A224" s="31"/>
      <c r="D224" s="32"/>
      <c r="E224" s="33"/>
      <c r="G224" s="34"/>
    </row>
    <row r="225" customFormat="false" ht="15" hidden="false" customHeight="true" outlineLevel="0" collapsed="false">
      <c r="A225" s="31"/>
      <c r="D225" s="32"/>
      <c r="E225" s="33"/>
      <c r="G225" s="34"/>
    </row>
    <row r="226" customFormat="false" ht="15" hidden="false" customHeight="true" outlineLevel="0" collapsed="false">
      <c r="A226" s="31"/>
      <c r="D226" s="32"/>
      <c r="E226" s="33"/>
      <c r="G226" s="34"/>
    </row>
    <row r="227" customFormat="false" ht="15" hidden="false" customHeight="true" outlineLevel="0" collapsed="false">
      <c r="A227" s="31"/>
      <c r="D227" s="32"/>
      <c r="E227" s="33"/>
      <c r="G227" s="34"/>
    </row>
    <row r="228" customFormat="false" ht="15" hidden="false" customHeight="true" outlineLevel="0" collapsed="false">
      <c r="A228" s="31"/>
      <c r="D228" s="32"/>
      <c r="E228" s="33"/>
      <c r="G228" s="34"/>
    </row>
    <row r="229" customFormat="false" ht="15" hidden="false" customHeight="true" outlineLevel="0" collapsed="false">
      <c r="A229" s="31"/>
      <c r="D229" s="32"/>
      <c r="E229" s="33"/>
      <c r="G229" s="34"/>
    </row>
    <row r="230" customFormat="false" ht="15" hidden="false" customHeight="true" outlineLevel="0" collapsed="false">
      <c r="A230" s="31"/>
      <c r="D230" s="32"/>
      <c r="E230" s="33"/>
      <c r="G230" s="34"/>
    </row>
    <row r="231" customFormat="false" ht="15" hidden="false" customHeight="true" outlineLevel="0" collapsed="false">
      <c r="A231" s="31"/>
      <c r="D231" s="32"/>
      <c r="E231" s="33"/>
      <c r="G231" s="34"/>
    </row>
    <row r="232" customFormat="false" ht="15" hidden="false" customHeight="true" outlineLevel="0" collapsed="false">
      <c r="A232" s="31"/>
      <c r="D232" s="32"/>
      <c r="E232" s="33"/>
      <c r="G232" s="34"/>
    </row>
    <row r="233" customFormat="false" ht="15" hidden="false" customHeight="true" outlineLevel="0" collapsed="false">
      <c r="A233" s="31"/>
      <c r="D233" s="32"/>
      <c r="E233" s="33"/>
      <c r="G233" s="34"/>
    </row>
    <row r="234" customFormat="false" ht="15" hidden="false" customHeight="true" outlineLevel="0" collapsed="false">
      <c r="A234" s="31"/>
      <c r="D234" s="32"/>
      <c r="E234" s="33"/>
      <c r="G234" s="34"/>
    </row>
    <row r="235" customFormat="false" ht="15" hidden="false" customHeight="true" outlineLevel="0" collapsed="false">
      <c r="A235" s="31"/>
      <c r="D235" s="32"/>
      <c r="E235" s="33"/>
      <c r="G235" s="34"/>
    </row>
    <row r="236" customFormat="false" ht="15" hidden="false" customHeight="true" outlineLevel="0" collapsed="false">
      <c r="A236" s="31"/>
      <c r="D236" s="32"/>
      <c r="E236" s="33"/>
      <c r="G236" s="34"/>
    </row>
    <row r="237" customFormat="false" ht="15" hidden="false" customHeight="true" outlineLevel="0" collapsed="false">
      <c r="A237" s="31"/>
      <c r="D237" s="32"/>
      <c r="E237" s="33"/>
      <c r="G237" s="34"/>
    </row>
    <row r="238" customFormat="false" ht="15" hidden="false" customHeight="true" outlineLevel="0" collapsed="false">
      <c r="A238" s="31"/>
      <c r="D238" s="32"/>
      <c r="E238" s="33"/>
      <c r="G238" s="34"/>
    </row>
    <row r="239" customFormat="false" ht="15" hidden="false" customHeight="true" outlineLevel="0" collapsed="false">
      <c r="A239" s="31"/>
      <c r="D239" s="32"/>
      <c r="E239" s="33"/>
      <c r="G239" s="34"/>
    </row>
    <row r="240" customFormat="false" ht="15" hidden="false" customHeight="true" outlineLevel="0" collapsed="false">
      <c r="A240" s="31"/>
      <c r="D240" s="32"/>
      <c r="E240" s="33"/>
      <c r="G240" s="34"/>
    </row>
    <row r="241" customFormat="false" ht="15" hidden="false" customHeight="true" outlineLevel="0" collapsed="false">
      <c r="A241" s="31"/>
      <c r="D241" s="32"/>
      <c r="E241" s="33"/>
      <c r="G241" s="34"/>
    </row>
    <row r="242" customFormat="false" ht="15" hidden="false" customHeight="true" outlineLevel="0" collapsed="false">
      <c r="A242" s="31"/>
      <c r="D242" s="32"/>
      <c r="E242" s="33"/>
      <c r="G242" s="34"/>
    </row>
    <row r="243" customFormat="false" ht="15" hidden="false" customHeight="true" outlineLevel="0" collapsed="false">
      <c r="A243" s="31"/>
      <c r="D243" s="32"/>
      <c r="E243" s="33"/>
      <c r="G243" s="34"/>
    </row>
    <row r="244" customFormat="false" ht="15" hidden="false" customHeight="true" outlineLevel="0" collapsed="false">
      <c r="A244" s="31"/>
      <c r="D244" s="32"/>
      <c r="E244" s="33"/>
      <c r="G244" s="34"/>
    </row>
    <row r="245" customFormat="false" ht="15" hidden="false" customHeight="true" outlineLevel="0" collapsed="false">
      <c r="A245" s="31"/>
      <c r="D245" s="32"/>
      <c r="E245" s="33"/>
      <c r="G245" s="34"/>
    </row>
    <row r="246" customFormat="false" ht="15" hidden="false" customHeight="true" outlineLevel="0" collapsed="false">
      <c r="A246" s="31"/>
      <c r="D246" s="32"/>
      <c r="E246" s="33"/>
      <c r="G246" s="34"/>
    </row>
    <row r="247" customFormat="false" ht="15" hidden="false" customHeight="true" outlineLevel="0" collapsed="false">
      <c r="A247" s="31"/>
      <c r="D247" s="32"/>
      <c r="E247" s="33"/>
      <c r="G247" s="34"/>
    </row>
    <row r="248" customFormat="false" ht="15" hidden="false" customHeight="true" outlineLevel="0" collapsed="false">
      <c r="A248" s="31"/>
      <c r="D248" s="32"/>
      <c r="E248" s="33"/>
      <c r="G248" s="34"/>
    </row>
    <row r="249" customFormat="false" ht="15" hidden="false" customHeight="true" outlineLevel="0" collapsed="false">
      <c r="A249" s="31"/>
      <c r="D249" s="32"/>
      <c r="E249" s="33"/>
      <c r="G249" s="34"/>
    </row>
    <row r="250" customFormat="false" ht="15" hidden="false" customHeight="true" outlineLevel="0" collapsed="false">
      <c r="A250" s="31"/>
      <c r="D250" s="32"/>
      <c r="E250" s="33"/>
      <c r="G250" s="34"/>
    </row>
    <row r="251" customFormat="false" ht="15" hidden="false" customHeight="true" outlineLevel="0" collapsed="false">
      <c r="A251" s="31"/>
      <c r="D251" s="32"/>
      <c r="E251" s="33"/>
      <c r="G251" s="34"/>
    </row>
    <row r="252" customFormat="false" ht="15" hidden="false" customHeight="true" outlineLevel="0" collapsed="false">
      <c r="A252" s="31"/>
      <c r="D252" s="32"/>
      <c r="E252" s="33"/>
      <c r="G252" s="34"/>
    </row>
    <row r="253" customFormat="false" ht="15" hidden="false" customHeight="true" outlineLevel="0" collapsed="false">
      <c r="A253" s="31"/>
      <c r="D253" s="32"/>
      <c r="E253" s="33"/>
      <c r="G253" s="34"/>
    </row>
    <row r="254" customFormat="false" ht="15" hidden="false" customHeight="true" outlineLevel="0" collapsed="false">
      <c r="A254" s="31"/>
      <c r="D254" s="32"/>
      <c r="E254" s="33"/>
      <c r="G254" s="34"/>
    </row>
    <row r="255" customFormat="false" ht="15" hidden="false" customHeight="true" outlineLevel="0" collapsed="false">
      <c r="A255" s="31"/>
      <c r="D255" s="32"/>
      <c r="E255" s="33"/>
      <c r="G255" s="34"/>
    </row>
    <row r="256" customFormat="false" ht="15" hidden="false" customHeight="true" outlineLevel="0" collapsed="false">
      <c r="A256" s="31"/>
      <c r="D256" s="32"/>
      <c r="E256" s="33"/>
      <c r="G256" s="34"/>
    </row>
    <row r="257" customFormat="false" ht="15" hidden="false" customHeight="true" outlineLevel="0" collapsed="false">
      <c r="A257" s="31"/>
      <c r="D257" s="32"/>
      <c r="E257" s="33"/>
      <c r="G257" s="34"/>
    </row>
    <row r="258" customFormat="false" ht="15" hidden="false" customHeight="true" outlineLevel="0" collapsed="false">
      <c r="A258" s="31"/>
      <c r="D258" s="32"/>
      <c r="E258" s="33"/>
      <c r="G258" s="34"/>
    </row>
    <row r="259" customFormat="false" ht="15" hidden="false" customHeight="true" outlineLevel="0" collapsed="false">
      <c r="A259" s="31"/>
      <c r="D259" s="32"/>
      <c r="E259" s="33"/>
      <c r="G259" s="34"/>
    </row>
    <row r="260" customFormat="false" ht="15" hidden="false" customHeight="true" outlineLevel="0" collapsed="false">
      <c r="A260" s="31"/>
      <c r="D260" s="32"/>
      <c r="E260" s="33"/>
      <c r="G260" s="34"/>
    </row>
    <row r="261" customFormat="false" ht="15" hidden="false" customHeight="true" outlineLevel="0" collapsed="false">
      <c r="A261" s="31"/>
      <c r="D261" s="32"/>
      <c r="E261" s="33"/>
      <c r="G261" s="34"/>
    </row>
    <row r="262" customFormat="false" ht="15" hidden="false" customHeight="true" outlineLevel="0" collapsed="false">
      <c r="A262" s="31"/>
      <c r="D262" s="32"/>
      <c r="E262" s="33"/>
      <c r="G262" s="34"/>
    </row>
    <row r="263" customFormat="false" ht="15" hidden="false" customHeight="true" outlineLevel="0" collapsed="false">
      <c r="A263" s="31"/>
      <c r="D263" s="32"/>
      <c r="E263" s="33"/>
      <c r="G263" s="34"/>
    </row>
    <row r="264" customFormat="false" ht="15" hidden="false" customHeight="true" outlineLevel="0" collapsed="false">
      <c r="A264" s="31"/>
      <c r="D264" s="32"/>
      <c r="E264" s="33"/>
      <c r="G264" s="34"/>
    </row>
    <row r="265" customFormat="false" ht="15" hidden="false" customHeight="true" outlineLevel="0" collapsed="false">
      <c r="A265" s="31"/>
      <c r="D265" s="32"/>
      <c r="E265" s="33"/>
      <c r="G265" s="34"/>
    </row>
    <row r="266" customFormat="false" ht="15" hidden="false" customHeight="true" outlineLevel="0" collapsed="false">
      <c r="A266" s="31"/>
      <c r="D266" s="32"/>
      <c r="E266" s="33"/>
      <c r="G266" s="34"/>
    </row>
    <row r="267" customFormat="false" ht="15" hidden="false" customHeight="true" outlineLevel="0" collapsed="false">
      <c r="A267" s="31"/>
      <c r="D267" s="32"/>
      <c r="E267" s="33"/>
      <c r="G267" s="34"/>
    </row>
    <row r="268" customFormat="false" ht="15" hidden="false" customHeight="true" outlineLevel="0" collapsed="false">
      <c r="A268" s="31"/>
      <c r="D268" s="32"/>
      <c r="E268" s="33"/>
      <c r="G268" s="34"/>
    </row>
    <row r="269" customFormat="false" ht="15" hidden="false" customHeight="true" outlineLevel="0" collapsed="false">
      <c r="A269" s="31"/>
      <c r="D269" s="32"/>
      <c r="E269" s="33"/>
      <c r="G269" s="34"/>
    </row>
    <row r="270" customFormat="false" ht="15" hidden="false" customHeight="true" outlineLevel="0" collapsed="false">
      <c r="A270" s="31"/>
      <c r="D270" s="32"/>
      <c r="E270" s="33"/>
      <c r="G270" s="34"/>
    </row>
    <row r="271" customFormat="false" ht="15" hidden="false" customHeight="true" outlineLevel="0" collapsed="false">
      <c r="A271" s="31"/>
      <c r="D271" s="32"/>
      <c r="E271" s="33"/>
      <c r="G271" s="34"/>
    </row>
    <row r="272" customFormat="false" ht="15" hidden="false" customHeight="true" outlineLevel="0" collapsed="false">
      <c r="A272" s="31"/>
      <c r="D272" s="32"/>
      <c r="E272" s="33"/>
      <c r="G272" s="34"/>
    </row>
    <row r="273" customFormat="false" ht="15" hidden="false" customHeight="true" outlineLevel="0" collapsed="false">
      <c r="A273" s="31"/>
      <c r="D273" s="32"/>
      <c r="E273" s="33"/>
      <c r="G273" s="34"/>
    </row>
    <row r="274" customFormat="false" ht="15" hidden="false" customHeight="true" outlineLevel="0" collapsed="false">
      <c r="A274" s="31"/>
      <c r="D274" s="32"/>
      <c r="E274" s="33"/>
      <c r="G274" s="34"/>
    </row>
    <row r="275" customFormat="false" ht="15" hidden="false" customHeight="true" outlineLevel="0" collapsed="false">
      <c r="A275" s="31"/>
      <c r="D275" s="32"/>
      <c r="E275" s="33"/>
      <c r="G275" s="34"/>
    </row>
    <row r="276" customFormat="false" ht="15" hidden="false" customHeight="true" outlineLevel="0" collapsed="false">
      <c r="A276" s="31"/>
      <c r="D276" s="32"/>
      <c r="E276" s="33"/>
      <c r="G276" s="34"/>
    </row>
    <row r="277" customFormat="false" ht="15" hidden="false" customHeight="true" outlineLevel="0" collapsed="false">
      <c r="A277" s="31"/>
      <c r="D277" s="32"/>
      <c r="E277" s="33"/>
      <c r="G277" s="34"/>
    </row>
    <row r="278" customFormat="false" ht="15" hidden="false" customHeight="true" outlineLevel="0" collapsed="false">
      <c r="A278" s="31"/>
      <c r="D278" s="32"/>
      <c r="E278" s="33"/>
      <c r="G278" s="34"/>
    </row>
    <row r="279" customFormat="false" ht="15" hidden="false" customHeight="true" outlineLevel="0" collapsed="false">
      <c r="A279" s="31"/>
      <c r="D279" s="32"/>
      <c r="E279" s="33"/>
      <c r="G279" s="34"/>
    </row>
    <row r="280" customFormat="false" ht="15" hidden="false" customHeight="true" outlineLevel="0" collapsed="false">
      <c r="A280" s="31"/>
      <c r="D280" s="32"/>
      <c r="E280" s="33"/>
      <c r="G280" s="34"/>
    </row>
    <row r="281" customFormat="false" ht="15" hidden="false" customHeight="true" outlineLevel="0" collapsed="false">
      <c r="A281" s="31"/>
      <c r="D281" s="32"/>
      <c r="E281" s="33"/>
      <c r="G281" s="34"/>
    </row>
    <row r="282" customFormat="false" ht="15" hidden="false" customHeight="true" outlineLevel="0" collapsed="false">
      <c r="A282" s="31"/>
      <c r="D282" s="32"/>
      <c r="E282" s="33"/>
      <c r="G282" s="34"/>
    </row>
    <row r="283" customFormat="false" ht="15" hidden="false" customHeight="true" outlineLevel="0" collapsed="false">
      <c r="A283" s="31"/>
      <c r="D283" s="32"/>
      <c r="E283" s="33"/>
      <c r="G283" s="34"/>
    </row>
    <row r="284" customFormat="false" ht="15" hidden="false" customHeight="true" outlineLevel="0" collapsed="false">
      <c r="A284" s="31"/>
      <c r="D284" s="32"/>
      <c r="E284" s="33"/>
      <c r="G284" s="34"/>
    </row>
    <row r="285" customFormat="false" ht="15" hidden="false" customHeight="true" outlineLevel="0" collapsed="false">
      <c r="A285" s="31"/>
      <c r="D285" s="32"/>
      <c r="E285" s="33"/>
      <c r="G285" s="34"/>
    </row>
    <row r="286" customFormat="false" ht="15" hidden="false" customHeight="true" outlineLevel="0" collapsed="false">
      <c r="A286" s="31"/>
      <c r="D286" s="32"/>
      <c r="E286" s="33"/>
      <c r="G286" s="34"/>
    </row>
    <row r="287" customFormat="false" ht="15" hidden="false" customHeight="true" outlineLevel="0" collapsed="false">
      <c r="A287" s="31"/>
      <c r="D287" s="32"/>
      <c r="E287" s="33"/>
      <c r="G287" s="34"/>
    </row>
    <row r="288" customFormat="false" ht="15" hidden="false" customHeight="true" outlineLevel="0" collapsed="false">
      <c r="A288" s="31"/>
      <c r="D288" s="32"/>
      <c r="E288" s="33"/>
      <c r="G288" s="34"/>
    </row>
    <row r="289" customFormat="false" ht="15" hidden="false" customHeight="true" outlineLevel="0" collapsed="false">
      <c r="A289" s="31"/>
      <c r="D289" s="32"/>
      <c r="E289" s="33"/>
      <c r="G289" s="34"/>
    </row>
    <row r="290" customFormat="false" ht="15" hidden="false" customHeight="true" outlineLevel="0" collapsed="false">
      <c r="A290" s="31"/>
      <c r="D290" s="32"/>
      <c r="E290" s="33"/>
      <c r="G290" s="34"/>
    </row>
    <row r="291" customFormat="false" ht="15" hidden="false" customHeight="true" outlineLevel="0" collapsed="false">
      <c r="A291" s="31"/>
      <c r="D291" s="32"/>
      <c r="E291" s="33"/>
      <c r="G291" s="34"/>
    </row>
    <row r="292" customFormat="false" ht="15" hidden="false" customHeight="true" outlineLevel="0" collapsed="false">
      <c r="A292" s="31"/>
      <c r="D292" s="32"/>
      <c r="E292" s="33"/>
      <c r="G292" s="34"/>
    </row>
    <row r="293" customFormat="false" ht="15" hidden="false" customHeight="true" outlineLevel="0" collapsed="false">
      <c r="A293" s="31"/>
      <c r="D293" s="32"/>
      <c r="E293" s="33"/>
      <c r="G293" s="34"/>
    </row>
    <row r="294" customFormat="false" ht="15" hidden="false" customHeight="true" outlineLevel="0" collapsed="false">
      <c r="A294" s="31"/>
      <c r="D294" s="32"/>
      <c r="E294" s="33"/>
      <c r="G294" s="34"/>
    </row>
    <row r="295" customFormat="false" ht="15" hidden="false" customHeight="true" outlineLevel="0" collapsed="false">
      <c r="A295" s="31"/>
      <c r="D295" s="32"/>
      <c r="E295" s="33"/>
      <c r="G295" s="34"/>
    </row>
    <row r="296" customFormat="false" ht="15" hidden="false" customHeight="true" outlineLevel="0" collapsed="false">
      <c r="A296" s="31"/>
      <c r="D296" s="32"/>
      <c r="E296" s="33"/>
      <c r="G296" s="34"/>
    </row>
    <row r="297" customFormat="false" ht="15" hidden="false" customHeight="true" outlineLevel="0" collapsed="false">
      <c r="A297" s="31"/>
      <c r="D297" s="32"/>
      <c r="E297" s="33"/>
      <c r="G297" s="34"/>
    </row>
    <row r="298" customFormat="false" ht="15" hidden="false" customHeight="true" outlineLevel="0" collapsed="false">
      <c r="A298" s="31"/>
      <c r="D298" s="32"/>
      <c r="E298" s="33"/>
      <c r="G298" s="34"/>
    </row>
    <row r="299" customFormat="false" ht="15" hidden="false" customHeight="true" outlineLevel="0" collapsed="false">
      <c r="A299" s="31"/>
      <c r="D299" s="32"/>
      <c r="E299" s="33"/>
      <c r="G299" s="34"/>
    </row>
    <row r="300" customFormat="false" ht="15" hidden="false" customHeight="true" outlineLevel="0" collapsed="false">
      <c r="A300" s="31"/>
      <c r="D300" s="32"/>
      <c r="E300" s="33"/>
      <c r="G300" s="34"/>
    </row>
    <row r="301" customFormat="false" ht="15" hidden="false" customHeight="true" outlineLevel="0" collapsed="false">
      <c r="A301" s="31"/>
      <c r="D301" s="32"/>
      <c r="E301" s="33"/>
      <c r="G301" s="34"/>
    </row>
    <row r="302" customFormat="false" ht="15" hidden="false" customHeight="true" outlineLevel="0" collapsed="false">
      <c r="A302" s="31"/>
      <c r="D302" s="32"/>
      <c r="E302" s="33"/>
      <c r="G302" s="34"/>
    </row>
    <row r="303" customFormat="false" ht="15" hidden="false" customHeight="true" outlineLevel="0" collapsed="false">
      <c r="A303" s="31"/>
      <c r="D303" s="32"/>
      <c r="E303" s="33"/>
      <c r="G303" s="34"/>
    </row>
    <row r="304" customFormat="false" ht="15" hidden="false" customHeight="true" outlineLevel="0" collapsed="false">
      <c r="A304" s="31"/>
      <c r="D304" s="32"/>
      <c r="E304" s="33"/>
      <c r="G304" s="34"/>
    </row>
    <row r="305" customFormat="false" ht="15" hidden="false" customHeight="true" outlineLevel="0" collapsed="false">
      <c r="A305" s="31"/>
      <c r="D305" s="32"/>
      <c r="E305" s="33"/>
      <c r="G305" s="34"/>
    </row>
    <row r="306" customFormat="false" ht="15" hidden="false" customHeight="true" outlineLevel="0" collapsed="false">
      <c r="A306" s="31"/>
      <c r="D306" s="32"/>
      <c r="E306" s="33"/>
      <c r="G306" s="34"/>
    </row>
    <row r="307" customFormat="false" ht="15" hidden="false" customHeight="true" outlineLevel="0" collapsed="false">
      <c r="A307" s="31"/>
      <c r="D307" s="32"/>
      <c r="E307" s="33"/>
      <c r="G307" s="34"/>
    </row>
    <row r="308" customFormat="false" ht="15" hidden="false" customHeight="true" outlineLevel="0" collapsed="false">
      <c r="A308" s="31"/>
      <c r="D308" s="32"/>
      <c r="E308" s="33"/>
      <c r="G308" s="34"/>
    </row>
    <row r="309" customFormat="false" ht="15" hidden="false" customHeight="true" outlineLevel="0" collapsed="false">
      <c r="A309" s="31"/>
      <c r="D309" s="32"/>
      <c r="E309" s="33"/>
      <c r="G309" s="34"/>
    </row>
    <row r="310" customFormat="false" ht="15" hidden="false" customHeight="true" outlineLevel="0" collapsed="false">
      <c r="A310" s="31"/>
      <c r="D310" s="32"/>
      <c r="E310" s="33"/>
      <c r="G310" s="34"/>
    </row>
    <row r="311" customFormat="false" ht="15" hidden="false" customHeight="true" outlineLevel="0" collapsed="false">
      <c r="A311" s="31"/>
      <c r="D311" s="32"/>
      <c r="E311" s="33"/>
      <c r="G311" s="34"/>
    </row>
    <row r="312" customFormat="false" ht="15" hidden="false" customHeight="true" outlineLevel="0" collapsed="false">
      <c r="A312" s="31"/>
      <c r="D312" s="32"/>
      <c r="E312" s="33"/>
      <c r="G312" s="34"/>
    </row>
    <row r="313" customFormat="false" ht="15" hidden="false" customHeight="true" outlineLevel="0" collapsed="false">
      <c r="A313" s="31"/>
      <c r="D313" s="32"/>
      <c r="E313" s="33"/>
      <c r="G313" s="34"/>
    </row>
    <row r="314" customFormat="false" ht="15" hidden="false" customHeight="true" outlineLevel="0" collapsed="false">
      <c r="A314" s="31"/>
      <c r="D314" s="32"/>
      <c r="E314" s="33"/>
      <c r="G314" s="34"/>
    </row>
    <row r="315" customFormat="false" ht="15" hidden="false" customHeight="true" outlineLevel="0" collapsed="false">
      <c r="A315" s="31"/>
      <c r="D315" s="32"/>
      <c r="E315" s="33"/>
      <c r="G315" s="34"/>
    </row>
    <row r="316" customFormat="false" ht="15" hidden="false" customHeight="true" outlineLevel="0" collapsed="false">
      <c r="A316" s="31"/>
      <c r="D316" s="32"/>
      <c r="E316" s="33"/>
      <c r="G316" s="34"/>
    </row>
    <row r="317" customFormat="false" ht="15" hidden="false" customHeight="true" outlineLevel="0" collapsed="false">
      <c r="A317" s="31"/>
      <c r="D317" s="32"/>
      <c r="E317" s="33"/>
      <c r="G317" s="34"/>
    </row>
    <row r="318" customFormat="false" ht="15" hidden="false" customHeight="true" outlineLevel="0" collapsed="false">
      <c r="A318" s="31"/>
      <c r="D318" s="32"/>
      <c r="E318" s="33"/>
      <c r="G318" s="34"/>
    </row>
    <row r="319" customFormat="false" ht="15" hidden="false" customHeight="true" outlineLevel="0" collapsed="false">
      <c r="A319" s="31"/>
      <c r="D319" s="32"/>
      <c r="E319" s="33"/>
      <c r="G319" s="34"/>
    </row>
    <row r="320" customFormat="false" ht="15" hidden="false" customHeight="true" outlineLevel="0" collapsed="false">
      <c r="A320" s="31"/>
      <c r="D320" s="32"/>
      <c r="E320" s="33"/>
      <c r="G320" s="34"/>
    </row>
    <row r="321" customFormat="false" ht="15" hidden="false" customHeight="true" outlineLevel="0" collapsed="false">
      <c r="A321" s="31"/>
      <c r="D321" s="32"/>
      <c r="E321" s="33"/>
      <c r="G321" s="34"/>
    </row>
    <row r="322" customFormat="false" ht="15" hidden="false" customHeight="true" outlineLevel="0" collapsed="false">
      <c r="A322" s="31"/>
      <c r="D322" s="32"/>
      <c r="E322" s="33"/>
      <c r="G322" s="34"/>
    </row>
    <row r="323" customFormat="false" ht="15" hidden="false" customHeight="true" outlineLevel="0" collapsed="false">
      <c r="A323" s="31"/>
      <c r="D323" s="32"/>
      <c r="E323" s="33"/>
      <c r="G323" s="34"/>
    </row>
    <row r="324" customFormat="false" ht="15" hidden="false" customHeight="true" outlineLevel="0" collapsed="false">
      <c r="A324" s="31"/>
      <c r="D324" s="32"/>
      <c r="E324" s="33"/>
      <c r="G324" s="34"/>
    </row>
    <row r="325" customFormat="false" ht="15" hidden="false" customHeight="true" outlineLevel="0" collapsed="false">
      <c r="A325" s="31"/>
      <c r="D325" s="32"/>
      <c r="E325" s="33"/>
      <c r="G325" s="34"/>
    </row>
    <row r="326" customFormat="false" ht="15" hidden="false" customHeight="true" outlineLevel="0" collapsed="false">
      <c r="A326" s="31"/>
      <c r="D326" s="32"/>
      <c r="E326" s="33"/>
      <c r="G326" s="34"/>
    </row>
    <row r="327" customFormat="false" ht="15" hidden="false" customHeight="true" outlineLevel="0" collapsed="false">
      <c r="A327" s="31"/>
      <c r="D327" s="32"/>
      <c r="E327" s="33"/>
      <c r="G327" s="34"/>
    </row>
    <row r="328" customFormat="false" ht="15" hidden="false" customHeight="true" outlineLevel="0" collapsed="false">
      <c r="A328" s="31"/>
      <c r="D328" s="32"/>
      <c r="E328" s="33"/>
      <c r="G328" s="34"/>
    </row>
    <row r="329" customFormat="false" ht="15" hidden="false" customHeight="true" outlineLevel="0" collapsed="false">
      <c r="A329" s="31"/>
      <c r="D329" s="32"/>
      <c r="E329" s="33"/>
      <c r="G329" s="34"/>
    </row>
    <row r="330" customFormat="false" ht="15" hidden="false" customHeight="true" outlineLevel="0" collapsed="false">
      <c r="A330" s="31"/>
      <c r="D330" s="32"/>
      <c r="E330" s="33"/>
      <c r="G330" s="34"/>
    </row>
    <row r="331" customFormat="false" ht="15" hidden="false" customHeight="true" outlineLevel="0" collapsed="false">
      <c r="A331" s="31"/>
      <c r="D331" s="32"/>
      <c r="E331" s="33"/>
      <c r="G331" s="34"/>
    </row>
    <row r="332" customFormat="false" ht="15" hidden="false" customHeight="true" outlineLevel="0" collapsed="false">
      <c r="A332" s="31"/>
      <c r="D332" s="32"/>
      <c r="E332" s="33"/>
      <c r="G332" s="34"/>
    </row>
    <row r="333" customFormat="false" ht="15" hidden="false" customHeight="true" outlineLevel="0" collapsed="false">
      <c r="A333" s="31"/>
      <c r="D333" s="32"/>
      <c r="E333" s="33"/>
      <c r="G333" s="34"/>
    </row>
    <row r="334" customFormat="false" ht="15" hidden="false" customHeight="true" outlineLevel="0" collapsed="false">
      <c r="A334" s="31"/>
      <c r="D334" s="32"/>
      <c r="E334" s="33"/>
      <c r="G334" s="34"/>
    </row>
    <row r="335" customFormat="false" ht="15" hidden="false" customHeight="true" outlineLevel="0" collapsed="false">
      <c r="A335" s="31"/>
      <c r="D335" s="32"/>
      <c r="E335" s="33"/>
      <c r="G335" s="34"/>
    </row>
    <row r="336" customFormat="false" ht="15" hidden="false" customHeight="true" outlineLevel="0" collapsed="false">
      <c r="A336" s="31"/>
      <c r="D336" s="32"/>
      <c r="E336" s="33"/>
      <c r="G336" s="34"/>
    </row>
    <row r="337" customFormat="false" ht="15" hidden="false" customHeight="true" outlineLevel="0" collapsed="false">
      <c r="A337" s="31"/>
      <c r="D337" s="32"/>
      <c r="E337" s="33"/>
      <c r="G337" s="34"/>
    </row>
    <row r="338" customFormat="false" ht="15" hidden="false" customHeight="true" outlineLevel="0" collapsed="false">
      <c r="A338" s="31"/>
      <c r="D338" s="32"/>
      <c r="E338" s="33"/>
      <c r="G338" s="34"/>
    </row>
    <row r="339" customFormat="false" ht="15" hidden="false" customHeight="true" outlineLevel="0" collapsed="false">
      <c r="A339" s="31"/>
      <c r="D339" s="32"/>
      <c r="E339" s="33"/>
      <c r="G339" s="34"/>
    </row>
    <row r="340" customFormat="false" ht="15" hidden="false" customHeight="true" outlineLevel="0" collapsed="false">
      <c r="A340" s="31"/>
      <c r="D340" s="32"/>
      <c r="E340" s="33"/>
      <c r="G340" s="34"/>
    </row>
    <row r="341" customFormat="false" ht="15" hidden="false" customHeight="true" outlineLevel="0" collapsed="false">
      <c r="A341" s="31"/>
      <c r="D341" s="32"/>
      <c r="E341" s="33"/>
      <c r="G341" s="34"/>
    </row>
    <row r="342" customFormat="false" ht="15" hidden="false" customHeight="true" outlineLevel="0" collapsed="false">
      <c r="A342" s="31"/>
      <c r="D342" s="32"/>
      <c r="E342" s="33"/>
      <c r="G342" s="34"/>
    </row>
    <row r="343" customFormat="false" ht="15" hidden="false" customHeight="true" outlineLevel="0" collapsed="false">
      <c r="A343" s="31"/>
      <c r="D343" s="32"/>
      <c r="E343" s="33"/>
      <c r="G343" s="34"/>
    </row>
    <row r="344" customFormat="false" ht="15" hidden="false" customHeight="true" outlineLevel="0" collapsed="false">
      <c r="A344" s="31"/>
      <c r="D344" s="32"/>
      <c r="E344" s="33"/>
      <c r="G344" s="34"/>
    </row>
    <row r="345" customFormat="false" ht="15" hidden="false" customHeight="true" outlineLevel="0" collapsed="false">
      <c r="A345" s="31"/>
      <c r="D345" s="32"/>
      <c r="E345" s="33"/>
      <c r="G345" s="34"/>
    </row>
    <row r="346" customFormat="false" ht="15" hidden="false" customHeight="true" outlineLevel="0" collapsed="false">
      <c r="A346" s="31"/>
      <c r="D346" s="32"/>
      <c r="E346" s="33"/>
      <c r="G346" s="34"/>
    </row>
    <row r="347" customFormat="false" ht="15" hidden="false" customHeight="true" outlineLevel="0" collapsed="false">
      <c r="A347" s="31"/>
      <c r="D347" s="32"/>
      <c r="E347" s="33"/>
      <c r="G347" s="34"/>
    </row>
    <row r="348" customFormat="false" ht="15" hidden="false" customHeight="true" outlineLevel="0" collapsed="false">
      <c r="A348" s="31"/>
      <c r="D348" s="32"/>
      <c r="E348" s="33"/>
      <c r="G348" s="34"/>
    </row>
    <row r="349" customFormat="false" ht="15" hidden="false" customHeight="true" outlineLevel="0" collapsed="false">
      <c r="A349" s="31"/>
      <c r="D349" s="32"/>
      <c r="E349" s="33"/>
      <c r="G349" s="34"/>
    </row>
    <row r="350" customFormat="false" ht="15" hidden="false" customHeight="true" outlineLevel="0" collapsed="false">
      <c r="A350" s="31"/>
      <c r="D350" s="32"/>
      <c r="E350" s="33"/>
      <c r="G350" s="34"/>
    </row>
    <row r="351" customFormat="false" ht="15" hidden="false" customHeight="true" outlineLevel="0" collapsed="false">
      <c r="A351" s="31"/>
      <c r="D351" s="32"/>
      <c r="E351" s="33"/>
      <c r="G351" s="34"/>
    </row>
    <row r="352" customFormat="false" ht="15" hidden="false" customHeight="true" outlineLevel="0" collapsed="false">
      <c r="A352" s="31"/>
      <c r="D352" s="32"/>
      <c r="E352" s="33"/>
      <c r="G352" s="34"/>
    </row>
    <row r="353" customFormat="false" ht="15" hidden="false" customHeight="true" outlineLevel="0" collapsed="false">
      <c r="A353" s="31"/>
      <c r="D353" s="32"/>
      <c r="E353" s="33"/>
      <c r="G353" s="34"/>
    </row>
    <row r="354" customFormat="false" ht="15" hidden="false" customHeight="true" outlineLevel="0" collapsed="false">
      <c r="A354" s="31"/>
      <c r="D354" s="32"/>
      <c r="E354" s="33"/>
      <c r="G354" s="34"/>
    </row>
    <row r="355" customFormat="false" ht="15" hidden="false" customHeight="true" outlineLevel="0" collapsed="false">
      <c r="A355" s="31"/>
      <c r="D355" s="32"/>
      <c r="E355" s="33"/>
      <c r="G355" s="34"/>
    </row>
    <row r="356" customFormat="false" ht="15" hidden="false" customHeight="true" outlineLevel="0" collapsed="false">
      <c r="A356" s="31"/>
      <c r="D356" s="32"/>
      <c r="E356" s="33"/>
      <c r="G356" s="34"/>
    </row>
    <row r="357" customFormat="false" ht="15" hidden="false" customHeight="true" outlineLevel="0" collapsed="false">
      <c r="A357" s="31"/>
      <c r="D357" s="32"/>
      <c r="E357" s="33"/>
      <c r="G357" s="34"/>
    </row>
    <row r="358" customFormat="false" ht="15" hidden="false" customHeight="true" outlineLevel="0" collapsed="false">
      <c r="A358" s="31"/>
      <c r="D358" s="32"/>
      <c r="E358" s="33"/>
      <c r="G358" s="34"/>
    </row>
    <row r="359" customFormat="false" ht="15" hidden="false" customHeight="true" outlineLevel="0" collapsed="false">
      <c r="A359" s="31"/>
      <c r="D359" s="32"/>
      <c r="E359" s="33"/>
      <c r="G359" s="34"/>
    </row>
    <row r="360" customFormat="false" ht="15" hidden="false" customHeight="true" outlineLevel="0" collapsed="false">
      <c r="A360" s="31"/>
      <c r="D360" s="32"/>
      <c r="E360" s="33"/>
      <c r="G360" s="34"/>
    </row>
    <row r="361" customFormat="false" ht="15" hidden="false" customHeight="true" outlineLevel="0" collapsed="false">
      <c r="A361" s="31"/>
      <c r="D361" s="32"/>
      <c r="E361" s="33"/>
      <c r="G361" s="34"/>
    </row>
    <row r="362" customFormat="false" ht="15" hidden="false" customHeight="true" outlineLevel="0" collapsed="false">
      <c r="A362" s="31"/>
      <c r="D362" s="32"/>
      <c r="E362" s="33"/>
      <c r="G362" s="34"/>
    </row>
    <row r="363" customFormat="false" ht="15" hidden="false" customHeight="true" outlineLevel="0" collapsed="false">
      <c r="A363" s="31"/>
      <c r="D363" s="32"/>
      <c r="E363" s="33"/>
      <c r="G363" s="34"/>
    </row>
    <row r="364" customFormat="false" ht="15" hidden="false" customHeight="true" outlineLevel="0" collapsed="false">
      <c r="A364" s="31"/>
      <c r="D364" s="32"/>
      <c r="E364" s="33"/>
      <c r="G364" s="34"/>
    </row>
    <row r="365" customFormat="false" ht="15" hidden="false" customHeight="true" outlineLevel="0" collapsed="false">
      <c r="A365" s="31"/>
      <c r="D365" s="32"/>
      <c r="E365" s="33"/>
      <c r="G365" s="34"/>
    </row>
    <row r="366" customFormat="false" ht="15" hidden="false" customHeight="true" outlineLevel="0" collapsed="false">
      <c r="A366" s="31"/>
      <c r="D366" s="32"/>
      <c r="E366" s="33"/>
      <c r="G366" s="34"/>
    </row>
    <row r="367" customFormat="false" ht="15" hidden="false" customHeight="true" outlineLevel="0" collapsed="false">
      <c r="A367" s="31"/>
      <c r="D367" s="32"/>
      <c r="E367" s="33"/>
      <c r="G367" s="34"/>
    </row>
    <row r="368" customFormat="false" ht="15" hidden="false" customHeight="true" outlineLevel="0" collapsed="false">
      <c r="A368" s="31"/>
      <c r="D368" s="32"/>
      <c r="E368" s="33"/>
      <c r="G368" s="34"/>
    </row>
    <row r="369" customFormat="false" ht="15" hidden="false" customHeight="true" outlineLevel="0" collapsed="false">
      <c r="A369" s="31"/>
      <c r="D369" s="32"/>
      <c r="E369" s="33"/>
      <c r="G369" s="34"/>
    </row>
    <row r="370" customFormat="false" ht="15" hidden="false" customHeight="true" outlineLevel="0" collapsed="false">
      <c r="A370" s="31"/>
      <c r="D370" s="32"/>
      <c r="E370" s="33"/>
      <c r="G370" s="34"/>
    </row>
    <row r="371" customFormat="false" ht="15" hidden="false" customHeight="true" outlineLevel="0" collapsed="false">
      <c r="A371" s="31"/>
      <c r="D371" s="32"/>
      <c r="E371" s="33"/>
      <c r="G371" s="34"/>
    </row>
    <row r="372" customFormat="false" ht="15" hidden="false" customHeight="true" outlineLevel="0" collapsed="false">
      <c r="A372" s="31"/>
      <c r="D372" s="32"/>
      <c r="E372" s="33"/>
      <c r="G372" s="34"/>
    </row>
    <row r="373" customFormat="false" ht="15" hidden="false" customHeight="true" outlineLevel="0" collapsed="false">
      <c r="A373" s="31"/>
      <c r="D373" s="32"/>
      <c r="E373" s="33"/>
      <c r="G373" s="34"/>
    </row>
    <row r="374" customFormat="false" ht="15" hidden="false" customHeight="true" outlineLevel="0" collapsed="false">
      <c r="A374" s="31"/>
      <c r="D374" s="32"/>
      <c r="E374" s="33"/>
      <c r="G374" s="34"/>
    </row>
    <row r="375" customFormat="false" ht="15" hidden="false" customHeight="true" outlineLevel="0" collapsed="false">
      <c r="A375" s="31"/>
      <c r="D375" s="32"/>
      <c r="E375" s="33"/>
      <c r="G375" s="34"/>
    </row>
    <row r="376" customFormat="false" ht="15" hidden="false" customHeight="true" outlineLevel="0" collapsed="false">
      <c r="A376" s="31"/>
      <c r="D376" s="32"/>
      <c r="E376" s="33"/>
      <c r="G376" s="34"/>
    </row>
    <row r="377" customFormat="false" ht="15" hidden="false" customHeight="true" outlineLevel="0" collapsed="false">
      <c r="A377" s="31"/>
      <c r="D377" s="32"/>
      <c r="E377" s="33"/>
      <c r="G377" s="34"/>
    </row>
    <row r="378" customFormat="false" ht="15" hidden="false" customHeight="true" outlineLevel="0" collapsed="false">
      <c r="A378" s="31"/>
      <c r="D378" s="32"/>
      <c r="E378" s="33"/>
      <c r="G378" s="34"/>
    </row>
    <row r="379" customFormat="false" ht="15" hidden="false" customHeight="true" outlineLevel="0" collapsed="false">
      <c r="A379" s="31"/>
      <c r="D379" s="32"/>
      <c r="E379" s="33"/>
      <c r="G379" s="34"/>
    </row>
    <row r="380" customFormat="false" ht="15" hidden="false" customHeight="true" outlineLevel="0" collapsed="false">
      <c r="A380" s="31"/>
      <c r="D380" s="32"/>
      <c r="E380" s="33"/>
      <c r="G380" s="34"/>
    </row>
    <row r="381" customFormat="false" ht="15" hidden="false" customHeight="true" outlineLevel="0" collapsed="false">
      <c r="A381" s="31"/>
      <c r="D381" s="32"/>
      <c r="E381" s="33"/>
      <c r="G381" s="34"/>
    </row>
    <row r="382" customFormat="false" ht="15" hidden="false" customHeight="true" outlineLevel="0" collapsed="false">
      <c r="A382" s="31"/>
      <c r="D382" s="32"/>
      <c r="E382" s="33"/>
      <c r="G382" s="34"/>
    </row>
    <row r="383" customFormat="false" ht="15" hidden="false" customHeight="true" outlineLevel="0" collapsed="false">
      <c r="A383" s="31"/>
      <c r="D383" s="32"/>
      <c r="E383" s="33"/>
      <c r="G383" s="34"/>
    </row>
    <row r="384" customFormat="false" ht="15" hidden="false" customHeight="true" outlineLevel="0" collapsed="false">
      <c r="A384" s="31"/>
      <c r="D384" s="32"/>
      <c r="E384" s="33"/>
      <c r="G384" s="34"/>
    </row>
    <row r="385" customFormat="false" ht="15" hidden="false" customHeight="true" outlineLevel="0" collapsed="false">
      <c r="A385" s="31"/>
      <c r="D385" s="32"/>
      <c r="E385" s="33"/>
      <c r="G385" s="34"/>
    </row>
    <row r="386" customFormat="false" ht="15" hidden="false" customHeight="true" outlineLevel="0" collapsed="false">
      <c r="A386" s="31"/>
      <c r="D386" s="32"/>
      <c r="E386" s="33"/>
      <c r="G386" s="34"/>
    </row>
    <row r="387" customFormat="false" ht="15" hidden="false" customHeight="true" outlineLevel="0" collapsed="false">
      <c r="A387" s="31"/>
      <c r="D387" s="32"/>
      <c r="E387" s="33"/>
      <c r="G387" s="34"/>
    </row>
    <row r="388" customFormat="false" ht="15" hidden="false" customHeight="true" outlineLevel="0" collapsed="false">
      <c r="A388" s="31"/>
      <c r="D388" s="32"/>
      <c r="E388" s="33"/>
      <c r="G388" s="34"/>
    </row>
    <row r="389" customFormat="false" ht="15" hidden="false" customHeight="true" outlineLevel="0" collapsed="false">
      <c r="A389" s="31"/>
      <c r="D389" s="32"/>
      <c r="E389" s="33"/>
      <c r="G389" s="34"/>
    </row>
    <row r="390" customFormat="false" ht="15" hidden="false" customHeight="true" outlineLevel="0" collapsed="false">
      <c r="A390" s="31"/>
      <c r="D390" s="32"/>
      <c r="E390" s="33"/>
      <c r="G390" s="34"/>
    </row>
    <row r="391" customFormat="false" ht="15" hidden="false" customHeight="true" outlineLevel="0" collapsed="false">
      <c r="A391" s="31"/>
      <c r="D391" s="32"/>
      <c r="E391" s="33"/>
      <c r="G391" s="34"/>
    </row>
    <row r="392" customFormat="false" ht="15" hidden="false" customHeight="true" outlineLevel="0" collapsed="false">
      <c r="A392" s="31"/>
      <c r="D392" s="32"/>
      <c r="E392" s="33"/>
      <c r="G392" s="34"/>
    </row>
    <row r="393" customFormat="false" ht="15" hidden="false" customHeight="true" outlineLevel="0" collapsed="false">
      <c r="A393" s="31"/>
      <c r="D393" s="32"/>
      <c r="E393" s="33"/>
      <c r="G393" s="34"/>
    </row>
    <row r="394" customFormat="false" ht="15" hidden="false" customHeight="true" outlineLevel="0" collapsed="false">
      <c r="A394" s="31"/>
      <c r="D394" s="32"/>
      <c r="E394" s="33"/>
      <c r="G394" s="34"/>
    </row>
    <row r="395" customFormat="false" ht="15" hidden="false" customHeight="true" outlineLevel="0" collapsed="false">
      <c r="A395" s="31"/>
      <c r="D395" s="32"/>
      <c r="E395" s="33"/>
      <c r="G395" s="34"/>
    </row>
    <row r="396" customFormat="false" ht="15" hidden="false" customHeight="true" outlineLevel="0" collapsed="false">
      <c r="A396" s="31"/>
      <c r="D396" s="32"/>
      <c r="E396" s="33"/>
      <c r="G396" s="34"/>
    </row>
    <row r="397" customFormat="false" ht="15" hidden="false" customHeight="true" outlineLevel="0" collapsed="false">
      <c r="A397" s="31"/>
      <c r="D397" s="32"/>
      <c r="E397" s="33"/>
      <c r="G397" s="34"/>
    </row>
    <row r="398" customFormat="false" ht="15" hidden="false" customHeight="true" outlineLevel="0" collapsed="false">
      <c r="A398" s="31"/>
      <c r="D398" s="32"/>
      <c r="E398" s="33"/>
      <c r="G398" s="34"/>
    </row>
    <row r="399" customFormat="false" ht="15" hidden="false" customHeight="true" outlineLevel="0" collapsed="false">
      <c r="A399" s="31"/>
      <c r="D399" s="32"/>
      <c r="E399" s="33"/>
      <c r="G399" s="34"/>
    </row>
    <row r="400" customFormat="false" ht="15" hidden="false" customHeight="true" outlineLevel="0" collapsed="false">
      <c r="A400" s="31"/>
      <c r="D400" s="32"/>
      <c r="E400" s="33"/>
      <c r="G400" s="34"/>
    </row>
    <row r="401" customFormat="false" ht="15" hidden="false" customHeight="true" outlineLevel="0" collapsed="false">
      <c r="A401" s="31"/>
      <c r="D401" s="32"/>
      <c r="E401" s="33"/>
      <c r="G401" s="34"/>
    </row>
    <row r="402" customFormat="false" ht="15" hidden="false" customHeight="true" outlineLevel="0" collapsed="false">
      <c r="A402" s="31"/>
      <c r="D402" s="32"/>
      <c r="E402" s="33"/>
      <c r="G402" s="34"/>
    </row>
    <row r="403" customFormat="false" ht="15" hidden="false" customHeight="true" outlineLevel="0" collapsed="false">
      <c r="A403" s="31"/>
      <c r="D403" s="32"/>
      <c r="E403" s="33"/>
      <c r="G403" s="34"/>
    </row>
    <row r="404" customFormat="false" ht="15" hidden="false" customHeight="true" outlineLevel="0" collapsed="false">
      <c r="A404" s="31"/>
      <c r="D404" s="32"/>
      <c r="E404" s="33"/>
      <c r="G404" s="34"/>
    </row>
    <row r="405" customFormat="false" ht="15" hidden="false" customHeight="true" outlineLevel="0" collapsed="false">
      <c r="A405" s="31"/>
      <c r="D405" s="32"/>
      <c r="E405" s="33"/>
      <c r="G405" s="34"/>
    </row>
    <row r="406" customFormat="false" ht="15" hidden="false" customHeight="true" outlineLevel="0" collapsed="false">
      <c r="A406" s="31"/>
      <c r="D406" s="32"/>
      <c r="E406" s="33"/>
      <c r="G406" s="34"/>
    </row>
    <row r="407" customFormat="false" ht="15" hidden="false" customHeight="true" outlineLevel="0" collapsed="false">
      <c r="A407" s="31"/>
      <c r="D407" s="32"/>
      <c r="E407" s="33"/>
      <c r="G407" s="34"/>
    </row>
    <row r="408" customFormat="false" ht="15" hidden="false" customHeight="true" outlineLevel="0" collapsed="false">
      <c r="A408" s="31"/>
      <c r="D408" s="32"/>
      <c r="E408" s="33"/>
      <c r="G408" s="34"/>
    </row>
    <row r="409" customFormat="false" ht="15" hidden="false" customHeight="true" outlineLevel="0" collapsed="false">
      <c r="A409" s="31"/>
      <c r="D409" s="32"/>
      <c r="E409" s="33"/>
      <c r="G409" s="34"/>
    </row>
    <row r="410" customFormat="false" ht="15" hidden="false" customHeight="true" outlineLevel="0" collapsed="false">
      <c r="A410" s="31"/>
      <c r="D410" s="32"/>
      <c r="E410" s="33"/>
      <c r="G410" s="34"/>
    </row>
    <row r="411" customFormat="false" ht="15" hidden="false" customHeight="true" outlineLevel="0" collapsed="false">
      <c r="A411" s="31"/>
      <c r="D411" s="32"/>
      <c r="E411" s="33"/>
      <c r="G411" s="34"/>
    </row>
    <row r="412" customFormat="false" ht="15" hidden="false" customHeight="true" outlineLevel="0" collapsed="false">
      <c r="A412" s="31"/>
      <c r="D412" s="32"/>
      <c r="E412" s="33"/>
      <c r="G412" s="34"/>
    </row>
    <row r="413" customFormat="false" ht="15" hidden="false" customHeight="true" outlineLevel="0" collapsed="false">
      <c r="A413" s="31"/>
      <c r="D413" s="32"/>
      <c r="E413" s="33"/>
      <c r="G413" s="34"/>
    </row>
    <row r="414" customFormat="false" ht="15" hidden="false" customHeight="true" outlineLevel="0" collapsed="false">
      <c r="A414" s="31"/>
      <c r="D414" s="32"/>
      <c r="E414" s="33"/>
      <c r="G414" s="34"/>
    </row>
    <row r="415" customFormat="false" ht="15" hidden="false" customHeight="true" outlineLevel="0" collapsed="false">
      <c r="A415" s="31"/>
      <c r="D415" s="32"/>
      <c r="E415" s="33"/>
      <c r="G415" s="34"/>
    </row>
    <row r="416" customFormat="false" ht="15" hidden="false" customHeight="true" outlineLevel="0" collapsed="false">
      <c r="A416" s="31"/>
      <c r="D416" s="32"/>
      <c r="E416" s="33"/>
      <c r="G416" s="34"/>
    </row>
    <row r="417" customFormat="false" ht="15" hidden="false" customHeight="true" outlineLevel="0" collapsed="false">
      <c r="A417" s="31"/>
      <c r="D417" s="32"/>
      <c r="E417" s="33"/>
      <c r="G417" s="34"/>
    </row>
    <row r="418" customFormat="false" ht="15" hidden="false" customHeight="true" outlineLevel="0" collapsed="false">
      <c r="A418" s="31"/>
      <c r="D418" s="32"/>
      <c r="E418" s="33"/>
      <c r="G418" s="34"/>
    </row>
    <row r="419" customFormat="false" ht="15" hidden="false" customHeight="true" outlineLevel="0" collapsed="false">
      <c r="A419" s="31"/>
      <c r="D419" s="32"/>
      <c r="E419" s="33"/>
      <c r="G419" s="34"/>
    </row>
    <row r="420" customFormat="false" ht="15" hidden="false" customHeight="true" outlineLevel="0" collapsed="false">
      <c r="A420" s="31"/>
      <c r="D420" s="32"/>
      <c r="E420" s="33"/>
      <c r="G420" s="34"/>
    </row>
    <row r="421" customFormat="false" ht="15" hidden="false" customHeight="true" outlineLevel="0" collapsed="false">
      <c r="A421" s="31"/>
      <c r="D421" s="32"/>
      <c r="E421" s="33"/>
      <c r="G421" s="34"/>
    </row>
    <row r="422" customFormat="false" ht="15" hidden="false" customHeight="true" outlineLevel="0" collapsed="false">
      <c r="A422" s="31"/>
      <c r="D422" s="32"/>
      <c r="E422" s="33"/>
      <c r="G422" s="34"/>
    </row>
    <row r="423" customFormat="false" ht="15" hidden="false" customHeight="true" outlineLevel="0" collapsed="false">
      <c r="A423" s="31"/>
      <c r="D423" s="32"/>
      <c r="E423" s="33"/>
      <c r="G423" s="34"/>
    </row>
    <row r="424" customFormat="false" ht="15" hidden="false" customHeight="true" outlineLevel="0" collapsed="false">
      <c r="A424" s="31"/>
      <c r="D424" s="32"/>
      <c r="E424" s="33"/>
      <c r="G424" s="34"/>
    </row>
    <row r="425" customFormat="false" ht="15" hidden="false" customHeight="true" outlineLevel="0" collapsed="false">
      <c r="A425" s="31"/>
      <c r="D425" s="32"/>
      <c r="E425" s="33"/>
      <c r="G425" s="34"/>
    </row>
    <row r="426" customFormat="false" ht="15" hidden="false" customHeight="true" outlineLevel="0" collapsed="false">
      <c r="A426" s="31"/>
      <c r="D426" s="32"/>
      <c r="E426" s="33"/>
      <c r="G426" s="34"/>
    </row>
    <row r="427" customFormat="false" ht="15" hidden="false" customHeight="true" outlineLevel="0" collapsed="false">
      <c r="A427" s="31"/>
      <c r="D427" s="32"/>
      <c r="E427" s="33"/>
      <c r="G427" s="34"/>
    </row>
    <row r="428" customFormat="false" ht="15" hidden="false" customHeight="true" outlineLevel="0" collapsed="false">
      <c r="A428" s="31"/>
      <c r="D428" s="32"/>
      <c r="E428" s="33"/>
      <c r="G428" s="34"/>
    </row>
    <row r="429" customFormat="false" ht="15" hidden="false" customHeight="true" outlineLevel="0" collapsed="false">
      <c r="A429" s="31"/>
      <c r="D429" s="32"/>
      <c r="E429" s="33"/>
      <c r="G429" s="34"/>
    </row>
    <row r="430" customFormat="false" ht="15" hidden="false" customHeight="true" outlineLevel="0" collapsed="false">
      <c r="A430" s="31"/>
      <c r="D430" s="32"/>
      <c r="E430" s="33"/>
      <c r="G430" s="34"/>
    </row>
    <row r="431" customFormat="false" ht="15" hidden="false" customHeight="true" outlineLevel="0" collapsed="false">
      <c r="A431" s="31"/>
      <c r="D431" s="32"/>
      <c r="E431" s="33"/>
      <c r="G431" s="34"/>
    </row>
    <row r="432" customFormat="false" ht="15" hidden="false" customHeight="true" outlineLevel="0" collapsed="false">
      <c r="A432" s="31"/>
      <c r="D432" s="32"/>
      <c r="E432" s="33"/>
      <c r="G432" s="34"/>
    </row>
    <row r="433" customFormat="false" ht="15" hidden="false" customHeight="true" outlineLevel="0" collapsed="false">
      <c r="A433" s="31"/>
      <c r="D433" s="32"/>
      <c r="E433" s="33"/>
      <c r="G433" s="34"/>
    </row>
    <row r="434" customFormat="false" ht="15" hidden="false" customHeight="true" outlineLevel="0" collapsed="false">
      <c r="A434" s="31"/>
      <c r="D434" s="32"/>
      <c r="E434" s="33"/>
      <c r="G434" s="34"/>
    </row>
    <row r="435" customFormat="false" ht="15" hidden="false" customHeight="true" outlineLevel="0" collapsed="false">
      <c r="A435" s="31"/>
      <c r="D435" s="32"/>
      <c r="E435" s="33"/>
      <c r="G435" s="34"/>
    </row>
    <row r="436" customFormat="false" ht="15" hidden="false" customHeight="true" outlineLevel="0" collapsed="false">
      <c r="A436" s="31"/>
      <c r="D436" s="32"/>
      <c r="E436" s="33"/>
      <c r="G436" s="34"/>
    </row>
    <row r="437" customFormat="false" ht="15" hidden="false" customHeight="true" outlineLevel="0" collapsed="false">
      <c r="A437" s="31"/>
      <c r="D437" s="32"/>
      <c r="E437" s="33"/>
      <c r="G437" s="34"/>
    </row>
    <row r="438" customFormat="false" ht="15" hidden="false" customHeight="true" outlineLevel="0" collapsed="false">
      <c r="A438" s="31"/>
      <c r="D438" s="32"/>
      <c r="E438" s="33"/>
      <c r="G438" s="34"/>
    </row>
    <row r="439" customFormat="false" ht="15" hidden="false" customHeight="true" outlineLevel="0" collapsed="false">
      <c r="A439" s="31"/>
      <c r="D439" s="32"/>
      <c r="E439" s="33"/>
      <c r="G439" s="34"/>
    </row>
    <row r="440" customFormat="false" ht="15" hidden="false" customHeight="true" outlineLevel="0" collapsed="false">
      <c r="A440" s="31"/>
      <c r="D440" s="32"/>
      <c r="E440" s="33"/>
      <c r="G440" s="34"/>
    </row>
    <row r="441" customFormat="false" ht="15" hidden="false" customHeight="true" outlineLevel="0" collapsed="false">
      <c r="A441" s="31"/>
      <c r="D441" s="32"/>
      <c r="E441" s="33"/>
      <c r="G441" s="34"/>
    </row>
    <row r="442" customFormat="false" ht="15" hidden="false" customHeight="true" outlineLevel="0" collapsed="false">
      <c r="A442" s="31"/>
      <c r="D442" s="32"/>
      <c r="E442" s="33"/>
      <c r="G442" s="34"/>
    </row>
    <row r="443" customFormat="false" ht="15" hidden="false" customHeight="true" outlineLevel="0" collapsed="false">
      <c r="A443" s="31"/>
      <c r="D443" s="32"/>
      <c r="E443" s="33"/>
      <c r="G443" s="34"/>
    </row>
    <row r="444" customFormat="false" ht="15" hidden="false" customHeight="true" outlineLevel="0" collapsed="false">
      <c r="A444" s="31"/>
      <c r="D444" s="32"/>
      <c r="E444" s="33"/>
      <c r="G444" s="34"/>
    </row>
    <row r="445" customFormat="false" ht="15" hidden="false" customHeight="true" outlineLevel="0" collapsed="false">
      <c r="A445" s="31"/>
      <c r="D445" s="32"/>
      <c r="E445" s="33"/>
      <c r="G445" s="34"/>
    </row>
    <row r="446" customFormat="false" ht="15" hidden="false" customHeight="true" outlineLevel="0" collapsed="false">
      <c r="A446" s="31"/>
      <c r="D446" s="32"/>
      <c r="E446" s="33"/>
      <c r="G446" s="34"/>
    </row>
    <row r="447" customFormat="false" ht="15" hidden="false" customHeight="true" outlineLevel="0" collapsed="false">
      <c r="A447" s="31"/>
      <c r="D447" s="32"/>
      <c r="E447" s="33"/>
      <c r="G447" s="34"/>
    </row>
    <row r="448" customFormat="false" ht="15" hidden="false" customHeight="true" outlineLevel="0" collapsed="false">
      <c r="A448" s="31"/>
      <c r="D448" s="32"/>
      <c r="E448" s="33"/>
      <c r="G448" s="34"/>
    </row>
    <row r="449" customFormat="false" ht="15" hidden="false" customHeight="true" outlineLevel="0" collapsed="false">
      <c r="A449" s="31"/>
      <c r="D449" s="32"/>
      <c r="E449" s="33"/>
      <c r="G449" s="34"/>
    </row>
    <row r="450" customFormat="false" ht="15" hidden="false" customHeight="true" outlineLevel="0" collapsed="false">
      <c r="A450" s="31"/>
      <c r="D450" s="32"/>
      <c r="E450" s="33"/>
      <c r="G450" s="34"/>
    </row>
    <row r="451" customFormat="false" ht="15" hidden="false" customHeight="true" outlineLevel="0" collapsed="false">
      <c r="A451" s="31"/>
      <c r="D451" s="32"/>
      <c r="E451" s="33"/>
      <c r="G451" s="34"/>
    </row>
    <row r="452" customFormat="false" ht="15" hidden="false" customHeight="true" outlineLevel="0" collapsed="false">
      <c r="A452" s="31"/>
      <c r="D452" s="32"/>
      <c r="E452" s="33"/>
      <c r="G452" s="34"/>
    </row>
    <row r="453" customFormat="false" ht="15" hidden="false" customHeight="true" outlineLevel="0" collapsed="false">
      <c r="A453" s="31"/>
      <c r="D453" s="32"/>
      <c r="E453" s="33"/>
      <c r="G453" s="34"/>
    </row>
    <row r="454" customFormat="false" ht="15" hidden="false" customHeight="true" outlineLevel="0" collapsed="false">
      <c r="A454" s="31"/>
      <c r="D454" s="32"/>
      <c r="E454" s="33"/>
      <c r="G454" s="34"/>
    </row>
    <row r="455" customFormat="false" ht="15" hidden="false" customHeight="true" outlineLevel="0" collapsed="false">
      <c r="A455" s="31"/>
      <c r="D455" s="32"/>
      <c r="E455" s="33"/>
      <c r="G455" s="34"/>
    </row>
    <row r="456" customFormat="false" ht="15" hidden="false" customHeight="true" outlineLevel="0" collapsed="false">
      <c r="A456" s="31"/>
      <c r="D456" s="32"/>
      <c r="E456" s="33"/>
      <c r="G456" s="34"/>
    </row>
    <row r="457" customFormat="false" ht="15" hidden="false" customHeight="true" outlineLevel="0" collapsed="false">
      <c r="A457" s="31"/>
      <c r="D457" s="32"/>
      <c r="E457" s="33"/>
      <c r="G457" s="34"/>
    </row>
    <row r="458" customFormat="false" ht="15" hidden="false" customHeight="true" outlineLevel="0" collapsed="false">
      <c r="A458" s="31"/>
      <c r="D458" s="32"/>
      <c r="E458" s="33"/>
      <c r="G458" s="34"/>
    </row>
    <row r="459" customFormat="false" ht="15" hidden="false" customHeight="true" outlineLevel="0" collapsed="false">
      <c r="A459" s="31"/>
      <c r="D459" s="32"/>
      <c r="E459" s="33"/>
      <c r="G459" s="34"/>
    </row>
    <row r="460" customFormat="false" ht="15" hidden="false" customHeight="true" outlineLevel="0" collapsed="false">
      <c r="A460" s="31"/>
      <c r="D460" s="32"/>
      <c r="E460" s="33"/>
      <c r="G460" s="34"/>
    </row>
    <row r="461" customFormat="false" ht="15" hidden="false" customHeight="true" outlineLevel="0" collapsed="false">
      <c r="A461" s="31"/>
      <c r="D461" s="32"/>
      <c r="E461" s="33"/>
      <c r="G461" s="34"/>
    </row>
    <row r="462" customFormat="false" ht="15" hidden="false" customHeight="true" outlineLevel="0" collapsed="false">
      <c r="A462" s="31"/>
      <c r="D462" s="32"/>
      <c r="E462" s="33"/>
      <c r="G462" s="34"/>
    </row>
    <row r="463" customFormat="false" ht="15" hidden="false" customHeight="true" outlineLevel="0" collapsed="false">
      <c r="A463" s="31"/>
      <c r="D463" s="32"/>
      <c r="E463" s="33"/>
      <c r="G463" s="34"/>
    </row>
    <row r="464" customFormat="false" ht="15" hidden="false" customHeight="true" outlineLevel="0" collapsed="false">
      <c r="A464" s="31"/>
      <c r="D464" s="32"/>
      <c r="E464" s="33"/>
      <c r="G464" s="34"/>
    </row>
    <row r="465" customFormat="false" ht="15" hidden="false" customHeight="true" outlineLevel="0" collapsed="false">
      <c r="A465" s="31"/>
      <c r="D465" s="32"/>
      <c r="E465" s="33"/>
      <c r="G465" s="34"/>
    </row>
    <row r="466" customFormat="false" ht="15" hidden="false" customHeight="true" outlineLevel="0" collapsed="false">
      <c r="A466" s="31"/>
      <c r="D466" s="32"/>
      <c r="E466" s="33"/>
      <c r="G466" s="34"/>
    </row>
    <row r="467" customFormat="false" ht="15" hidden="false" customHeight="true" outlineLevel="0" collapsed="false">
      <c r="A467" s="31"/>
      <c r="D467" s="32"/>
      <c r="E467" s="33"/>
      <c r="G467" s="34"/>
    </row>
    <row r="468" customFormat="false" ht="15" hidden="false" customHeight="true" outlineLevel="0" collapsed="false">
      <c r="A468" s="31"/>
      <c r="D468" s="32"/>
      <c r="E468" s="33"/>
      <c r="G468" s="34"/>
    </row>
    <row r="469" customFormat="false" ht="15" hidden="false" customHeight="true" outlineLevel="0" collapsed="false">
      <c r="A469" s="31"/>
      <c r="D469" s="32"/>
      <c r="E469" s="33"/>
      <c r="G469" s="34"/>
    </row>
    <row r="470" customFormat="false" ht="15" hidden="false" customHeight="true" outlineLevel="0" collapsed="false">
      <c r="A470" s="31"/>
      <c r="D470" s="32"/>
      <c r="E470" s="33"/>
      <c r="G470" s="34"/>
    </row>
    <row r="471" customFormat="false" ht="15" hidden="false" customHeight="true" outlineLevel="0" collapsed="false">
      <c r="A471" s="31"/>
      <c r="D471" s="32"/>
      <c r="E471" s="33"/>
      <c r="G471" s="34"/>
    </row>
    <row r="472" customFormat="false" ht="15" hidden="false" customHeight="true" outlineLevel="0" collapsed="false">
      <c r="A472" s="31"/>
      <c r="D472" s="32"/>
      <c r="E472" s="33"/>
      <c r="G472" s="34"/>
    </row>
    <row r="473" customFormat="false" ht="15" hidden="false" customHeight="true" outlineLevel="0" collapsed="false">
      <c r="A473" s="31"/>
      <c r="D473" s="32"/>
      <c r="E473" s="33"/>
      <c r="G473" s="34"/>
    </row>
    <row r="474" customFormat="false" ht="15" hidden="false" customHeight="true" outlineLevel="0" collapsed="false">
      <c r="A474" s="31"/>
      <c r="D474" s="32"/>
      <c r="E474" s="33"/>
      <c r="G474" s="34"/>
    </row>
    <row r="475" customFormat="false" ht="15" hidden="false" customHeight="true" outlineLevel="0" collapsed="false">
      <c r="A475" s="31"/>
      <c r="D475" s="32"/>
      <c r="E475" s="33"/>
      <c r="G475" s="34"/>
    </row>
    <row r="476" customFormat="false" ht="15" hidden="false" customHeight="true" outlineLevel="0" collapsed="false">
      <c r="A476" s="31"/>
      <c r="D476" s="32"/>
      <c r="E476" s="33"/>
      <c r="G476" s="34"/>
    </row>
    <row r="477" customFormat="false" ht="15" hidden="false" customHeight="true" outlineLevel="0" collapsed="false">
      <c r="A477" s="31"/>
      <c r="D477" s="32"/>
      <c r="E477" s="33"/>
      <c r="G477" s="34"/>
    </row>
    <row r="478" customFormat="false" ht="15" hidden="false" customHeight="true" outlineLevel="0" collapsed="false">
      <c r="A478" s="31"/>
      <c r="D478" s="32"/>
      <c r="E478" s="33"/>
      <c r="G478" s="34"/>
    </row>
    <row r="479" customFormat="false" ht="15" hidden="false" customHeight="true" outlineLevel="0" collapsed="false">
      <c r="A479" s="31"/>
      <c r="D479" s="32"/>
      <c r="E479" s="33"/>
      <c r="G479" s="34"/>
    </row>
    <row r="480" customFormat="false" ht="15" hidden="false" customHeight="true" outlineLevel="0" collapsed="false">
      <c r="A480" s="31"/>
      <c r="D480" s="32"/>
      <c r="E480" s="33"/>
      <c r="G480" s="34"/>
    </row>
    <row r="481" customFormat="false" ht="15" hidden="false" customHeight="true" outlineLevel="0" collapsed="false">
      <c r="A481" s="31"/>
      <c r="D481" s="32"/>
      <c r="E481" s="33"/>
      <c r="G481" s="34"/>
    </row>
    <row r="482" customFormat="false" ht="15" hidden="false" customHeight="true" outlineLevel="0" collapsed="false">
      <c r="A482" s="31"/>
      <c r="D482" s="32"/>
      <c r="E482" s="33"/>
      <c r="G482" s="34"/>
    </row>
    <row r="483" customFormat="false" ht="15" hidden="false" customHeight="true" outlineLevel="0" collapsed="false">
      <c r="A483" s="31"/>
      <c r="D483" s="32"/>
      <c r="E483" s="33"/>
      <c r="G483" s="34"/>
    </row>
    <row r="484" customFormat="false" ht="15" hidden="false" customHeight="true" outlineLevel="0" collapsed="false">
      <c r="A484" s="31"/>
      <c r="D484" s="32"/>
      <c r="E484" s="33"/>
      <c r="G484" s="34"/>
    </row>
    <row r="485" customFormat="false" ht="15" hidden="false" customHeight="true" outlineLevel="0" collapsed="false">
      <c r="A485" s="31"/>
      <c r="D485" s="32"/>
      <c r="E485" s="33"/>
      <c r="G485" s="34"/>
    </row>
    <row r="486" customFormat="false" ht="15" hidden="false" customHeight="true" outlineLevel="0" collapsed="false">
      <c r="A486" s="31"/>
      <c r="D486" s="32"/>
      <c r="E486" s="33"/>
      <c r="G486" s="34"/>
    </row>
    <row r="487" customFormat="false" ht="15" hidden="false" customHeight="true" outlineLevel="0" collapsed="false">
      <c r="A487" s="31"/>
      <c r="D487" s="32"/>
      <c r="E487" s="33"/>
      <c r="G487" s="34"/>
    </row>
    <row r="488" customFormat="false" ht="15" hidden="false" customHeight="true" outlineLevel="0" collapsed="false">
      <c r="A488" s="31"/>
      <c r="D488" s="32"/>
      <c r="E488" s="33"/>
      <c r="G488" s="34"/>
    </row>
    <row r="489" customFormat="false" ht="15" hidden="false" customHeight="true" outlineLevel="0" collapsed="false">
      <c r="A489" s="31"/>
      <c r="D489" s="32"/>
      <c r="E489" s="33"/>
      <c r="G489" s="34"/>
    </row>
    <row r="490" customFormat="false" ht="15" hidden="false" customHeight="true" outlineLevel="0" collapsed="false">
      <c r="A490" s="31"/>
      <c r="D490" s="32"/>
      <c r="E490" s="33"/>
      <c r="G490" s="34"/>
    </row>
    <row r="491" customFormat="false" ht="15" hidden="false" customHeight="true" outlineLevel="0" collapsed="false">
      <c r="A491" s="31"/>
      <c r="D491" s="32"/>
      <c r="E491" s="33"/>
      <c r="G491" s="34"/>
    </row>
    <row r="492" customFormat="false" ht="15" hidden="false" customHeight="true" outlineLevel="0" collapsed="false">
      <c r="A492" s="31"/>
      <c r="D492" s="32"/>
      <c r="E492" s="33"/>
      <c r="G492" s="34"/>
    </row>
    <row r="493" customFormat="false" ht="15" hidden="false" customHeight="true" outlineLevel="0" collapsed="false">
      <c r="A493" s="31"/>
      <c r="D493" s="32"/>
      <c r="E493" s="33"/>
      <c r="G493" s="34"/>
    </row>
    <row r="494" customFormat="false" ht="15" hidden="false" customHeight="true" outlineLevel="0" collapsed="false">
      <c r="A494" s="31"/>
      <c r="D494" s="32"/>
      <c r="E494" s="33"/>
      <c r="G494" s="34"/>
    </row>
    <row r="495" customFormat="false" ht="15" hidden="false" customHeight="true" outlineLevel="0" collapsed="false">
      <c r="A495" s="31"/>
      <c r="D495" s="32"/>
      <c r="E495" s="33"/>
      <c r="G495" s="34"/>
    </row>
    <row r="496" customFormat="false" ht="15" hidden="false" customHeight="true" outlineLevel="0" collapsed="false">
      <c r="A496" s="31"/>
      <c r="D496" s="32"/>
      <c r="E496" s="33"/>
      <c r="G496" s="34"/>
    </row>
    <row r="497" customFormat="false" ht="15" hidden="false" customHeight="true" outlineLevel="0" collapsed="false">
      <c r="A497" s="31"/>
      <c r="D497" s="32"/>
      <c r="E497" s="33"/>
      <c r="G497" s="34"/>
    </row>
    <row r="498" customFormat="false" ht="15" hidden="false" customHeight="true" outlineLevel="0" collapsed="false">
      <c r="A498" s="31"/>
      <c r="D498" s="32"/>
      <c r="E498" s="33"/>
      <c r="G498" s="34"/>
    </row>
    <row r="499" customFormat="false" ht="15" hidden="false" customHeight="true" outlineLevel="0" collapsed="false">
      <c r="A499" s="31"/>
      <c r="D499" s="32"/>
      <c r="E499" s="33"/>
      <c r="G499" s="34"/>
    </row>
    <row r="500" customFormat="false" ht="15" hidden="false" customHeight="true" outlineLevel="0" collapsed="false">
      <c r="A500" s="31"/>
      <c r="D500" s="32"/>
      <c r="E500" s="33"/>
      <c r="G500" s="34"/>
    </row>
    <row r="501" customFormat="false" ht="15" hidden="false" customHeight="true" outlineLevel="0" collapsed="false">
      <c r="A501" s="31"/>
      <c r="D501" s="32"/>
      <c r="E501" s="33"/>
      <c r="G501" s="34"/>
    </row>
    <row r="502" customFormat="false" ht="15" hidden="false" customHeight="true" outlineLevel="0" collapsed="false">
      <c r="A502" s="31"/>
      <c r="D502" s="32"/>
      <c r="E502" s="33"/>
      <c r="G502" s="34"/>
    </row>
    <row r="503" customFormat="false" ht="15" hidden="false" customHeight="true" outlineLevel="0" collapsed="false">
      <c r="A503" s="31"/>
      <c r="D503" s="32"/>
      <c r="E503" s="33"/>
      <c r="G503" s="34"/>
    </row>
    <row r="504" customFormat="false" ht="15" hidden="false" customHeight="true" outlineLevel="0" collapsed="false">
      <c r="A504" s="31"/>
      <c r="D504" s="32"/>
      <c r="E504" s="33"/>
      <c r="G504" s="34"/>
    </row>
    <row r="505" customFormat="false" ht="15" hidden="false" customHeight="true" outlineLevel="0" collapsed="false">
      <c r="A505" s="31"/>
      <c r="D505" s="32"/>
      <c r="E505" s="33"/>
      <c r="G505" s="34"/>
    </row>
    <row r="506" customFormat="false" ht="15" hidden="false" customHeight="true" outlineLevel="0" collapsed="false">
      <c r="A506" s="31"/>
      <c r="D506" s="32"/>
      <c r="E506" s="33"/>
      <c r="G506" s="34"/>
    </row>
    <row r="507" customFormat="false" ht="15" hidden="false" customHeight="true" outlineLevel="0" collapsed="false">
      <c r="A507" s="31"/>
      <c r="D507" s="32"/>
      <c r="E507" s="33"/>
      <c r="G507" s="34"/>
    </row>
    <row r="508" customFormat="false" ht="15" hidden="false" customHeight="true" outlineLevel="0" collapsed="false">
      <c r="A508" s="31"/>
      <c r="D508" s="32"/>
      <c r="E508" s="33"/>
      <c r="G508" s="34"/>
    </row>
    <row r="509" customFormat="false" ht="15" hidden="false" customHeight="true" outlineLevel="0" collapsed="false">
      <c r="A509" s="31"/>
      <c r="D509" s="32"/>
      <c r="E509" s="33"/>
      <c r="G509" s="34"/>
    </row>
    <row r="510" customFormat="false" ht="15" hidden="false" customHeight="true" outlineLevel="0" collapsed="false">
      <c r="A510" s="31"/>
      <c r="D510" s="32"/>
      <c r="E510" s="33"/>
      <c r="G510" s="34"/>
    </row>
    <row r="511" customFormat="false" ht="15" hidden="false" customHeight="true" outlineLevel="0" collapsed="false">
      <c r="A511" s="31"/>
      <c r="D511" s="32"/>
      <c r="E511" s="33"/>
      <c r="G511" s="34"/>
    </row>
    <row r="512" customFormat="false" ht="15" hidden="false" customHeight="true" outlineLevel="0" collapsed="false">
      <c r="A512" s="31"/>
      <c r="D512" s="32"/>
      <c r="E512" s="33"/>
      <c r="G512" s="34"/>
    </row>
    <row r="513" customFormat="false" ht="15" hidden="false" customHeight="true" outlineLevel="0" collapsed="false">
      <c r="A513" s="31"/>
      <c r="D513" s="32"/>
      <c r="E513" s="33"/>
      <c r="G513" s="34"/>
    </row>
    <row r="514" customFormat="false" ht="15" hidden="false" customHeight="true" outlineLevel="0" collapsed="false">
      <c r="A514" s="31"/>
      <c r="D514" s="32"/>
      <c r="E514" s="33"/>
      <c r="G514" s="34"/>
    </row>
    <row r="515" customFormat="false" ht="15" hidden="false" customHeight="true" outlineLevel="0" collapsed="false">
      <c r="A515" s="31"/>
      <c r="D515" s="32"/>
      <c r="E515" s="33"/>
      <c r="G515" s="34"/>
    </row>
    <row r="516" customFormat="false" ht="15" hidden="false" customHeight="true" outlineLevel="0" collapsed="false">
      <c r="A516" s="31"/>
      <c r="D516" s="32"/>
      <c r="E516" s="33"/>
      <c r="G516" s="34"/>
    </row>
    <row r="517" customFormat="false" ht="15" hidden="false" customHeight="true" outlineLevel="0" collapsed="false">
      <c r="A517" s="31"/>
      <c r="D517" s="32"/>
      <c r="E517" s="33"/>
      <c r="G517" s="34"/>
    </row>
    <row r="518" customFormat="false" ht="15" hidden="false" customHeight="true" outlineLevel="0" collapsed="false">
      <c r="A518" s="31"/>
      <c r="D518" s="32"/>
      <c r="E518" s="33"/>
      <c r="G518" s="34"/>
    </row>
    <row r="519" customFormat="false" ht="15" hidden="false" customHeight="true" outlineLevel="0" collapsed="false">
      <c r="A519" s="31"/>
      <c r="D519" s="32"/>
      <c r="E519" s="33"/>
      <c r="G519" s="34"/>
    </row>
    <row r="520" customFormat="false" ht="15" hidden="false" customHeight="true" outlineLevel="0" collapsed="false">
      <c r="A520" s="31"/>
      <c r="D520" s="32"/>
      <c r="E520" s="33"/>
      <c r="G520" s="34"/>
    </row>
    <row r="521" customFormat="false" ht="15" hidden="false" customHeight="true" outlineLevel="0" collapsed="false">
      <c r="A521" s="31"/>
      <c r="D521" s="32"/>
      <c r="E521" s="33"/>
      <c r="G521" s="34"/>
    </row>
    <row r="522" customFormat="false" ht="15" hidden="false" customHeight="true" outlineLevel="0" collapsed="false">
      <c r="A522" s="31"/>
      <c r="D522" s="32"/>
      <c r="E522" s="33"/>
      <c r="G522" s="34"/>
    </row>
    <row r="523" customFormat="false" ht="15" hidden="false" customHeight="true" outlineLevel="0" collapsed="false">
      <c r="A523" s="31"/>
      <c r="D523" s="32"/>
      <c r="E523" s="33"/>
      <c r="G523" s="34"/>
    </row>
    <row r="524" customFormat="false" ht="15" hidden="false" customHeight="true" outlineLevel="0" collapsed="false">
      <c r="A524" s="31"/>
      <c r="D524" s="32"/>
      <c r="E524" s="33"/>
      <c r="G524" s="34"/>
    </row>
    <row r="525" customFormat="false" ht="15" hidden="false" customHeight="true" outlineLevel="0" collapsed="false">
      <c r="A525" s="31"/>
      <c r="D525" s="32"/>
      <c r="E525" s="33"/>
      <c r="G525" s="34"/>
    </row>
    <row r="526" customFormat="false" ht="15" hidden="false" customHeight="true" outlineLevel="0" collapsed="false">
      <c r="A526" s="31"/>
      <c r="D526" s="32"/>
      <c r="E526" s="33"/>
      <c r="G526" s="34"/>
    </row>
    <row r="527" customFormat="false" ht="15" hidden="false" customHeight="true" outlineLevel="0" collapsed="false">
      <c r="A527" s="31"/>
      <c r="D527" s="32"/>
      <c r="E527" s="33"/>
      <c r="G527" s="34"/>
    </row>
    <row r="528" customFormat="false" ht="15" hidden="false" customHeight="true" outlineLevel="0" collapsed="false">
      <c r="A528" s="31"/>
      <c r="D528" s="32"/>
      <c r="E528" s="33"/>
      <c r="G528" s="34"/>
    </row>
    <row r="529" customFormat="false" ht="15" hidden="false" customHeight="true" outlineLevel="0" collapsed="false">
      <c r="A529" s="31"/>
      <c r="D529" s="32"/>
      <c r="E529" s="33"/>
      <c r="G529" s="34"/>
    </row>
    <row r="530" customFormat="false" ht="15" hidden="false" customHeight="true" outlineLevel="0" collapsed="false">
      <c r="A530" s="31"/>
      <c r="D530" s="32"/>
      <c r="E530" s="33"/>
      <c r="G530" s="34"/>
    </row>
    <row r="531" customFormat="false" ht="15" hidden="false" customHeight="true" outlineLevel="0" collapsed="false">
      <c r="A531" s="31"/>
      <c r="D531" s="32"/>
      <c r="E531" s="33"/>
      <c r="G531" s="34"/>
    </row>
    <row r="532" customFormat="false" ht="15" hidden="false" customHeight="true" outlineLevel="0" collapsed="false">
      <c r="A532" s="31"/>
      <c r="D532" s="32"/>
      <c r="E532" s="33"/>
      <c r="G532" s="34"/>
    </row>
    <row r="533" customFormat="false" ht="15" hidden="false" customHeight="true" outlineLevel="0" collapsed="false">
      <c r="A533" s="31"/>
      <c r="D533" s="32"/>
      <c r="E533" s="33"/>
      <c r="G533" s="34"/>
    </row>
    <row r="534" customFormat="false" ht="15" hidden="false" customHeight="true" outlineLevel="0" collapsed="false">
      <c r="A534" s="31"/>
      <c r="D534" s="32"/>
      <c r="E534" s="33"/>
      <c r="G534" s="34"/>
    </row>
    <row r="535" customFormat="false" ht="15" hidden="false" customHeight="true" outlineLevel="0" collapsed="false">
      <c r="A535" s="31"/>
      <c r="D535" s="32"/>
      <c r="E535" s="33"/>
      <c r="G535" s="34"/>
    </row>
    <row r="536" customFormat="false" ht="15" hidden="false" customHeight="true" outlineLevel="0" collapsed="false">
      <c r="A536" s="31"/>
      <c r="D536" s="32"/>
      <c r="E536" s="33"/>
      <c r="G536" s="34"/>
    </row>
    <row r="537" customFormat="false" ht="15" hidden="false" customHeight="true" outlineLevel="0" collapsed="false">
      <c r="A537" s="31"/>
      <c r="D537" s="32"/>
      <c r="E537" s="33"/>
      <c r="G537" s="34"/>
    </row>
    <row r="538" customFormat="false" ht="15" hidden="false" customHeight="true" outlineLevel="0" collapsed="false">
      <c r="A538" s="31"/>
      <c r="D538" s="32"/>
      <c r="E538" s="33"/>
      <c r="G538" s="34"/>
    </row>
    <row r="539" customFormat="false" ht="15" hidden="false" customHeight="true" outlineLevel="0" collapsed="false">
      <c r="A539" s="31"/>
      <c r="D539" s="32"/>
      <c r="E539" s="33"/>
      <c r="G539" s="34"/>
    </row>
    <row r="540" customFormat="false" ht="15" hidden="false" customHeight="true" outlineLevel="0" collapsed="false">
      <c r="A540" s="31"/>
      <c r="D540" s="32"/>
      <c r="E540" s="33"/>
      <c r="G540" s="34"/>
    </row>
    <row r="541" customFormat="false" ht="15" hidden="false" customHeight="true" outlineLevel="0" collapsed="false">
      <c r="A541" s="31"/>
      <c r="D541" s="32"/>
      <c r="E541" s="33"/>
      <c r="G541" s="34"/>
    </row>
    <row r="542" customFormat="false" ht="15" hidden="false" customHeight="true" outlineLevel="0" collapsed="false">
      <c r="A542" s="31"/>
      <c r="D542" s="32"/>
      <c r="E542" s="33"/>
      <c r="G542" s="34"/>
    </row>
    <row r="543" customFormat="false" ht="15" hidden="false" customHeight="true" outlineLevel="0" collapsed="false">
      <c r="A543" s="31"/>
      <c r="D543" s="32"/>
      <c r="E543" s="33"/>
      <c r="G543" s="34"/>
    </row>
    <row r="544" customFormat="false" ht="15" hidden="false" customHeight="true" outlineLevel="0" collapsed="false">
      <c r="A544" s="31"/>
      <c r="D544" s="32"/>
      <c r="E544" s="33"/>
      <c r="G544" s="34"/>
    </row>
    <row r="545" customFormat="false" ht="15" hidden="false" customHeight="true" outlineLevel="0" collapsed="false">
      <c r="A545" s="31"/>
      <c r="D545" s="32"/>
      <c r="E545" s="33"/>
      <c r="G545" s="34"/>
    </row>
    <row r="546" customFormat="false" ht="15" hidden="false" customHeight="true" outlineLevel="0" collapsed="false">
      <c r="A546" s="31"/>
      <c r="D546" s="32"/>
      <c r="E546" s="33"/>
      <c r="G546" s="34"/>
    </row>
    <row r="547" customFormat="false" ht="15" hidden="false" customHeight="true" outlineLevel="0" collapsed="false">
      <c r="A547" s="31"/>
      <c r="D547" s="32"/>
      <c r="E547" s="33"/>
      <c r="G547" s="34"/>
    </row>
    <row r="548" customFormat="false" ht="15" hidden="false" customHeight="true" outlineLevel="0" collapsed="false">
      <c r="A548" s="31"/>
      <c r="D548" s="32"/>
      <c r="E548" s="33"/>
      <c r="G548" s="34"/>
    </row>
    <row r="549" customFormat="false" ht="15" hidden="false" customHeight="true" outlineLevel="0" collapsed="false">
      <c r="A549" s="31"/>
      <c r="D549" s="32"/>
      <c r="E549" s="33"/>
      <c r="G549" s="34"/>
    </row>
    <row r="550" customFormat="false" ht="15" hidden="false" customHeight="true" outlineLevel="0" collapsed="false">
      <c r="A550" s="31"/>
      <c r="D550" s="32"/>
      <c r="E550" s="33"/>
      <c r="G550" s="34"/>
    </row>
    <row r="551" customFormat="false" ht="15" hidden="false" customHeight="true" outlineLevel="0" collapsed="false">
      <c r="A551" s="31"/>
      <c r="D551" s="32"/>
      <c r="E551" s="33"/>
      <c r="G551" s="34"/>
    </row>
    <row r="552" customFormat="false" ht="15" hidden="false" customHeight="true" outlineLevel="0" collapsed="false">
      <c r="A552" s="31"/>
      <c r="D552" s="32"/>
      <c r="E552" s="33"/>
      <c r="G552" s="34"/>
    </row>
    <row r="553" customFormat="false" ht="15" hidden="false" customHeight="true" outlineLevel="0" collapsed="false">
      <c r="A553" s="31"/>
      <c r="D553" s="32"/>
      <c r="E553" s="33"/>
      <c r="G553" s="34"/>
    </row>
    <row r="554" customFormat="false" ht="15" hidden="false" customHeight="true" outlineLevel="0" collapsed="false">
      <c r="A554" s="31"/>
      <c r="D554" s="32"/>
      <c r="E554" s="33"/>
      <c r="G554" s="34"/>
    </row>
    <row r="555" customFormat="false" ht="15" hidden="false" customHeight="true" outlineLevel="0" collapsed="false">
      <c r="A555" s="31"/>
      <c r="D555" s="32"/>
      <c r="E555" s="33"/>
      <c r="G555" s="34"/>
    </row>
    <row r="556" customFormat="false" ht="15" hidden="false" customHeight="true" outlineLevel="0" collapsed="false">
      <c r="A556" s="31"/>
      <c r="D556" s="32"/>
      <c r="E556" s="33"/>
      <c r="G556" s="34"/>
    </row>
    <row r="557" customFormat="false" ht="15" hidden="false" customHeight="true" outlineLevel="0" collapsed="false">
      <c r="A557" s="31"/>
      <c r="D557" s="32"/>
      <c r="E557" s="33"/>
      <c r="G557" s="34"/>
    </row>
    <row r="558" customFormat="false" ht="15" hidden="false" customHeight="true" outlineLevel="0" collapsed="false">
      <c r="A558" s="31"/>
      <c r="D558" s="32"/>
      <c r="E558" s="33"/>
      <c r="G558" s="34"/>
    </row>
    <row r="559" customFormat="false" ht="15" hidden="false" customHeight="true" outlineLevel="0" collapsed="false">
      <c r="A559" s="31"/>
      <c r="D559" s="32"/>
      <c r="E559" s="33"/>
      <c r="G559" s="34"/>
    </row>
    <row r="560" customFormat="false" ht="15" hidden="false" customHeight="true" outlineLevel="0" collapsed="false">
      <c r="A560" s="31"/>
      <c r="D560" s="32"/>
      <c r="E560" s="33"/>
      <c r="G560" s="34"/>
    </row>
    <row r="561" customFormat="false" ht="15" hidden="false" customHeight="true" outlineLevel="0" collapsed="false">
      <c r="A561" s="31"/>
      <c r="D561" s="32"/>
      <c r="E561" s="33"/>
      <c r="G561" s="34"/>
    </row>
    <row r="562" customFormat="false" ht="15" hidden="false" customHeight="true" outlineLevel="0" collapsed="false">
      <c r="A562" s="31"/>
      <c r="D562" s="32"/>
      <c r="E562" s="33"/>
      <c r="G562" s="34"/>
    </row>
    <row r="563" customFormat="false" ht="15" hidden="false" customHeight="true" outlineLevel="0" collapsed="false">
      <c r="A563" s="31"/>
      <c r="D563" s="32"/>
      <c r="E563" s="33"/>
      <c r="G563" s="34"/>
    </row>
    <row r="564" customFormat="false" ht="15" hidden="false" customHeight="true" outlineLevel="0" collapsed="false">
      <c r="A564" s="31"/>
      <c r="D564" s="32"/>
      <c r="E564" s="33"/>
      <c r="G564" s="34"/>
    </row>
    <row r="565" customFormat="false" ht="15" hidden="false" customHeight="true" outlineLevel="0" collapsed="false">
      <c r="A565" s="31"/>
      <c r="D565" s="32"/>
      <c r="E565" s="33"/>
      <c r="G565" s="34"/>
    </row>
    <row r="566" customFormat="false" ht="15" hidden="false" customHeight="true" outlineLevel="0" collapsed="false">
      <c r="A566" s="31"/>
      <c r="D566" s="32"/>
      <c r="E566" s="33"/>
      <c r="G566" s="34"/>
    </row>
    <row r="567" customFormat="false" ht="15" hidden="false" customHeight="true" outlineLevel="0" collapsed="false">
      <c r="A567" s="31"/>
      <c r="D567" s="32"/>
      <c r="E567" s="33"/>
      <c r="G567" s="34"/>
    </row>
    <row r="568" customFormat="false" ht="15" hidden="false" customHeight="true" outlineLevel="0" collapsed="false">
      <c r="A568" s="31"/>
      <c r="D568" s="32"/>
      <c r="E568" s="33"/>
      <c r="G568" s="34"/>
    </row>
    <row r="569" customFormat="false" ht="15" hidden="false" customHeight="true" outlineLevel="0" collapsed="false">
      <c r="A569" s="31"/>
      <c r="D569" s="32"/>
      <c r="E569" s="33"/>
      <c r="G569" s="34"/>
    </row>
    <row r="570" customFormat="false" ht="15" hidden="false" customHeight="true" outlineLevel="0" collapsed="false">
      <c r="A570" s="31"/>
      <c r="D570" s="32"/>
      <c r="E570" s="33"/>
      <c r="G570" s="34"/>
    </row>
    <row r="571" customFormat="false" ht="15" hidden="false" customHeight="true" outlineLevel="0" collapsed="false">
      <c r="A571" s="31"/>
      <c r="D571" s="32"/>
      <c r="E571" s="33"/>
      <c r="G571" s="34"/>
    </row>
    <row r="572" customFormat="false" ht="15" hidden="false" customHeight="true" outlineLevel="0" collapsed="false">
      <c r="A572" s="31"/>
      <c r="D572" s="32"/>
      <c r="E572" s="33"/>
      <c r="G572" s="34"/>
    </row>
    <row r="573" customFormat="false" ht="15" hidden="false" customHeight="true" outlineLevel="0" collapsed="false">
      <c r="A573" s="31"/>
      <c r="D573" s="32"/>
      <c r="E573" s="33"/>
      <c r="G573" s="34"/>
    </row>
    <row r="574" customFormat="false" ht="15" hidden="false" customHeight="true" outlineLevel="0" collapsed="false">
      <c r="A574" s="31"/>
      <c r="D574" s="32"/>
      <c r="E574" s="33"/>
      <c r="G574" s="34"/>
    </row>
    <row r="575" customFormat="false" ht="15" hidden="false" customHeight="true" outlineLevel="0" collapsed="false">
      <c r="A575" s="31"/>
      <c r="D575" s="32"/>
      <c r="E575" s="33"/>
      <c r="G575" s="34"/>
    </row>
    <row r="576" customFormat="false" ht="15" hidden="false" customHeight="true" outlineLevel="0" collapsed="false">
      <c r="A576" s="31"/>
      <c r="D576" s="32"/>
      <c r="E576" s="33"/>
      <c r="G576" s="34"/>
    </row>
    <row r="577" customFormat="false" ht="15" hidden="false" customHeight="true" outlineLevel="0" collapsed="false">
      <c r="A577" s="31"/>
      <c r="D577" s="32"/>
      <c r="E577" s="33"/>
      <c r="G577" s="34"/>
    </row>
    <row r="578" customFormat="false" ht="15" hidden="false" customHeight="true" outlineLevel="0" collapsed="false">
      <c r="A578" s="31"/>
      <c r="D578" s="32"/>
      <c r="E578" s="33"/>
      <c r="G578" s="34"/>
    </row>
    <row r="579" customFormat="false" ht="15" hidden="false" customHeight="true" outlineLevel="0" collapsed="false">
      <c r="A579" s="31"/>
      <c r="D579" s="32"/>
      <c r="E579" s="33"/>
      <c r="G579" s="34"/>
    </row>
    <row r="580" customFormat="false" ht="15" hidden="false" customHeight="true" outlineLevel="0" collapsed="false">
      <c r="A580" s="31"/>
      <c r="D580" s="32"/>
      <c r="E580" s="33"/>
      <c r="G580" s="34"/>
    </row>
    <row r="581" customFormat="false" ht="15" hidden="false" customHeight="true" outlineLevel="0" collapsed="false">
      <c r="A581" s="31"/>
      <c r="D581" s="32"/>
      <c r="E581" s="33"/>
      <c r="G581" s="34"/>
    </row>
    <row r="582" customFormat="false" ht="15" hidden="false" customHeight="true" outlineLevel="0" collapsed="false">
      <c r="A582" s="31"/>
      <c r="D582" s="32"/>
      <c r="E582" s="33"/>
      <c r="G582" s="34"/>
    </row>
    <row r="583" customFormat="false" ht="15" hidden="false" customHeight="true" outlineLevel="0" collapsed="false">
      <c r="A583" s="31"/>
      <c r="D583" s="32"/>
      <c r="E583" s="33"/>
      <c r="G583" s="34"/>
    </row>
    <row r="584" customFormat="false" ht="15" hidden="false" customHeight="true" outlineLevel="0" collapsed="false">
      <c r="A584" s="31"/>
      <c r="D584" s="32"/>
      <c r="E584" s="33"/>
      <c r="G584" s="34"/>
    </row>
    <row r="585" customFormat="false" ht="15" hidden="false" customHeight="true" outlineLevel="0" collapsed="false">
      <c r="A585" s="31"/>
      <c r="D585" s="32"/>
      <c r="E585" s="33"/>
      <c r="G585" s="34"/>
    </row>
    <row r="586" customFormat="false" ht="15" hidden="false" customHeight="true" outlineLevel="0" collapsed="false">
      <c r="A586" s="31"/>
      <c r="D586" s="32"/>
      <c r="E586" s="33"/>
      <c r="G586" s="34"/>
    </row>
    <row r="587" customFormat="false" ht="15" hidden="false" customHeight="true" outlineLevel="0" collapsed="false">
      <c r="A587" s="31"/>
      <c r="D587" s="32"/>
      <c r="E587" s="33"/>
      <c r="G587" s="34"/>
    </row>
    <row r="588" customFormat="false" ht="15" hidden="false" customHeight="true" outlineLevel="0" collapsed="false">
      <c r="A588" s="31"/>
      <c r="D588" s="32"/>
      <c r="E588" s="33"/>
      <c r="G588" s="34"/>
    </row>
    <row r="589" customFormat="false" ht="15" hidden="false" customHeight="true" outlineLevel="0" collapsed="false">
      <c r="A589" s="31"/>
      <c r="D589" s="32"/>
      <c r="E589" s="33"/>
      <c r="G589" s="34"/>
    </row>
    <row r="590" customFormat="false" ht="15" hidden="false" customHeight="true" outlineLevel="0" collapsed="false">
      <c r="A590" s="31"/>
      <c r="D590" s="32"/>
      <c r="E590" s="33"/>
      <c r="G590" s="34"/>
    </row>
    <row r="591" customFormat="false" ht="15" hidden="false" customHeight="true" outlineLevel="0" collapsed="false">
      <c r="A591" s="31"/>
      <c r="D591" s="32"/>
      <c r="E591" s="33"/>
      <c r="G591" s="34"/>
    </row>
    <row r="592" customFormat="false" ht="15" hidden="false" customHeight="true" outlineLevel="0" collapsed="false">
      <c r="A592" s="31"/>
      <c r="D592" s="32"/>
      <c r="E592" s="33"/>
      <c r="G592" s="34"/>
    </row>
    <row r="593" customFormat="false" ht="15" hidden="false" customHeight="true" outlineLevel="0" collapsed="false">
      <c r="A593" s="31"/>
      <c r="D593" s="32"/>
      <c r="E593" s="33"/>
      <c r="G593" s="34"/>
    </row>
    <row r="594" customFormat="false" ht="15" hidden="false" customHeight="true" outlineLevel="0" collapsed="false">
      <c r="A594" s="31"/>
      <c r="D594" s="32"/>
      <c r="E594" s="33"/>
      <c r="G594" s="34"/>
    </row>
    <row r="595" customFormat="false" ht="15" hidden="false" customHeight="true" outlineLevel="0" collapsed="false">
      <c r="A595" s="31"/>
      <c r="D595" s="32"/>
      <c r="E595" s="33"/>
      <c r="G595" s="34"/>
    </row>
    <row r="596" customFormat="false" ht="15" hidden="false" customHeight="true" outlineLevel="0" collapsed="false">
      <c r="A596" s="31"/>
      <c r="D596" s="32"/>
      <c r="E596" s="33"/>
      <c r="G596" s="34"/>
    </row>
    <row r="597" customFormat="false" ht="15" hidden="false" customHeight="true" outlineLevel="0" collapsed="false">
      <c r="A597" s="31"/>
      <c r="D597" s="32"/>
      <c r="E597" s="33"/>
      <c r="G597" s="34"/>
    </row>
    <row r="598" customFormat="false" ht="15" hidden="false" customHeight="true" outlineLevel="0" collapsed="false">
      <c r="A598" s="31"/>
      <c r="D598" s="32"/>
      <c r="E598" s="33"/>
      <c r="G598" s="34"/>
    </row>
    <row r="599" customFormat="false" ht="15" hidden="false" customHeight="true" outlineLevel="0" collapsed="false">
      <c r="A599" s="31"/>
      <c r="D599" s="32"/>
      <c r="E599" s="33"/>
      <c r="G599" s="34"/>
    </row>
    <row r="600" customFormat="false" ht="15" hidden="false" customHeight="true" outlineLevel="0" collapsed="false">
      <c r="A600" s="31"/>
      <c r="D600" s="32"/>
      <c r="E600" s="33"/>
      <c r="G600" s="34"/>
    </row>
    <row r="601" customFormat="false" ht="15" hidden="false" customHeight="true" outlineLevel="0" collapsed="false">
      <c r="A601" s="31"/>
      <c r="D601" s="32"/>
      <c r="E601" s="33"/>
      <c r="G601" s="34"/>
    </row>
    <row r="602" customFormat="false" ht="15" hidden="false" customHeight="true" outlineLevel="0" collapsed="false">
      <c r="A602" s="31"/>
      <c r="D602" s="32"/>
      <c r="E602" s="33"/>
      <c r="G602" s="34"/>
    </row>
    <row r="603" customFormat="false" ht="15" hidden="false" customHeight="true" outlineLevel="0" collapsed="false">
      <c r="A603" s="31"/>
      <c r="D603" s="32"/>
      <c r="E603" s="33"/>
      <c r="G603" s="34"/>
    </row>
    <row r="604" customFormat="false" ht="15" hidden="false" customHeight="true" outlineLevel="0" collapsed="false">
      <c r="A604" s="31"/>
      <c r="D604" s="32"/>
      <c r="E604" s="33"/>
      <c r="G604" s="34"/>
    </row>
    <row r="605" customFormat="false" ht="15" hidden="false" customHeight="true" outlineLevel="0" collapsed="false">
      <c r="A605" s="31"/>
      <c r="D605" s="32"/>
      <c r="E605" s="33"/>
      <c r="G605" s="34"/>
    </row>
    <row r="606" customFormat="false" ht="15" hidden="false" customHeight="true" outlineLevel="0" collapsed="false">
      <c r="A606" s="31"/>
      <c r="D606" s="32"/>
      <c r="E606" s="33"/>
      <c r="G606" s="34"/>
    </row>
    <row r="607" customFormat="false" ht="15" hidden="false" customHeight="true" outlineLevel="0" collapsed="false">
      <c r="A607" s="31"/>
      <c r="D607" s="32"/>
      <c r="E607" s="33"/>
      <c r="G607" s="34"/>
    </row>
    <row r="608" customFormat="false" ht="15" hidden="false" customHeight="true" outlineLevel="0" collapsed="false">
      <c r="A608" s="31"/>
      <c r="D608" s="32"/>
      <c r="E608" s="33"/>
      <c r="G608" s="34"/>
    </row>
    <row r="609" customFormat="false" ht="15" hidden="false" customHeight="true" outlineLevel="0" collapsed="false">
      <c r="A609" s="31"/>
      <c r="D609" s="32"/>
      <c r="E609" s="33"/>
      <c r="G609" s="34"/>
    </row>
    <row r="610" customFormat="false" ht="15" hidden="false" customHeight="true" outlineLevel="0" collapsed="false">
      <c r="A610" s="31"/>
      <c r="D610" s="32"/>
      <c r="E610" s="33"/>
      <c r="G610" s="34"/>
    </row>
    <row r="611" customFormat="false" ht="15" hidden="false" customHeight="true" outlineLevel="0" collapsed="false">
      <c r="A611" s="31"/>
      <c r="D611" s="32"/>
      <c r="E611" s="33"/>
      <c r="G611" s="34"/>
    </row>
    <row r="612" customFormat="false" ht="15" hidden="false" customHeight="true" outlineLevel="0" collapsed="false">
      <c r="A612" s="31"/>
      <c r="D612" s="32"/>
      <c r="E612" s="33"/>
      <c r="G612" s="34"/>
    </row>
    <row r="613" customFormat="false" ht="15" hidden="false" customHeight="true" outlineLevel="0" collapsed="false">
      <c r="A613" s="31"/>
      <c r="D613" s="32"/>
      <c r="E613" s="33"/>
      <c r="G613" s="34"/>
    </row>
    <row r="614" customFormat="false" ht="15" hidden="false" customHeight="true" outlineLevel="0" collapsed="false">
      <c r="A614" s="31"/>
      <c r="D614" s="32"/>
      <c r="E614" s="33"/>
      <c r="G614" s="34"/>
    </row>
    <row r="615" customFormat="false" ht="15" hidden="false" customHeight="true" outlineLevel="0" collapsed="false">
      <c r="A615" s="31"/>
      <c r="D615" s="32"/>
      <c r="E615" s="33"/>
      <c r="G615" s="34"/>
    </row>
    <row r="616" customFormat="false" ht="15" hidden="false" customHeight="true" outlineLevel="0" collapsed="false">
      <c r="A616" s="31"/>
      <c r="D616" s="32"/>
      <c r="E616" s="33"/>
      <c r="G616" s="34"/>
    </row>
    <row r="617" customFormat="false" ht="15" hidden="false" customHeight="true" outlineLevel="0" collapsed="false">
      <c r="A617" s="31"/>
      <c r="D617" s="32"/>
      <c r="E617" s="33"/>
      <c r="G617" s="34"/>
    </row>
    <row r="618" customFormat="false" ht="15" hidden="false" customHeight="true" outlineLevel="0" collapsed="false">
      <c r="A618" s="31"/>
      <c r="D618" s="32"/>
      <c r="E618" s="33"/>
      <c r="G618" s="34"/>
    </row>
    <row r="619" customFormat="false" ht="15" hidden="false" customHeight="true" outlineLevel="0" collapsed="false">
      <c r="A619" s="31"/>
      <c r="D619" s="32"/>
      <c r="E619" s="33"/>
      <c r="G619" s="34"/>
    </row>
    <row r="620" customFormat="false" ht="15" hidden="false" customHeight="true" outlineLevel="0" collapsed="false">
      <c r="A620" s="31"/>
      <c r="D620" s="32"/>
      <c r="E620" s="33"/>
      <c r="G620" s="34"/>
    </row>
    <row r="621" customFormat="false" ht="15" hidden="false" customHeight="true" outlineLevel="0" collapsed="false">
      <c r="A621" s="31"/>
      <c r="D621" s="32"/>
      <c r="E621" s="33"/>
      <c r="G621" s="34"/>
    </row>
    <row r="622" customFormat="false" ht="15" hidden="false" customHeight="true" outlineLevel="0" collapsed="false">
      <c r="A622" s="31"/>
      <c r="D622" s="32"/>
      <c r="E622" s="33"/>
      <c r="G622" s="34"/>
    </row>
    <row r="623" customFormat="false" ht="15" hidden="false" customHeight="true" outlineLevel="0" collapsed="false">
      <c r="A623" s="31"/>
      <c r="D623" s="32"/>
      <c r="E623" s="33"/>
      <c r="G623" s="34"/>
    </row>
    <row r="624" customFormat="false" ht="15" hidden="false" customHeight="true" outlineLevel="0" collapsed="false">
      <c r="A624" s="31"/>
      <c r="D624" s="32"/>
      <c r="E624" s="33"/>
      <c r="G624" s="34"/>
    </row>
    <row r="625" customFormat="false" ht="15" hidden="false" customHeight="true" outlineLevel="0" collapsed="false">
      <c r="A625" s="31"/>
      <c r="D625" s="32"/>
      <c r="E625" s="33"/>
      <c r="G625" s="34"/>
    </row>
    <row r="626" customFormat="false" ht="15" hidden="false" customHeight="true" outlineLevel="0" collapsed="false">
      <c r="A626" s="31"/>
      <c r="D626" s="32"/>
      <c r="E626" s="33"/>
      <c r="G626" s="34"/>
    </row>
    <row r="627" customFormat="false" ht="15" hidden="false" customHeight="true" outlineLevel="0" collapsed="false">
      <c r="A627" s="31"/>
      <c r="D627" s="32"/>
      <c r="E627" s="33"/>
      <c r="G627" s="34"/>
    </row>
    <row r="628" customFormat="false" ht="15" hidden="false" customHeight="true" outlineLevel="0" collapsed="false">
      <c r="A628" s="31"/>
      <c r="D628" s="32"/>
      <c r="E628" s="33"/>
      <c r="G628" s="34"/>
    </row>
    <row r="629" customFormat="false" ht="15" hidden="false" customHeight="true" outlineLevel="0" collapsed="false">
      <c r="A629" s="31"/>
      <c r="D629" s="32"/>
      <c r="E629" s="33"/>
      <c r="G629" s="34"/>
    </row>
    <row r="630" customFormat="false" ht="15" hidden="false" customHeight="true" outlineLevel="0" collapsed="false">
      <c r="A630" s="31"/>
      <c r="D630" s="32"/>
      <c r="E630" s="33"/>
      <c r="G630" s="34"/>
    </row>
    <row r="631" customFormat="false" ht="15" hidden="false" customHeight="true" outlineLevel="0" collapsed="false">
      <c r="A631" s="31"/>
      <c r="D631" s="32"/>
      <c r="E631" s="33"/>
      <c r="G631" s="34"/>
    </row>
    <row r="632" customFormat="false" ht="15" hidden="false" customHeight="true" outlineLevel="0" collapsed="false">
      <c r="A632" s="31"/>
      <c r="D632" s="32"/>
      <c r="E632" s="33"/>
      <c r="G632" s="34"/>
    </row>
    <row r="633" customFormat="false" ht="15" hidden="false" customHeight="true" outlineLevel="0" collapsed="false">
      <c r="A633" s="31"/>
      <c r="D633" s="32"/>
      <c r="E633" s="33"/>
      <c r="G633" s="34"/>
    </row>
    <row r="634" customFormat="false" ht="15" hidden="false" customHeight="true" outlineLevel="0" collapsed="false">
      <c r="A634" s="31"/>
      <c r="D634" s="32"/>
      <c r="E634" s="33"/>
      <c r="G634" s="34"/>
    </row>
    <row r="635" customFormat="false" ht="15" hidden="false" customHeight="true" outlineLevel="0" collapsed="false">
      <c r="A635" s="31"/>
      <c r="D635" s="32"/>
      <c r="E635" s="33"/>
      <c r="G635" s="34"/>
    </row>
    <row r="636" customFormat="false" ht="15" hidden="false" customHeight="true" outlineLevel="0" collapsed="false">
      <c r="A636" s="31"/>
      <c r="D636" s="32"/>
      <c r="E636" s="33"/>
      <c r="G636" s="34"/>
    </row>
    <row r="637" customFormat="false" ht="15" hidden="false" customHeight="true" outlineLevel="0" collapsed="false">
      <c r="A637" s="31"/>
      <c r="D637" s="32"/>
      <c r="E637" s="33"/>
      <c r="G637" s="34"/>
    </row>
    <row r="638" customFormat="false" ht="15" hidden="false" customHeight="true" outlineLevel="0" collapsed="false">
      <c r="A638" s="31"/>
      <c r="D638" s="32"/>
      <c r="E638" s="33"/>
      <c r="G638" s="34"/>
    </row>
    <row r="639" customFormat="false" ht="15" hidden="false" customHeight="true" outlineLevel="0" collapsed="false">
      <c r="A639" s="31"/>
      <c r="D639" s="32"/>
      <c r="E639" s="33"/>
      <c r="G639" s="34"/>
    </row>
    <row r="640" customFormat="false" ht="15" hidden="false" customHeight="true" outlineLevel="0" collapsed="false">
      <c r="A640" s="31"/>
      <c r="D640" s="32"/>
      <c r="E640" s="33"/>
      <c r="G640" s="34"/>
    </row>
    <row r="641" customFormat="false" ht="15" hidden="false" customHeight="true" outlineLevel="0" collapsed="false">
      <c r="A641" s="31"/>
      <c r="D641" s="32"/>
      <c r="E641" s="33"/>
      <c r="G641" s="34"/>
    </row>
    <row r="642" customFormat="false" ht="15" hidden="false" customHeight="true" outlineLevel="0" collapsed="false">
      <c r="A642" s="31"/>
      <c r="D642" s="32"/>
      <c r="E642" s="33"/>
      <c r="G642" s="34"/>
    </row>
    <row r="643" customFormat="false" ht="15" hidden="false" customHeight="true" outlineLevel="0" collapsed="false">
      <c r="A643" s="31"/>
      <c r="D643" s="32"/>
      <c r="E643" s="33"/>
      <c r="G643" s="34"/>
    </row>
    <row r="644" customFormat="false" ht="15" hidden="false" customHeight="true" outlineLevel="0" collapsed="false">
      <c r="A644" s="31"/>
      <c r="D644" s="32"/>
      <c r="E644" s="33"/>
      <c r="G644" s="34"/>
    </row>
    <row r="645" customFormat="false" ht="15" hidden="false" customHeight="true" outlineLevel="0" collapsed="false">
      <c r="A645" s="31"/>
      <c r="D645" s="32"/>
      <c r="E645" s="33"/>
      <c r="G645" s="34"/>
    </row>
    <row r="646" customFormat="false" ht="15" hidden="false" customHeight="true" outlineLevel="0" collapsed="false">
      <c r="A646" s="31"/>
      <c r="D646" s="32"/>
      <c r="E646" s="33"/>
      <c r="G646" s="34"/>
    </row>
    <row r="647" customFormat="false" ht="15" hidden="false" customHeight="true" outlineLevel="0" collapsed="false">
      <c r="A647" s="31"/>
      <c r="D647" s="32"/>
      <c r="E647" s="33"/>
      <c r="G647" s="34"/>
    </row>
    <row r="648" customFormat="false" ht="15" hidden="false" customHeight="true" outlineLevel="0" collapsed="false">
      <c r="A648" s="31"/>
      <c r="D648" s="32"/>
      <c r="E648" s="33"/>
      <c r="G648" s="34"/>
    </row>
    <row r="649" customFormat="false" ht="15" hidden="false" customHeight="true" outlineLevel="0" collapsed="false">
      <c r="A649" s="31"/>
      <c r="D649" s="32"/>
      <c r="E649" s="33"/>
      <c r="G649" s="34"/>
    </row>
    <row r="650" customFormat="false" ht="15" hidden="false" customHeight="true" outlineLevel="0" collapsed="false">
      <c r="A650" s="31"/>
      <c r="D650" s="32"/>
      <c r="E650" s="33"/>
      <c r="G650" s="34"/>
    </row>
    <row r="651" customFormat="false" ht="15" hidden="false" customHeight="true" outlineLevel="0" collapsed="false">
      <c r="A651" s="31"/>
      <c r="D651" s="32"/>
      <c r="E651" s="33"/>
      <c r="G651" s="34"/>
    </row>
    <row r="652" customFormat="false" ht="15" hidden="false" customHeight="true" outlineLevel="0" collapsed="false">
      <c r="A652" s="31"/>
      <c r="D652" s="32"/>
      <c r="E652" s="33"/>
      <c r="G652" s="34"/>
    </row>
    <row r="653" customFormat="false" ht="15" hidden="false" customHeight="true" outlineLevel="0" collapsed="false">
      <c r="A653" s="31"/>
      <c r="D653" s="32"/>
      <c r="E653" s="33"/>
      <c r="G653" s="34"/>
    </row>
    <row r="654" customFormat="false" ht="15" hidden="false" customHeight="true" outlineLevel="0" collapsed="false">
      <c r="A654" s="31"/>
      <c r="D654" s="32"/>
      <c r="E654" s="33"/>
      <c r="G654" s="34"/>
    </row>
    <row r="655" customFormat="false" ht="15" hidden="false" customHeight="true" outlineLevel="0" collapsed="false">
      <c r="A655" s="31"/>
      <c r="D655" s="32"/>
      <c r="E655" s="33"/>
      <c r="G655" s="34"/>
    </row>
    <row r="656" customFormat="false" ht="15" hidden="false" customHeight="true" outlineLevel="0" collapsed="false">
      <c r="A656" s="31"/>
      <c r="D656" s="32"/>
      <c r="E656" s="33"/>
      <c r="G656" s="34"/>
    </row>
    <row r="657" customFormat="false" ht="15" hidden="false" customHeight="true" outlineLevel="0" collapsed="false">
      <c r="A657" s="31"/>
      <c r="D657" s="32"/>
      <c r="E657" s="33"/>
      <c r="G657" s="34"/>
    </row>
    <row r="658" customFormat="false" ht="15" hidden="false" customHeight="true" outlineLevel="0" collapsed="false">
      <c r="A658" s="31"/>
      <c r="D658" s="32"/>
      <c r="E658" s="33"/>
      <c r="G658" s="34"/>
    </row>
    <row r="659" customFormat="false" ht="15" hidden="false" customHeight="true" outlineLevel="0" collapsed="false">
      <c r="A659" s="31"/>
      <c r="D659" s="32"/>
      <c r="E659" s="33"/>
      <c r="G659" s="34"/>
    </row>
    <row r="660" customFormat="false" ht="15" hidden="false" customHeight="true" outlineLevel="0" collapsed="false">
      <c r="A660" s="31"/>
      <c r="D660" s="32"/>
      <c r="E660" s="33"/>
      <c r="G660" s="34"/>
    </row>
    <row r="661" customFormat="false" ht="15" hidden="false" customHeight="true" outlineLevel="0" collapsed="false">
      <c r="A661" s="31"/>
      <c r="D661" s="32"/>
      <c r="E661" s="33"/>
      <c r="G661" s="34"/>
    </row>
    <row r="662" customFormat="false" ht="15" hidden="false" customHeight="true" outlineLevel="0" collapsed="false">
      <c r="A662" s="31"/>
      <c r="D662" s="32"/>
      <c r="E662" s="33"/>
      <c r="G662" s="34"/>
    </row>
    <row r="663" customFormat="false" ht="15" hidden="false" customHeight="true" outlineLevel="0" collapsed="false">
      <c r="A663" s="31"/>
      <c r="D663" s="32"/>
      <c r="E663" s="33"/>
      <c r="G663" s="34"/>
    </row>
    <row r="664" customFormat="false" ht="15" hidden="false" customHeight="true" outlineLevel="0" collapsed="false">
      <c r="A664" s="31"/>
      <c r="D664" s="32"/>
      <c r="E664" s="33"/>
      <c r="G664" s="34"/>
    </row>
    <row r="665" customFormat="false" ht="15" hidden="false" customHeight="true" outlineLevel="0" collapsed="false">
      <c r="A665" s="31"/>
      <c r="D665" s="32"/>
      <c r="E665" s="33"/>
      <c r="G665" s="34"/>
    </row>
    <row r="666" customFormat="false" ht="15" hidden="false" customHeight="true" outlineLevel="0" collapsed="false">
      <c r="A666" s="31"/>
      <c r="D666" s="32"/>
      <c r="E666" s="33"/>
      <c r="G666" s="34"/>
    </row>
    <row r="667" customFormat="false" ht="15" hidden="false" customHeight="true" outlineLevel="0" collapsed="false">
      <c r="A667" s="31"/>
      <c r="D667" s="32"/>
      <c r="E667" s="33"/>
      <c r="G667" s="34"/>
    </row>
    <row r="668" customFormat="false" ht="15" hidden="false" customHeight="true" outlineLevel="0" collapsed="false">
      <c r="A668" s="31"/>
      <c r="D668" s="32"/>
      <c r="E668" s="33"/>
      <c r="G668" s="34"/>
    </row>
    <row r="669" customFormat="false" ht="15" hidden="false" customHeight="true" outlineLevel="0" collapsed="false">
      <c r="A669" s="31"/>
      <c r="D669" s="32"/>
      <c r="E669" s="33"/>
      <c r="G669" s="34"/>
    </row>
    <row r="670" customFormat="false" ht="15" hidden="false" customHeight="true" outlineLevel="0" collapsed="false">
      <c r="A670" s="31"/>
      <c r="D670" s="32"/>
      <c r="E670" s="33"/>
      <c r="G670" s="34"/>
    </row>
    <row r="671" customFormat="false" ht="15" hidden="false" customHeight="true" outlineLevel="0" collapsed="false">
      <c r="A671" s="31"/>
      <c r="D671" s="32"/>
      <c r="E671" s="33"/>
      <c r="G671" s="34"/>
    </row>
    <row r="672" customFormat="false" ht="15" hidden="false" customHeight="true" outlineLevel="0" collapsed="false">
      <c r="A672" s="31"/>
      <c r="D672" s="32"/>
      <c r="E672" s="33"/>
      <c r="G672" s="34"/>
    </row>
    <row r="673" customFormat="false" ht="15" hidden="false" customHeight="true" outlineLevel="0" collapsed="false">
      <c r="A673" s="31"/>
      <c r="D673" s="32"/>
      <c r="E673" s="33"/>
      <c r="G673" s="34"/>
    </row>
    <row r="674" customFormat="false" ht="15" hidden="false" customHeight="true" outlineLevel="0" collapsed="false">
      <c r="A674" s="31"/>
      <c r="D674" s="32"/>
      <c r="E674" s="33"/>
      <c r="G674" s="34"/>
    </row>
    <row r="675" customFormat="false" ht="15" hidden="false" customHeight="true" outlineLevel="0" collapsed="false">
      <c r="A675" s="31"/>
      <c r="D675" s="32"/>
      <c r="E675" s="33"/>
      <c r="G675" s="34"/>
    </row>
    <row r="676" customFormat="false" ht="15" hidden="false" customHeight="true" outlineLevel="0" collapsed="false">
      <c r="A676" s="31"/>
      <c r="D676" s="32"/>
      <c r="E676" s="33"/>
      <c r="G676" s="34"/>
    </row>
    <row r="677" customFormat="false" ht="15" hidden="false" customHeight="true" outlineLevel="0" collapsed="false">
      <c r="A677" s="31"/>
      <c r="D677" s="32"/>
      <c r="E677" s="33"/>
      <c r="G677" s="34"/>
    </row>
    <row r="678" customFormat="false" ht="15" hidden="false" customHeight="true" outlineLevel="0" collapsed="false">
      <c r="A678" s="31"/>
      <c r="D678" s="32"/>
      <c r="E678" s="33"/>
      <c r="G678" s="34"/>
    </row>
    <row r="679" customFormat="false" ht="15" hidden="false" customHeight="true" outlineLevel="0" collapsed="false">
      <c r="A679" s="31"/>
      <c r="D679" s="32"/>
      <c r="E679" s="33"/>
      <c r="G679" s="34"/>
    </row>
    <row r="680" customFormat="false" ht="15" hidden="false" customHeight="true" outlineLevel="0" collapsed="false">
      <c r="A680" s="31"/>
      <c r="D680" s="32"/>
      <c r="E680" s="33"/>
      <c r="G680" s="34"/>
    </row>
    <row r="681" customFormat="false" ht="15" hidden="false" customHeight="true" outlineLevel="0" collapsed="false">
      <c r="A681" s="31"/>
      <c r="D681" s="32"/>
      <c r="E681" s="33"/>
      <c r="G681" s="34"/>
    </row>
    <row r="682" customFormat="false" ht="15" hidden="false" customHeight="true" outlineLevel="0" collapsed="false">
      <c r="A682" s="31"/>
      <c r="D682" s="32"/>
      <c r="E682" s="33"/>
      <c r="G682" s="34"/>
    </row>
    <row r="683" customFormat="false" ht="15" hidden="false" customHeight="true" outlineLevel="0" collapsed="false">
      <c r="A683" s="31"/>
      <c r="D683" s="32"/>
      <c r="E683" s="33"/>
      <c r="G683" s="34"/>
    </row>
    <row r="684" customFormat="false" ht="15" hidden="false" customHeight="true" outlineLevel="0" collapsed="false">
      <c r="A684" s="31"/>
      <c r="D684" s="32"/>
      <c r="E684" s="33"/>
      <c r="G684" s="34"/>
    </row>
    <row r="685" customFormat="false" ht="15" hidden="false" customHeight="true" outlineLevel="0" collapsed="false">
      <c r="A685" s="31"/>
      <c r="D685" s="32"/>
      <c r="E685" s="33"/>
      <c r="G685" s="34"/>
    </row>
    <row r="686" customFormat="false" ht="15" hidden="false" customHeight="true" outlineLevel="0" collapsed="false">
      <c r="A686" s="31"/>
      <c r="D686" s="32"/>
      <c r="E686" s="33"/>
      <c r="G686" s="34"/>
    </row>
    <row r="687" customFormat="false" ht="15" hidden="false" customHeight="true" outlineLevel="0" collapsed="false">
      <c r="A687" s="31"/>
      <c r="D687" s="32"/>
      <c r="E687" s="33"/>
      <c r="G687" s="34"/>
    </row>
    <row r="688" customFormat="false" ht="15" hidden="false" customHeight="true" outlineLevel="0" collapsed="false">
      <c r="A688" s="31"/>
      <c r="D688" s="32"/>
      <c r="E688" s="33"/>
      <c r="G688" s="34"/>
    </row>
    <row r="689" customFormat="false" ht="15" hidden="false" customHeight="true" outlineLevel="0" collapsed="false">
      <c r="A689" s="31"/>
      <c r="D689" s="32"/>
      <c r="E689" s="33"/>
      <c r="G689" s="34"/>
    </row>
    <row r="690" customFormat="false" ht="15" hidden="false" customHeight="true" outlineLevel="0" collapsed="false">
      <c r="A690" s="31"/>
      <c r="D690" s="32"/>
      <c r="E690" s="33"/>
      <c r="G690" s="34"/>
    </row>
    <row r="691" customFormat="false" ht="15" hidden="false" customHeight="true" outlineLevel="0" collapsed="false">
      <c r="A691" s="31"/>
      <c r="D691" s="32"/>
      <c r="E691" s="33"/>
      <c r="G691" s="34"/>
    </row>
    <row r="692" customFormat="false" ht="15" hidden="false" customHeight="true" outlineLevel="0" collapsed="false">
      <c r="A692" s="31"/>
      <c r="D692" s="32"/>
      <c r="E692" s="33"/>
      <c r="G692" s="34"/>
    </row>
    <row r="693" customFormat="false" ht="15" hidden="false" customHeight="true" outlineLevel="0" collapsed="false">
      <c r="A693" s="31"/>
      <c r="D693" s="32"/>
      <c r="E693" s="33"/>
      <c r="G693" s="34"/>
    </row>
    <row r="694" customFormat="false" ht="15" hidden="false" customHeight="true" outlineLevel="0" collapsed="false">
      <c r="A694" s="31"/>
      <c r="D694" s="32"/>
      <c r="E694" s="33"/>
      <c r="G694" s="34"/>
    </row>
    <row r="695" customFormat="false" ht="15" hidden="false" customHeight="true" outlineLevel="0" collapsed="false">
      <c r="A695" s="31"/>
      <c r="D695" s="32"/>
      <c r="E695" s="33"/>
      <c r="G695" s="34"/>
    </row>
    <row r="696" customFormat="false" ht="15" hidden="false" customHeight="true" outlineLevel="0" collapsed="false">
      <c r="A696" s="31"/>
      <c r="D696" s="32"/>
      <c r="E696" s="33"/>
      <c r="G696" s="34"/>
    </row>
    <row r="697" customFormat="false" ht="15" hidden="false" customHeight="true" outlineLevel="0" collapsed="false">
      <c r="A697" s="31"/>
      <c r="D697" s="32"/>
      <c r="E697" s="33"/>
      <c r="G697" s="34"/>
    </row>
    <row r="698" customFormat="false" ht="15" hidden="false" customHeight="true" outlineLevel="0" collapsed="false">
      <c r="A698" s="31"/>
      <c r="D698" s="32"/>
      <c r="E698" s="33"/>
      <c r="G698" s="34"/>
    </row>
    <row r="699" customFormat="false" ht="15" hidden="false" customHeight="true" outlineLevel="0" collapsed="false">
      <c r="A699" s="31"/>
      <c r="D699" s="32"/>
      <c r="E699" s="33"/>
      <c r="G699" s="34"/>
    </row>
    <row r="700" customFormat="false" ht="15" hidden="false" customHeight="true" outlineLevel="0" collapsed="false">
      <c r="A700" s="31"/>
      <c r="D700" s="32"/>
      <c r="E700" s="33"/>
      <c r="G700" s="34"/>
    </row>
    <row r="701" customFormat="false" ht="15" hidden="false" customHeight="true" outlineLevel="0" collapsed="false">
      <c r="A701" s="31"/>
      <c r="D701" s="32"/>
      <c r="E701" s="33"/>
      <c r="G701" s="34"/>
    </row>
    <row r="702" customFormat="false" ht="15" hidden="false" customHeight="true" outlineLevel="0" collapsed="false">
      <c r="A702" s="31"/>
      <c r="D702" s="32"/>
      <c r="E702" s="33"/>
      <c r="G702" s="34"/>
    </row>
    <row r="703" customFormat="false" ht="15" hidden="false" customHeight="true" outlineLevel="0" collapsed="false">
      <c r="A703" s="31"/>
      <c r="D703" s="32"/>
      <c r="E703" s="33"/>
      <c r="G703" s="34"/>
    </row>
    <row r="704" customFormat="false" ht="15" hidden="false" customHeight="true" outlineLevel="0" collapsed="false">
      <c r="A704" s="31"/>
      <c r="D704" s="32"/>
      <c r="E704" s="33"/>
      <c r="G704" s="34"/>
    </row>
    <row r="705" customFormat="false" ht="15" hidden="false" customHeight="true" outlineLevel="0" collapsed="false">
      <c r="A705" s="31"/>
      <c r="D705" s="32"/>
      <c r="E705" s="33"/>
      <c r="G705" s="34"/>
    </row>
    <row r="706" customFormat="false" ht="15" hidden="false" customHeight="true" outlineLevel="0" collapsed="false">
      <c r="A706" s="31"/>
      <c r="D706" s="32"/>
      <c r="E706" s="33"/>
      <c r="G706" s="34"/>
    </row>
    <row r="707" customFormat="false" ht="15" hidden="false" customHeight="true" outlineLevel="0" collapsed="false">
      <c r="A707" s="31"/>
      <c r="D707" s="32"/>
      <c r="E707" s="33"/>
      <c r="G707" s="34"/>
    </row>
    <row r="708" customFormat="false" ht="15" hidden="false" customHeight="true" outlineLevel="0" collapsed="false">
      <c r="A708" s="31"/>
      <c r="D708" s="32"/>
      <c r="E708" s="33"/>
      <c r="G708" s="34"/>
    </row>
    <row r="709" customFormat="false" ht="15" hidden="false" customHeight="true" outlineLevel="0" collapsed="false">
      <c r="A709" s="31"/>
      <c r="D709" s="32"/>
      <c r="E709" s="33"/>
      <c r="G709" s="34"/>
    </row>
    <row r="710" customFormat="false" ht="15" hidden="false" customHeight="true" outlineLevel="0" collapsed="false">
      <c r="A710" s="31"/>
      <c r="D710" s="32"/>
      <c r="E710" s="33"/>
      <c r="G710" s="34"/>
    </row>
    <row r="711" customFormat="false" ht="15" hidden="false" customHeight="true" outlineLevel="0" collapsed="false">
      <c r="A711" s="31"/>
      <c r="D711" s="32"/>
      <c r="E711" s="33"/>
      <c r="G711" s="34"/>
    </row>
    <row r="712" customFormat="false" ht="15" hidden="false" customHeight="true" outlineLevel="0" collapsed="false">
      <c r="A712" s="31"/>
      <c r="D712" s="32"/>
      <c r="E712" s="33"/>
      <c r="G712" s="34"/>
    </row>
    <row r="713" customFormat="false" ht="15" hidden="false" customHeight="true" outlineLevel="0" collapsed="false">
      <c r="A713" s="31"/>
      <c r="D713" s="32"/>
      <c r="E713" s="33"/>
      <c r="G713" s="34"/>
    </row>
    <row r="714" customFormat="false" ht="15" hidden="false" customHeight="true" outlineLevel="0" collapsed="false">
      <c r="A714" s="31"/>
      <c r="D714" s="32"/>
      <c r="E714" s="33"/>
      <c r="G714" s="34"/>
    </row>
    <row r="715" customFormat="false" ht="15" hidden="false" customHeight="true" outlineLevel="0" collapsed="false">
      <c r="A715" s="31"/>
      <c r="D715" s="32"/>
      <c r="E715" s="33"/>
      <c r="G715" s="34"/>
    </row>
    <row r="716" customFormat="false" ht="15" hidden="false" customHeight="true" outlineLevel="0" collapsed="false">
      <c r="A716" s="31"/>
      <c r="D716" s="32"/>
      <c r="E716" s="33"/>
      <c r="G716" s="34"/>
    </row>
    <row r="717" customFormat="false" ht="15" hidden="false" customHeight="true" outlineLevel="0" collapsed="false">
      <c r="A717" s="31"/>
      <c r="D717" s="32"/>
      <c r="E717" s="33"/>
      <c r="G717" s="34"/>
    </row>
    <row r="718" customFormat="false" ht="15" hidden="false" customHeight="true" outlineLevel="0" collapsed="false">
      <c r="A718" s="31"/>
      <c r="D718" s="32"/>
      <c r="E718" s="33"/>
      <c r="G718" s="34"/>
    </row>
    <row r="719" customFormat="false" ht="15" hidden="false" customHeight="true" outlineLevel="0" collapsed="false">
      <c r="A719" s="31"/>
      <c r="D719" s="32"/>
      <c r="E719" s="33"/>
      <c r="G719" s="34"/>
    </row>
    <row r="720" customFormat="false" ht="15" hidden="false" customHeight="true" outlineLevel="0" collapsed="false">
      <c r="A720" s="31"/>
      <c r="D720" s="32"/>
      <c r="E720" s="33"/>
      <c r="G720" s="34"/>
    </row>
    <row r="721" customFormat="false" ht="15" hidden="false" customHeight="true" outlineLevel="0" collapsed="false">
      <c r="A721" s="31"/>
      <c r="D721" s="32"/>
      <c r="E721" s="33"/>
      <c r="G721" s="34"/>
    </row>
    <row r="722" customFormat="false" ht="15" hidden="false" customHeight="true" outlineLevel="0" collapsed="false">
      <c r="A722" s="31"/>
      <c r="D722" s="32"/>
      <c r="E722" s="33"/>
      <c r="G722" s="34"/>
    </row>
    <row r="723" customFormat="false" ht="15" hidden="false" customHeight="true" outlineLevel="0" collapsed="false">
      <c r="A723" s="31"/>
      <c r="D723" s="32"/>
      <c r="E723" s="33"/>
      <c r="G723" s="34"/>
    </row>
    <row r="724" customFormat="false" ht="15" hidden="false" customHeight="true" outlineLevel="0" collapsed="false">
      <c r="A724" s="31"/>
      <c r="D724" s="32"/>
      <c r="E724" s="33"/>
      <c r="G724" s="34"/>
    </row>
    <row r="725" customFormat="false" ht="15" hidden="false" customHeight="true" outlineLevel="0" collapsed="false">
      <c r="A725" s="31"/>
      <c r="D725" s="32"/>
      <c r="E725" s="33"/>
      <c r="G725" s="34"/>
    </row>
    <row r="726" customFormat="false" ht="15" hidden="false" customHeight="true" outlineLevel="0" collapsed="false">
      <c r="A726" s="31"/>
      <c r="D726" s="32"/>
      <c r="E726" s="33"/>
      <c r="G726" s="34"/>
    </row>
    <row r="727" customFormat="false" ht="15" hidden="false" customHeight="true" outlineLevel="0" collapsed="false">
      <c r="A727" s="31"/>
      <c r="D727" s="32"/>
      <c r="E727" s="33"/>
      <c r="G727" s="34"/>
    </row>
    <row r="728" customFormat="false" ht="15" hidden="false" customHeight="true" outlineLevel="0" collapsed="false">
      <c r="A728" s="31"/>
      <c r="D728" s="32"/>
      <c r="E728" s="33"/>
      <c r="G728" s="34"/>
    </row>
    <row r="729" customFormat="false" ht="15" hidden="false" customHeight="true" outlineLevel="0" collapsed="false">
      <c r="A729" s="31"/>
      <c r="D729" s="32"/>
      <c r="E729" s="33"/>
      <c r="G729" s="34"/>
    </row>
    <row r="730" customFormat="false" ht="15" hidden="false" customHeight="true" outlineLevel="0" collapsed="false">
      <c r="A730" s="31"/>
      <c r="D730" s="32"/>
      <c r="E730" s="33"/>
      <c r="G730" s="34"/>
    </row>
    <row r="731" customFormat="false" ht="15" hidden="false" customHeight="true" outlineLevel="0" collapsed="false">
      <c r="A731" s="31"/>
      <c r="D731" s="32"/>
      <c r="E731" s="33"/>
      <c r="G731" s="34"/>
    </row>
    <row r="732" customFormat="false" ht="15" hidden="false" customHeight="true" outlineLevel="0" collapsed="false">
      <c r="A732" s="31"/>
      <c r="D732" s="32"/>
      <c r="E732" s="33"/>
      <c r="G732" s="34"/>
    </row>
    <row r="733" customFormat="false" ht="15" hidden="false" customHeight="true" outlineLevel="0" collapsed="false">
      <c r="A733" s="31"/>
      <c r="D733" s="32"/>
      <c r="E733" s="33"/>
      <c r="G733" s="34"/>
    </row>
    <row r="734" customFormat="false" ht="15" hidden="false" customHeight="true" outlineLevel="0" collapsed="false">
      <c r="A734" s="31"/>
      <c r="D734" s="32"/>
      <c r="E734" s="33"/>
      <c r="G734" s="34"/>
    </row>
    <row r="735" customFormat="false" ht="15" hidden="false" customHeight="true" outlineLevel="0" collapsed="false">
      <c r="A735" s="31"/>
      <c r="D735" s="32"/>
      <c r="E735" s="33"/>
      <c r="G735" s="34"/>
    </row>
    <row r="736" customFormat="false" ht="15" hidden="false" customHeight="true" outlineLevel="0" collapsed="false">
      <c r="A736" s="31"/>
      <c r="D736" s="32"/>
      <c r="E736" s="33"/>
      <c r="G736" s="34"/>
    </row>
    <row r="737" customFormat="false" ht="15" hidden="false" customHeight="true" outlineLevel="0" collapsed="false">
      <c r="A737" s="31"/>
      <c r="D737" s="32"/>
      <c r="E737" s="33"/>
      <c r="G737" s="34"/>
    </row>
    <row r="738" customFormat="false" ht="15" hidden="false" customHeight="true" outlineLevel="0" collapsed="false">
      <c r="A738" s="31"/>
      <c r="D738" s="32"/>
      <c r="E738" s="33"/>
      <c r="G738" s="34"/>
    </row>
    <row r="739" customFormat="false" ht="15" hidden="false" customHeight="true" outlineLevel="0" collapsed="false">
      <c r="A739" s="31"/>
      <c r="D739" s="32"/>
      <c r="E739" s="33"/>
      <c r="G739" s="34"/>
    </row>
    <row r="740" customFormat="false" ht="15" hidden="false" customHeight="true" outlineLevel="0" collapsed="false">
      <c r="A740" s="31"/>
      <c r="D740" s="32"/>
      <c r="E740" s="33"/>
      <c r="G740" s="34"/>
    </row>
    <row r="741" customFormat="false" ht="15" hidden="false" customHeight="true" outlineLevel="0" collapsed="false">
      <c r="A741" s="31"/>
      <c r="D741" s="32"/>
      <c r="E741" s="33"/>
      <c r="G741" s="34"/>
    </row>
    <row r="742" customFormat="false" ht="15" hidden="false" customHeight="true" outlineLevel="0" collapsed="false">
      <c r="A742" s="31"/>
      <c r="D742" s="32"/>
      <c r="E742" s="33"/>
      <c r="G742" s="34"/>
    </row>
    <row r="743" customFormat="false" ht="15" hidden="false" customHeight="true" outlineLevel="0" collapsed="false">
      <c r="A743" s="31"/>
      <c r="D743" s="32"/>
      <c r="E743" s="33"/>
      <c r="G743" s="34"/>
    </row>
    <row r="744" customFormat="false" ht="15" hidden="false" customHeight="true" outlineLevel="0" collapsed="false">
      <c r="A744" s="31"/>
      <c r="D744" s="32"/>
      <c r="E744" s="33"/>
      <c r="G744" s="34"/>
    </row>
    <row r="745" customFormat="false" ht="15" hidden="false" customHeight="true" outlineLevel="0" collapsed="false">
      <c r="A745" s="31"/>
      <c r="D745" s="32"/>
      <c r="E745" s="33"/>
      <c r="G745" s="34"/>
    </row>
    <row r="746" customFormat="false" ht="15" hidden="false" customHeight="true" outlineLevel="0" collapsed="false">
      <c r="A746" s="31"/>
      <c r="D746" s="32"/>
      <c r="E746" s="33"/>
      <c r="G746" s="34"/>
    </row>
    <row r="747" customFormat="false" ht="15" hidden="false" customHeight="true" outlineLevel="0" collapsed="false">
      <c r="A747" s="31"/>
      <c r="D747" s="32"/>
      <c r="E747" s="33"/>
      <c r="G747" s="34"/>
    </row>
    <row r="748" customFormat="false" ht="15" hidden="false" customHeight="true" outlineLevel="0" collapsed="false">
      <c r="A748" s="31"/>
      <c r="D748" s="32"/>
      <c r="E748" s="33"/>
      <c r="G748" s="34"/>
    </row>
    <row r="749" customFormat="false" ht="15" hidden="false" customHeight="true" outlineLevel="0" collapsed="false">
      <c r="A749" s="31"/>
      <c r="D749" s="32"/>
      <c r="E749" s="33"/>
      <c r="G749" s="34"/>
    </row>
    <row r="750" customFormat="false" ht="15" hidden="false" customHeight="true" outlineLevel="0" collapsed="false">
      <c r="A750" s="31"/>
      <c r="D750" s="32"/>
      <c r="E750" s="33"/>
      <c r="G750" s="34"/>
    </row>
    <row r="751" customFormat="false" ht="15" hidden="false" customHeight="true" outlineLevel="0" collapsed="false">
      <c r="A751" s="31"/>
      <c r="D751" s="32"/>
      <c r="E751" s="33"/>
      <c r="G751" s="34"/>
    </row>
    <row r="752" customFormat="false" ht="15" hidden="false" customHeight="true" outlineLevel="0" collapsed="false">
      <c r="A752" s="31"/>
      <c r="D752" s="32"/>
      <c r="E752" s="33"/>
      <c r="G752" s="34"/>
    </row>
    <row r="753" customFormat="false" ht="15" hidden="false" customHeight="true" outlineLevel="0" collapsed="false">
      <c r="A753" s="31"/>
      <c r="D753" s="32"/>
      <c r="E753" s="33"/>
      <c r="G753" s="34"/>
    </row>
    <row r="754" customFormat="false" ht="15" hidden="false" customHeight="true" outlineLevel="0" collapsed="false">
      <c r="A754" s="31"/>
      <c r="D754" s="32"/>
      <c r="E754" s="33"/>
      <c r="G754" s="34"/>
    </row>
    <row r="755" customFormat="false" ht="15" hidden="false" customHeight="true" outlineLevel="0" collapsed="false">
      <c r="A755" s="31"/>
      <c r="D755" s="32"/>
      <c r="E755" s="33"/>
      <c r="G755" s="34"/>
    </row>
    <row r="756" customFormat="false" ht="15" hidden="false" customHeight="true" outlineLevel="0" collapsed="false">
      <c r="A756" s="31"/>
      <c r="D756" s="32"/>
      <c r="E756" s="33"/>
      <c r="G756" s="34"/>
    </row>
    <row r="757" customFormat="false" ht="15" hidden="false" customHeight="true" outlineLevel="0" collapsed="false">
      <c r="A757" s="31"/>
      <c r="D757" s="32"/>
      <c r="E757" s="33"/>
      <c r="G757" s="34"/>
    </row>
    <row r="758" customFormat="false" ht="15" hidden="false" customHeight="true" outlineLevel="0" collapsed="false">
      <c r="A758" s="31"/>
      <c r="D758" s="32"/>
      <c r="E758" s="33"/>
      <c r="G758" s="34"/>
    </row>
    <row r="759" customFormat="false" ht="15" hidden="false" customHeight="true" outlineLevel="0" collapsed="false">
      <c r="A759" s="31"/>
      <c r="D759" s="32"/>
      <c r="E759" s="33"/>
      <c r="G759" s="34"/>
    </row>
    <row r="760" customFormat="false" ht="15" hidden="false" customHeight="true" outlineLevel="0" collapsed="false">
      <c r="A760" s="31"/>
      <c r="D760" s="32"/>
      <c r="E760" s="33"/>
      <c r="G760" s="34"/>
    </row>
    <row r="761" customFormat="false" ht="15" hidden="false" customHeight="true" outlineLevel="0" collapsed="false">
      <c r="A761" s="31"/>
      <c r="D761" s="32"/>
      <c r="E761" s="33"/>
      <c r="G761" s="34"/>
    </row>
    <row r="762" customFormat="false" ht="15" hidden="false" customHeight="true" outlineLevel="0" collapsed="false">
      <c r="A762" s="31"/>
      <c r="D762" s="32"/>
      <c r="E762" s="33"/>
      <c r="G762" s="34"/>
    </row>
    <row r="763" customFormat="false" ht="15" hidden="false" customHeight="true" outlineLevel="0" collapsed="false">
      <c r="A763" s="31"/>
      <c r="D763" s="32"/>
      <c r="E763" s="33"/>
      <c r="G763" s="34"/>
    </row>
    <row r="764" customFormat="false" ht="15" hidden="false" customHeight="true" outlineLevel="0" collapsed="false">
      <c r="A764" s="31"/>
      <c r="D764" s="32"/>
      <c r="E764" s="33"/>
      <c r="G764" s="34"/>
    </row>
    <row r="765" customFormat="false" ht="15" hidden="false" customHeight="true" outlineLevel="0" collapsed="false">
      <c r="A765" s="31"/>
      <c r="D765" s="32"/>
      <c r="E765" s="33"/>
      <c r="G765" s="34"/>
    </row>
    <row r="766" customFormat="false" ht="15" hidden="false" customHeight="true" outlineLevel="0" collapsed="false">
      <c r="A766" s="31"/>
      <c r="D766" s="32"/>
      <c r="E766" s="33"/>
      <c r="G766" s="34"/>
    </row>
    <row r="767" customFormat="false" ht="15" hidden="false" customHeight="true" outlineLevel="0" collapsed="false">
      <c r="A767" s="31"/>
      <c r="D767" s="32"/>
      <c r="E767" s="33"/>
      <c r="G767" s="34"/>
    </row>
    <row r="768" customFormat="false" ht="15" hidden="false" customHeight="true" outlineLevel="0" collapsed="false">
      <c r="A768" s="31"/>
      <c r="D768" s="32"/>
      <c r="E768" s="33"/>
      <c r="G768" s="34"/>
    </row>
    <row r="769" customFormat="false" ht="15" hidden="false" customHeight="true" outlineLevel="0" collapsed="false">
      <c r="A769" s="31"/>
      <c r="D769" s="32"/>
      <c r="E769" s="33"/>
      <c r="G769" s="34"/>
    </row>
    <row r="770" customFormat="false" ht="15" hidden="false" customHeight="true" outlineLevel="0" collapsed="false">
      <c r="A770" s="31"/>
      <c r="D770" s="32"/>
      <c r="E770" s="33"/>
      <c r="G770" s="34"/>
    </row>
    <row r="771" customFormat="false" ht="15" hidden="false" customHeight="true" outlineLevel="0" collapsed="false">
      <c r="A771" s="31"/>
      <c r="D771" s="32"/>
      <c r="E771" s="33"/>
      <c r="G771" s="34"/>
    </row>
    <row r="772" customFormat="false" ht="15" hidden="false" customHeight="true" outlineLevel="0" collapsed="false">
      <c r="A772" s="31"/>
      <c r="D772" s="32"/>
      <c r="E772" s="33"/>
      <c r="G772" s="34"/>
    </row>
    <row r="773" customFormat="false" ht="15" hidden="false" customHeight="true" outlineLevel="0" collapsed="false">
      <c r="A773" s="31"/>
      <c r="D773" s="32"/>
      <c r="E773" s="33"/>
      <c r="G773" s="34"/>
    </row>
    <row r="774" customFormat="false" ht="15" hidden="false" customHeight="true" outlineLevel="0" collapsed="false">
      <c r="A774" s="31"/>
      <c r="D774" s="32"/>
      <c r="E774" s="33"/>
      <c r="G774" s="34"/>
    </row>
    <row r="775" customFormat="false" ht="15" hidden="false" customHeight="true" outlineLevel="0" collapsed="false">
      <c r="A775" s="31"/>
      <c r="D775" s="32"/>
      <c r="E775" s="33"/>
      <c r="G775" s="34"/>
    </row>
    <row r="776" customFormat="false" ht="15" hidden="false" customHeight="true" outlineLevel="0" collapsed="false">
      <c r="A776" s="31"/>
      <c r="D776" s="32"/>
      <c r="E776" s="33"/>
      <c r="G776" s="34"/>
    </row>
    <row r="777" customFormat="false" ht="15" hidden="false" customHeight="true" outlineLevel="0" collapsed="false">
      <c r="A777" s="31"/>
      <c r="D777" s="32"/>
      <c r="E777" s="33"/>
      <c r="G777" s="34"/>
    </row>
    <row r="778" customFormat="false" ht="15" hidden="false" customHeight="true" outlineLevel="0" collapsed="false">
      <c r="A778" s="31"/>
      <c r="D778" s="32"/>
      <c r="E778" s="33"/>
      <c r="G778" s="34"/>
    </row>
    <row r="779" customFormat="false" ht="15" hidden="false" customHeight="true" outlineLevel="0" collapsed="false">
      <c r="A779" s="31"/>
      <c r="D779" s="32"/>
      <c r="E779" s="33"/>
      <c r="G779" s="34"/>
    </row>
    <row r="780" customFormat="false" ht="15" hidden="false" customHeight="true" outlineLevel="0" collapsed="false">
      <c r="A780" s="31"/>
      <c r="D780" s="32"/>
      <c r="E780" s="33"/>
      <c r="G780" s="34"/>
    </row>
    <row r="781" customFormat="false" ht="15" hidden="false" customHeight="true" outlineLevel="0" collapsed="false">
      <c r="A781" s="31"/>
      <c r="D781" s="32"/>
      <c r="E781" s="33"/>
      <c r="G781" s="34"/>
    </row>
    <row r="782" customFormat="false" ht="15" hidden="false" customHeight="true" outlineLevel="0" collapsed="false">
      <c r="A782" s="31"/>
      <c r="D782" s="32"/>
      <c r="E782" s="33"/>
      <c r="G782" s="34"/>
    </row>
    <row r="783" customFormat="false" ht="15" hidden="false" customHeight="true" outlineLevel="0" collapsed="false">
      <c r="A783" s="31"/>
      <c r="D783" s="32"/>
      <c r="E783" s="33"/>
      <c r="G783" s="34"/>
    </row>
    <row r="784" customFormat="false" ht="15" hidden="false" customHeight="true" outlineLevel="0" collapsed="false">
      <c r="A784" s="31"/>
      <c r="D784" s="32"/>
      <c r="E784" s="33"/>
      <c r="G784" s="34"/>
    </row>
    <row r="785" customFormat="false" ht="15" hidden="false" customHeight="true" outlineLevel="0" collapsed="false">
      <c r="A785" s="31"/>
      <c r="D785" s="32"/>
      <c r="E785" s="33"/>
      <c r="G785" s="34"/>
    </row>
    <row r="786" customFormat="false" ht="15" hidden="false" customHeight="true" outlineLevel="0" collapsed="false">
      <c r="A786" s="31"/>
      <c r="D786" s="32"/>
      <c r="E786" s="33"/>
      <c r="G786" s="34"/>
    </row>
    <row r="787" customFormat="false" ht="15" hidden="false" customHeight="true" outlineLevel="0" collapsed="false">
      <c r="A787" s="31"/>
      <c r="D787" s="32"/>
      <c r="E787" s="33"/>
      <c r="G787" s="34"/>
    </row>
    <row r="788" customFormat="false" ht="15" hidden="false" customHeight="true" outlineLevel="0" collapsed="false">
      <c r="A788" s="31"/>
      <c r="D788" s="32"/>
      <c r="E788" s="33"/>
      <c r="G788" s="34"/>
    </row>
    <row r="789" customFormat="false" ht="15" hidden="false" customHeight="true" outlineLevel="0" collapsed="false">
      <c r="A789" s="31"/>
      <c r="D789" s="32"/>
      <c r="E789" s="33"/>
      <c r="G789" s="34"/>
    </row>
    <row r="790" customFormat="false" ht="15" hidden="false" customHeight="true" outlineLevel="0" collapsed="false">
      <c r="A790" s="31"/>
      <c r="D790" s="32"/>
      <c r="E790" s="33"/>
      <c r="G790" s="34"/>
    </row>
    <row r="791" customFormat="false" ht="15" hidden="false" customHeight="true" outlineLevel="0" collapsed="false">
      <c r="A791" s="31"/>
      <c r="D791" s="32"/>
      <c r="E791" s="33"/>
      <c r="G791" s="34"/>
    </row>
    <row r="792" customFormat="false" ht="15" hidden="false" customHeight="true" outlineLevel="0" collapsed="false">
      <c r="A792" s="31"/>
      <c r="D792" s="32"/>
      <c r="E792" s="33"/>
      <c r="G792" s="34"/>
    </row>
    <row r="793" customFormat="false" ht="15" hidden="false" customHeight="true" outlineLevel="0" collapsed="false">
      <c r="A793" s="31"/>
      <c r="D793" s="32"/>
      <c r="E793" s="33"/>
      <c r="G793" s="34"/>
    </row>
    <row r="794" customFormat="false" ht="15" hidden="false" customHeight="true" outlineLevel="0" collapsed="false">
      <c r="A794" s="31"/>
      <c r="D794" s="32"/>
      <c r="E794" s="33"/>
      <c r="G794" s="34"/>
    </row>
    <row r="795" customFormat="false" ht="15" hidden="false" customHeight="true" outlineLevel="0" collapsed="false">
      <c r="A795" s="31"/>
      <c r="D795" s="32"/>
      <c r="E795" s="33"/>
      <c r="G795" s="34"/>
    </row>
    <row r="796" customFormat="false" ht="15" hidden="false" customHeight="true" outlineLevel="0" collapsed="false">
      <c r="A796" s="31"/>
      <c r="D796" s="32"/>
      <c r="E796" s="33"/>
      <c r="G796" s="34"/>
    </row>
    <row r="797" customFormat="false" ht="15" hidden="false" customHeight="true" outlineLevel="0" collapsed="false">
      <c r="A797" s="31"/>
      <c r="D797" s="32"/>
      <c r="E797" s="33"/>
      <c r="G797" s="34"/>
    </row>
    <row r="798" customFormat="false" ht="15" hidden="false" customHeight="true" outlineLevel="0" collapsed="false">
      <c r="A798" s="31"/>
      <c r="D798" s="32"/>
      <c r="E798" s="33"/>
      <c r="G798" s="34"/>
    </row>
    <row r="799" customFormat="false" ht="15" hidden="false" customHeight="true" outlineLevel="0" collapsed="false">
      <c r="A799" s="31"/>
      <c r="D799" s="32"/>
      <c r="E799" s="33"/>
      <c r="G799" s="34"/>
    </row>
    <row r="800" customFormat="false" ht="15" hidden="false" customHeight="true" outlineLevel="0" collapsed="false">
      <c r="A800" s="31"/>
      <c r="D800" s="32"/>
      <c r="E800" s="33"/>
      <c r="G800" s="34"/>
    </row>
    <row r="801" customFormat="false" ht="15" hidden="false" customHeight="true" outlineLevel="0" collapsed="false">
      <c r="A801" s="31"/>
      <c r="D801" s="32"/>
      <c r="E801" s="33"/>
      <c r="G801" s="34"/>
    </row>
    <row r="802" customFormat="false" ht="15" hidden="false" customHeight="true" outlineLevel="0" collapsed="false">
      <c r="A802" s="31"/>
      <c r="D802" s="32"/>
      <c r="E802" s="33"/>
      <c r="G802" s="34"/>
    </row>
    <row r="803" customFormat="false" ht="15" hidden="false" customHeight="true" outlineLevel="0" collapsed="false">
      <c r="A803" s="31"/>
      <c r="D803" s="32"/>
      <c r="E803" s="33"/>
      <c r="G803" s="34"/>
    </row>
    <row r="804" customFormat="false" ht="15" hidden="false" customHeight="true" outlineLevel="0" collapsed="false">
      <c r="A804" s="31"/>
      <c r="D804" s="32"/>
      <c r="E804" s="33"/>
      <c r="G804" s="34"/>
    </row>
    <row r="805" customFormat="false" ht="15" hidden="false" customHeight="true" outlineLevel="0" collapsed="false">
      <c r="A805" s="31"/>
      <c r="D805" s="32"/>
      <c r="E805" s="33"/>
      <c r="G805" s="34"/>
    </row>
    <row r="806" customFormat="false" ht="15" hidden="false" customHeight="true" outlineLevel="0" collapsed="false">
      <c r="A806" s="31"/>
      <c r="D806" s="32"/>
      <c r="E806" s="33"/>
      <c r="G806" s="34"/>
    </row>
    <row r="807" customFormat="false" ht="15" hidden="false" customHeight="true" outlineLevel="0" collapsed="false">
      <c r="A807" s="31"/>
      <c r="D807" s="32"/>
      <c r="E807" s="33"/>
      <c r="G807" s="34"/>
    </row>
    <row r="808" customFormat="false" ht="15" hidden="false" customHeight="true" outlineLevel="0" collapsed="false">
      <c r="A808" s="31"/>
      <c r="D808" s="32"/>
      <c r="E808" s="33"/>
      <c r="G808" s="34"/>
    </row>
    <row r="809" customFormat="false" ht="15" hidden="false" customHeight="true" outlineLevel="0" collapsed="false">
      <c r="A809" s="31"/>
      <c r="D809" s="32"/>
      <c r="E809" s="33"/>
      <c r="G809" s="34"/>
    </row>
    <row r="810" customFormat="false" ht="15" hidden="false" customHeight="true" outlineLevel="0" collapsed="false">
      <c r="A810" s="31"/>
      <c r="D810" s="32"/>
      <c r="E810" s="33"/>
      <c r="G810" s="34"/>
    </row>
    <row r="811" customFormat="false" ht="15" hidden="false" customHeight="true" outlineLevel="0" collapsed="false">
      <c r="A811" s="31"/>
      <c r="D811" s="32"/>
      <c r="E811" s="33"/>
      <c r="G811" s="34"/>
    </row>
    <row r="812" customFormat="false" ht="15" hidden="false" customHeight="true" outlineLevel="0" collapsed="false">
      <c r="A812" s="31"/>
      <c r="D812" s="32"/>
      <c r="E812" s="33"/>
      <c r="G812" s="34"/>
    </row>
    <row r="813" customFormat="false" ht="15" hidden="false" customHeight="true" outlineLevel="0" collapsed="false">
      <c r="A813" s="31"/>
      <c r="D813" s="32"/>
      <c r="E813" s="33"/>
      <c r="G813" s="34"/>
    </row>
    <row r="814" customFormat="false" ht="15" hidden="false" customHeight="true" outlineLevel="0" collapsed="false">
      <c r="A814" s="31"/>
      <c r="D814" s="32"/>
      <c r="E814" s="33"/>
      <c r="G814" s="34"/>
    </row>
    <row r="815" customFormat="false" ht="15" hidden="false" customHeight="true" outlineLevel="0" collapsed="false">
      <c r="A815" s="31"/>
      <c r="D815" s="32"/>
      <c r="E815" s="33"/>
      <c r="G815" s="34"/>
    </row>
    <row r="816" customFormat="false" ht="15" hidden="false" customHeight="true" outlineLevel="0" collapsed="false">
      <c r="A816" s="31"/>
      <c r="D816" s="32"/>
      <c r="E816" s="33"/>
      <c r="G816" s="34"/>
    </row>
    <row r="817" customFormat="false" ht="15" hidden="false" customHeight="true" outlineLevel="0" collapsed="false">
      <c r="A817" s="31"/>
      <c r="D817" s="32"/>
      <c r="E817" s="33"/>
      <c r="G817" s="34"/>
    </row>
    <row r="818" customFormat="false" ht="15" hidden="false" customHeight="true" outlineLevel="0" collapsed="false">
      <c r="A818" s="31"/>
      <c r="D818" s="32"/>
      <c r="E818" s="33"/>
      <c r="G818" s="34"/>
    </row>
    <row r="819" customFormat="false" ht="15" hidden="false" customHeight="true" outlineLevel="0" collapsed="false">
      <c r="A819" s="31"/>
      <c r="D819" s="32"/>
      <c r="E819" s="33"/>
      <c r="G819" s="34"/>
    </row>
    <row r="820" customFormat="false" ht="15" hidden="false" customHeight="true" outlineLevel="0" collapsed="false">
      <c r="A820" s="31"/>
      <c r="D820" s="32"/>
      <c r="E820" s="33"/>
      <c r="G820" s="34"/>
    </row>
    <row r="821" customFormat="false" ht="15" hidden="false" customHeight="true" outlineLevel="0" collapsed="false">
      <c r="A821" s="31"/>
      <c r="D821" s="32"/>
      <c r="E821" s="33"/>
      <c r="G821" s="34"/>
    </row>
    <row r="822" customFormat="false" ht="15" hidden="false" customHeight="true" outlineLevel="0" collapsed="false">
      <c r="A822" s="31"/>
      <c r="D822" s="32"/>
      <c r="E822" s="33"/>
      <c r="G822" s="34"/>
    </row>
    <row r="823" customFormat="false" ht="15" hidden="false" customHeight="true" outlineLevel="0" collapsed="false">
      <c r="A823" s="31"/>
      <c r="D823" s="32"/>
      <c r="E823" s="33"/>
      <c r="G823" s="34"/>
    </row>
    <row r="824" customFormat="false" ht="15" hidden="false" customHeight="true" outlineLevel="0" collapsed="false">
      <c r="A824" s="31"/>
      <c r="D824" s="32"/>
      <c r="E824" s="33"/>
      <c r="G824" s="34"/>
    </row>
    <row r="825" customFormat="false" ht="15" hidden="false" customHeight="true" outlineLevel="0" collapsed="false">
      <c r="A825" s="31"/>
      <c r="D825" s="32"/>
      <c r="E825" s="33"/>
      <c r="G825" s="34"/>
    </row>
    <row r="826" customFormat="false" ht="15" hidden="false" customHeight="true" outlineLevel="0" collapsed="false">
      <c r="A826" s="31"/>
      <c r="D826" s="32"/>
      <c r="E826" s="33"/>
      <c r="G826" s="34"/>
    </row>
    <row r="827" customFormat="false" ht="15" hidden="false" customHeight="true" outlineLevel="0" collapsed="false">
      <c r="A827" s="31"/>
      <c r="D827" s="32"/>
      <c r="E827" s="33"/>
      <c r="G827" s="34"/>
    </row>
    <row r="828" customFormat="false" ht="15" hidden="false" customHeight="true" outlineLevel="0" collapsed="false">
      <c r="A828" s="31"/>
      <c r="D828" s="32"/>
      <c r="E828" s="33"/>
      <c r="G828" s="34"/>
    </row>
    <row r="829" customFormat="false" ht="15" hidden="false" customHeight="true" outlineLevel="0" collapsed="false">
      <c r="A829" s="31"/>
      <c r="D829" s="32"/>
      <c r="E829" s="33"/>
      <c r="G829" s="34"/>
    </row>
    <row r="830" customFormat="false" ht="15" hidden="false" customHeight="true" outlineLevel="0" collapsed="false">
      <c r="A830" s="31"/>
      <c r="D830" s="32"/>
      <c r="E830" s="33"/>
      <c r="G830" s="34"/>
    </row>
    <row r="831" customFormat="false" ht="15" hidden="false" customHeight="true" outlineLevel="0" collapsed="false">
      <c r="A831" s="31"/>
      <c r="D831" s="32"/>
      <c r="E831" s="33"/>
      <c r="G831" s="34"/>
    </row>
    <row r="832" customFormat="false" ht="15" hidden="false" customHeight="true" outlineLevel="0" collapsed="false">
      <c r="A832" s="31"/>
      <c r="D832" s="32"/>
      <c r="E832" s="33"/>
      <c r="G832" s="34"/>
    </row>
    <row r="833" customFormat="false" ht="15" hidden="false" customHeight="true" outlineLevel="0" collapsed="false">
      <c r="A833" s="31"/>
      <c r="D833" s="32"/>
      <c r="E833" s="33"/>
      <c r="G833" s="34"/>
    </row>
    <row r="834" customFormat="false" ht="15" hidden="false" customHeight="true" outlineLevel="0" collapsed="false">
      <c r="A834" s="31"/>
      <c r="D834" s="32"/>
      <c r="E834" s="33"/>
      <c r="G834" s="34"/>
    </row>
    <row r="835" customFormat="false" ht="15" hidden="false" customHeight="true" outlineLevel="0" collapsed="false">
      <c r="A835" s="31"/>
      <c r="D835" s="32"/>
      <c r="E835" s="33"/>
      <c r="G835" s="34"/>
    </row>
    <row r="836" customFormat="false" ht="15" hidden="false" customHeight="true" outlineLevel="0" collapsed="false">
      <c r="A836" s="31"/>
      <c r="D836" s="32"/>
      <c r="E836" s="33"/>
      <c r="G836" s="34"/>
    </row>
    <row r="837" customFormat="false" ht="15" hidden="false" customHeight="true" outlineLevel="0" collapsed="false">
      <c r="A837" s="31"/>
      <c r="D837" s="32"/>
      <c r="E837" s="33"/>
      <c r="G837" s="34"/>
    </row>
    <row r="838" customFormat="false" ht="15" hidden="false" customHeight="true" outlineLevel="0" collapsed="false">
      <c r="A838" s="31"/>
      <c r="D838" s="32"/>
      <c r="E838" s="33"/>
      <c r="G838" s="34"/>
    </row>
    <row r="839" customFormat="false" ht="15" hidden="false" customHeight="true" outlineLevel="0" collapsed="false">
      <c r="A839" s="31"/>
      <c r="D839" s="32"/>
      <c r="E839" s="33"/>
      <c r="G839" s="34"/>
    </row>
    <row r="840" customFormat="false" ht="15" hidden="false" customHeight="true" outlineLevel="0" collapsed="false">
      <c r="A840" s="31"/>
      <c r="D840" s="32"/>
      <c r="E840" s="33"/>
      <c r="G840" s="34"/>
    </row>
    <row r="841" customFormat="false" ht="15" hidden="false" customHeight="true" outlineLevel="0" collapsed="false">
      <c r="A841" s="31"/>
      <c r="D841" s="32"/>
      <c r="E841" s="33"/>
      <c r="G841" s="34"/>
    </row>
    <row r="842" customFormat="false" ht="15" hidden="false" customHeight="true" outlineLevel="0" collapsed="false">
      <c r="A842" s="31"/>
      <c r="D842" s="32"/>
      <c r="E842" s="33"/>
      <c r="G842" s="34"/>
    </row>
    <row r="843" customFormat="false" ht="15" hidden="false" customHeight="true" outlineLevel="0" collapsed="false">
      <c r="A843" s="31"/>
      <c r="D843" s="32"/>
      <c r="E843" s="33"/>
      <c r="G843" s="34"/>
    </row>
    <row r="844" customFormat="false" ht="15" hidden="false" customHeight="true" outlineLevel="0" collapsed="false">
      <c r="A844" s="31"/>
      <c r="D844" s="32"/>
      <c r="E844" s="33"/>
      <c r="G844" s="34"/>
    </row>
    <row r="845" customFormat="false" ht="15" hidden="false" customHeight="true" outlineLevel="0" collapsed="false">
      <c r="A845" s="31"/>
      <c r="D845" s="32"/>
      <c r="E845" s="33"/>
      <c r="G845" s="34"/>
    </row>
    <row r="846" customFormat="false" ht="15" hidden="false" customHeight="true" outlineLevel="0" collapsed="false">
      <c r="A846" s="31"/>
      <c r="D846" s="32"/>
      <c r="E846" s="33"/>
      <c r="G846" s="34"/>
    </row>
    <row r="847" customFormat="false" ht="15" hidden="false" customHeight="true" outlineLevel="0" collapsed="false">
      <c r="A847" s="31"/>
      <c r="D847" s="32"/>
      <c r="E847" s="33"/>
      <c r="G847" s="34"/>
    </row>
    <row r="848" customFormat="false" ht="15" hidden="false" customHeight="true" outlineLevel="0" collapsed="false">
      <c r="A848" s="31"/>
      <c r="D848" s="32"/>
      <c r="E848" s="33"/>
      <c r="G848" s="34"/>
    </row>
    <row r="849" customFormat="false" ht="15" hidden="false" customHeight="true" outlineLevel="0" collapsed="false">
      <c r="A849" s="31"/>
      <c r="D849" s="32"/>
      <c r="E849" s="33"/>
      <c r="G849" s="34"/>
    </row>
    <row r="850" customFormat="false" ht="15" hidden="false" customHeight="true" outlineLevel="0" collapsed="false">
      <c r="A850" s="31"/>
      <c r="D850" s="32"/>
      <c r="E850" s="33"/>
      <c r="G850" s="34"/>
    </row>
    <row r="851" customFormat="false" ht="15" hidden="false" customHeight="true" outlineLevel="0" collapsed="false">
      <c r="A851" s="31"/>
      <c r="D851" s="32"/>
      <c r="E851" s="33"/>
      <c r="G851" s="34"/>
    </row>
    <row r="852" customFormat="false" ht="15" hidden="false" customHeight="true" outlineLevel="0" collapsed="false">
      <c r="A852" s="31"/>
      <c r="D852" s="32"/>
      <c r="E852" s="33"/>
      <c r="G852" s="34"/>
    </row>
    <row r="853" customFormat="false" ht="15" hidden="false" customHeight="true" outlineLevel="0" collapsed="false">
      <c r="A853" s="31"/>
      <c r="D853" s="32"/>
      <c r="E853" s="33"/>
      <c r="G853" s="34"/>
    </row>
    <row r="854" customFormat="false" ht="15" hidden="false" customHeight="true" outlineLevel="0" collapsed="false">
      <c r="A854" s="31"/>
      <c r="D854" s="32"/>
      <c r="E854" s="33"/>
      <c r="G854" s="34"/>
    </row>
    <row r="855" customFormat="false" ht="15" hidden="false" customHeight="true" outlineLevel="0" collapsed="false">
      <c r="A855" s="31"/>
      <c r="D855" s="32"/>
      <c r="E855" s="33"/>
      <c r="G855" s="34"/>
    </row>
    <row r="856" customFormat="false" ht="15" hidden="false" customHeight="true" outlineLevel="0" collapsed="false">
      <c r="A856" s="31"/>
      <c r="D856" s="32"/>
      <c r="E856" s="33"/>
      <c r="G856" s="34"/>
    </row>
    <row r="857" customFormat="false" ht="15" hidden="false" customHeight="true" outlineLevel="0" collapsed="false">
      <c r="A857" s="31"/>
      <c r="D857" s="32"/>
      <c r="E857" s="33"/>
      <c r="G857" s="34"/>
    </row>
    <row r="858" customFormat="false" ht="15" hidden="false" customHeight="true" outlineLevel="0" collapsed="false">
      <c r="A858" s="31"/>
      <c r="D858" s="32"/>
      <c r="E858" s="33"/>
      <c r="G858" s="34"/>
    </row>
    <row r="859" customFormat="false" ht="15" hidden="false" customHeight="true" outlineLevel="0" collapsed="false">
      <c r="A859" s="31"/>
      <c r="D859" s="32"/>
      <c r="E859" s="33"/>
      <c r="G859" s="34"/>
    </row>
    <row r="860" customFormat="false" ht="15" hidden="false" customHeight="true" outlineLevel="0" collapsed="false">
      <c r="A860" s="31"/>
      <c r="D860" s="32"/>
      <c r="E860" s="33"/>
      <c r="G860" s="34"/>
    </row>
    <row r="861" customFormat="false" ht="15" hidden="false" customHeight="true" outlineLevel="0" collapsed="false">
      <c r="A861" s="31"/>
      <c r="D861" s="32"/>
      <c r="E861" s="33"/>
      <c r="G861" s="34"/>
    </row>
    <row r="862" customFormat="false" ht="15" hidden="false" customHeight="true" outlineLevel="0" collapsed="false">
      <c r="A862" s="31"/>
      <c r="D862" s="32"/>
      <c r="E862" s="33"/>
      <c r="G862" s="34"/>
    </row>
    <row r="863" customFormat="false" ht="15" hidden="false" customHeight="true" outlineLevel="0" collapsed="false">
      <c r="A863" s="31"/>
      <c r="D863" s="32"/>
      <c r="E863" s="33"/>
      <c r="G863" s="34"/>
    </row>
    <row r="864" customFormat="false" ht="15" hidden="false" customHeight="true" outlineLevel="0" collapsed="false">
      <c r="A864" s="31"/>
      <c r="D864" s="32"/>
      <c r="E864" s="33"/>
      <c r="G864" s="34"/>
    </row>
    <row r="865" customFormat="false" ht="15" hidden="false" customHeight="true" outlineLevel="0" collapsed="false">
      <c r="A865" s="31"/>
      <c r="D865" s="32"/>
      <c r="E865" s="33"/>
      <c r="G865" s="34"/>
    </row>
    <row r="866" customFormat="false" ht="15" hidden="false" customHeight="true" outlineLevel="0" collapsed="false">
      <c r="A866" s="31"/>
      <c r="D866" s="32"/>
      <c r="E866" s="33"/>
      <c r="G866" s="34"/>
    </row>
    <row r="867" customFormat="false" ht="15" hidden="false" customHeight="true" outlineLevel="0" collapsed="false">
      <c r="A867" s="31"/>
      <c r="D867" s="32"/>
      <c r="E867" s="33"/>
      <c r="G867" s="34"/>
    </row>
    <row r="868" customFormat="false" ht="15" hidden="false" customHeight="true" outlineLevel="0" collapsed="false">
      <c r="A868" s="31"/>
      <c r="D868" s="32"/>
      <c r="E868" s="33"/>
      <c r="G868" s="34"/>
    </row>
    <row r="869" customFormat="false" ht="15" hidden="false" customHeight="true" outlineLevel="0" collapsed="false">
      <c r="A869" s="31"/>
      <c r="D869" s="32"/>
      <c r="E869" s="33"/>
      <c r="G869" s="34"/>
    </row>
    <row r="870" customFormat="false" ht="15" hidden="false" customHeight="true" outlineLevel="0" collapsed="false">
      <c r="A870" s="31"/>
      <c r="D870" s="32"/>
      <c r="E870" s="33"/>
      <c r="G870" s="34"/>
    </row>
    <row r="871" customFormat="false" ht="15" hidden="false" customHeight="true" outlineLevel="0" collapsed="false">
      <c r="A871" s="31"/>
      <c r="D871" s="32"/>
      <c r="E871" s="33"/>
      <c r="G871" s="34"/>
    </row>
    <row r="872" customFormat="false" ht="15" hidden="false" customHeight="true" outlineLevel="0" collapsed="false">
      <c r="A872" s="31"/>
      <c r="D872" s="32"/>
      <c r="E872" s="33"/>
      <c r="G872" s="34"/>
    </row>
    <row r="873" customFormat="false" ht="15" hidden="false" customHeight="true" outlineLevel="0" collapsed="false">
      <c r="A873" s="31"/>
      <c r="D873" s="32"/>
      <c r="E873" s="33"/>
      <c r="G873" s="34"/>
    </row>
    <row r="874" customFormat="false" ht="15" hidden="false" customHeight="true" outlineLevel="0" collapsed="false">
      <c r="A874" s="31"/>
      <c r="D874" s="32"/>
      <c r="E874" s="33"/>
      <c r="G874" s="34"/>
    </row>
    <row r="875" customFormat="false" ht="15" hidden="false" customHeight="true" outlineLevel="0" collapsed="false">
      <c r="A875" s="31"/>
      <c r="D875" s="32"/>
      <c r="E875" s="33"/>
      <c r="G875" s="34"/>
    </row>
    <row r="876" customFormat="false" ht="15" hidden="false" customHeight="true" outlineLevel="0" collapsed="false">
      <c r="A876" s="31"/>
      <c r="D876" s="32"/>
      <c r="E876" s="33"/>
      <c r="G876" s="34"/>
    </row>
    <row r="877" customFormat="false" ht="15" hidden="false" customHeight="true" outlineLevel="0" collapsed="false">
      <c r="A877" s="31"/>
      <c r="D877" s="32"/>
      <c r="E877" s="33"/>
      <c r="G877" s="34"/>
    </row>
    <row r="878" customFormat="false" ht="15" hidden="false" customHeight="true" outlineLevel="0" collapsed="false">
      <c r="A878" s="31"/>
      <c r="D878" s="32"/>
      <c r="E878" s="33"/>
      <c r="G878" s="34"/>
    </row>
    <row r="879" customFormat="false" ht="15" hidden="false" customHeight="true" outlineLevel="0" collapsed="false">
      <c r="A879" s="31"/>
      <c r="D879" s="32"/>
      <c r="E879" s="33"/>
      <c r="G879" s="34"/>
    </row>
    <row r="880" customFormat="false" ht="15" hidden="false" customHeight="true" outlineLevel="0" collapsed="false">
      <c r="A880" s="31"/>
      <c r="D880" s="32"/>
      <c r="E880" s="33"/>
      <c r="G880" s="34"/>
    </row>
    <row r="881" customFormat="false" ht="15" hidden="false" customHeight="true" outlineLevel="0" collapsed="false">
      <c r="A881" s="31"/>
      <c r="D881" s="32"/>
      <c r="E881" s="33"/>
      <c r="G881" s="34"/>
    </row>
    <row r="882" customFormat="false" ht="15" hidden="false" customHeight="true" outlineLevel="0" collapsed="false">
      <c r="A882" s="31"/>
      <c r="D882" s="32"/>
      <c r="E882" s="33"/>
      <c r="G882" s="34"/>
    </row>
    <row r="883" customFormat="false" ht="15" hidden="false" customHeight="true" outlineLevel="0" collapsed="false">
      <c r="A883" s="31"/>
      <c r="D883" s="32"/>
      <c r="E883" s="33"/>
      <c r="G883" s="34"/>
    </row>
    <row r="884" customFormat="false" ht="15" hidden="false" customHeight="true" outlineLevel="0" collapsed="false">
      <c r="A884" s="31"/>
      <c r="D884" s="32"/>
      <c r="E884" s="33"/>
      <c r="G884" s="34"/>
    </row>
    <row r="885" customFormat="false" ht="15" hidden="false" customHeight="true" outlineLevel="0" collapsed="false">
      <c r="A885" s="31"/>
      <c r="D885" s="32"/>
      <c r="E885" s="33"/>
      <c r="G885" s="34"/>
    </row>
    <row r="886" customFormat="false" ht="15" hidden="false" customHeight="true" outlineLevel="0" collapsed="false">
      <c r="A886" s="31"/>
      <c r="D886" s="32"/>
      <c r="E886" s="33"/>
      <c r="G886" s="34"/>
    </row>
    <row r="887" customFormat="false" ht="15" hidden="false" customHeight="true" outlineLevel="0" collapsed="false">
      <c r="A887" s="31"/>
      <c r="D887" s="32"/>
      <c r="E887" s="33"/>
      <c r="G887" s="34"/>
    </row>
    <row r="888" customFormat="false" ht="15" hidden="false" customHeight="true" outlineLevel="0" collapsed="false">
      <c r="A888" s="31"/>
      <c r="D888" s="32"/>
      <c r="E888" s="33"/>
      <c r="G888" s="34"/>
    </row>
    <row r="889" customFormat="false" ht="15" hidden="false" customHeight="true" outlineLevel="0" collapsed="false">
      <c r="A889" s="31"/>
      <c r="D889" s="32"/>
      <c r="E889" s="33"/>
      <c r="G889" s="34"/>
    </row>
    <row r="890" customFormat="false" ht="15" hidden="false" customHeight="true" outlineLevel="0" collapsed="false">
      <c r="A890" s="31"/>
      <c r="D890" s="32"/>
      <c r="E890" s="33"/>
      <c r="G890" s="34"/>
    </row>
    <row r="891" customFormat="false" ht="15" hidden="false" customHeight="true" outlineLevel="0" collapsed="false">
      <c r="A891" s="31"/>
      <c r="D891" s="32"/>
      <c r="E891" s="33"/>
      <c r="G891" s="34"/>
    </row>
    <row r="892" customFormat="false" ht="15" hidden="false" customHeight="true" outlineLevel="0" collapsed="false">
      <c r="A892" s="31"/>
      <c r="D892" s="32"/>
      <c r="E892" s="33"/>
      <c r="G892" s="34"/>
    </row>
    <row r="893" customFormat="false" ht="15" hidden="false" customHeight="true" outlineLevel="0" collapsed="false">
      <c r="A893" s="31"/>
      <c r="D893" s="32"/>
      <c r="E893" s="33"/>
      <c r="G893" s="34"/>
    </row>
    <row r="894" customFormat="false" ht="15" hidden="false" customHeight="true" outlineLevel="0" collapsed="false">
      <c r="A894" s="31"/>
      <c r="D894" s="32"/>
      <c r="E894" s="33"/>
      <c r="G894" s="34"/>
    </row>
    <row r="895" customFormat="false" ht="15" hidden="false" customHeight="true" outlineLevel="0" collapsed="false">
      <c r="A895" s="31"/>
      <c r="D895" s="32"/>
      <c r="E895" s="33"/>
      <c r="G895" s="34"/>
    </row>
    <row r="896" customFormat="false" ht="15" hidden="false" customHeight="true" outlineLevel="0" collapsed="false">
      <c r="A896" s="31"/>
      <c r="D896" s="32"/>
      <c r="E896" s="33"/>
      <c r="G896" s="34"/>
    </row>
    <row r="897" customFormat="false" ht="15" hidden="false" customHeight="true" outlineLevel="0" collapsed="false">
      <c r="A897" s="31"/>
      <c r="D897" s="32"/>
      <c r="E897" s="33"/>
      <c r="G897" s="34"/>
    </row>
    <row r="898" customFormat="false" ht="15" hidden="false" customHeight="true" outlineLevel="0" collapsed="false">
      <c r="A898" s="31"/>
      <c r="D898" s="32"/>
      <c r="E898" s="33"/>
      <c r="G898" s="34"/>
    </row>
    <row r="899" customFormat="false" ht="15" hidden="false" customHeight="true" outlineLevel="0" collapsed="false">
      <c r="A899" s="31"/>
      <c r="D899" s="32"/>
      <c r="E899" s="33"/>
      <c r="G899" s="34"/>
    </row>
    <row r="900" customFormat="false" ht="15" hidden="false" customHeight="true" outlineLevel="0" collapsed="false">
      <c r="A900" s="31"/>
      <c r="D900" s="32"/>
      <c r="E900" s="33"/>
      <c r="G900" s="34"/>
    </row>
    <row r="901" customFormat="false" ht="15" hidden="false" customHeight="true" outlineLevel="0" collapsed="false">
      <c r="A901" s="31"/>
      <c r="D901" s="32"/>
      <c r="E901" s="33"/>
      <c r="G901" s="34"/>
    </row>
    <row r="902" customFormat="false" ht="15" hidden="false" customHeight="true" outlineLevel="0" collapsed="false">
      <c r="A902" s="31"/>
      <c r="D902" s="32"/>
      <c r="E902" s="33"/>
      <c r="G902" s="34"/>
    </row>
    <row r="903" customFormat="false" ht="15" hidden="false" customHeight="true" outlineLevel="0" collapsed="false">
      <c r="A903" s="31"/>
      <c r="D903" s="32"/>
      <c r="E903" s="33"/>
      <c r="G903" s="34"/>
    </row>
    <row r="904" customFormat="false" ht="15" hidden="false" customHeight="true" outlineLevel="0" collapsed="false">
      <c r="A904" s="31"/>
      <c r="D904" s="32"/>
      <c r="E904" s="33"/>
      <c r="G904" s="34"/>
    </row>
    <row r="905" customFormat="false" ht="15" hidden="false" customHeight="true" outlineLevel="0" collapsed="false">
      <c r="A905" s="31"/>
      <c r="D905" s="32"/>
      <c r="E905" s="33"/>
      <c r="G905" s="34"/>
    </row>
    <row r="906" customFormat="false" ht="15" hidden="false" customHeight="true" outlineLevel="0" collapsed="false">
      <c r="A906" s="31"/>
      <c r="D906" s="32"/>
      <c r="E906" s="33"/>
      <c r="G906" s="34"/>
    </row>
    <row r="907" customFormat="false" ht="15" hidden="false" customHeight="true" outlineLevel="0" collapsed="false">
      <c r="A907" s="31"/>
      <c r="D907" s="32"/>
      <c r="E907" s="33"/>
      <c r="G907" s="34"/>
    </row>
    <row r="908" customFormat="false" ht="15" hidden="false" customHeight="true" outlineLevel="0" collapsed="false">
      <c r="A908" s="31"/>
      <c r="D908" s="32"/>
      <c r="E908" s="33"/>
      <c r="G908" s="34"/>
    </row>
    <row r="909" customFormat="false" ht="15" hidden="false" customHeight="true" outlineLevel="0" collapsed="false">
      <c r="A909" s="31"/>
      <c r="D909" s="32"/>
      <c r="E909" s="33"/>
      <c r="G909" s="34"/>
    </row>
    <row r="910" customFormat="false" ht="15" hidden="false" customHeight="true" outlineLevel="0" collapsed="false">
      <c r="A910" s="31"/>
      <c r="D910" s="32"/>
      <c r="E910" s="33"/>
      <c r="G910" s="34"/>
    </row>
    <row r="911" customFormat="false" ht="15" hidden="false" customHeight="true" outlineLevel="0" collapsed="false">
      <c r="A911" s="31"/>
      <c r="D911" s="32"/>
      <c r="E911" s="33"/>
      <c r="G911" s="34"/>
    </row>
    <row r="912" customFormat="false" ht="15" hidden="false" customHeight="true" outlineLevel="0" collapsed="false">
      <c r="A912" s="31"/>
      <c r="D912" s="32"/>
      <c r="E912" s="33"/>
      <c r="G912" s="34"/>
    </row>
    <row r="913" customFormat="false" ht="15" hidden="false" customHeight="true" outlineLevel="0" collapsed="false">
      <c r="A913" s="31"/>
      <c r="D913" s="32"/>
      <c r="E913" s="33"/>
      <c r="G913" s="34"/>
    </row>
    <row r="914" customFormat="false" ht="15" hidden="false" customHeight="true" outlineLevel="0" collapsed="false">
      <c r="A914" s="31"/>
      <c r="D914" s="32"/>
      <c r="E914" s="33"/>
      <c r="G914" s="34"/>
    </row>
    <row r="915" customFormat="false" ht="15" hidden="false" customHeight="true" outlineLevel="0" collapsed="false">
      <c r="A915" s="31"/>
      <c r="D915" s="32"/>
      <c r="E915" s="33"/>
      <c r="G915" s="34"/>
    </row>
    <row r="916" customFormat="false" ht="15" hidden="false" customHeight="true" outlineLevel="0" collapsed="false">
      <c r="A916" s="31"/>
      <c r="D916" s="32"/>
      <c r="E916" s="33"/>
      <c r="G916" s="34"/>
    </row>
    <row r="917" customFormat="false" ht="15" hidden="false" customHeight="true" outlineLevel="0" collapsed="false">
      <c r="A917" s="31"/>
      <c r="D917" s="32"/>
      <c r="E917" s="33"/>
      <c r="G917" s="34"/>
    </row>
    <row r="918" customFormat="false" ht="15" hidden="false" customHeight="true" outlineLevel="0" collapsed="false">
      <c r="A918" s="31"/>
      <c r="D918" s="32"/>
      <c r="E918" s="33"/>
      <c r="G918" s="34"/>
    </row>
    <row r="919" customFormat="false" ht="15" hidden="false" customHeight="true" outlineLevel="0" collapsed="false">
      <c r="A919" s="31"/>
      <c r="D919" s="32"/>
      <c r="E919" s="33"/>
      <c r="G919" s="34"/>
    </row>
    <row r="920" customFormat="false" ht="15" hidden="false" customHeight="true" outlineLevel="0" collapsed="false">
      <c r="A920" s="31"/>
      <c r="D920" s="32"/>
      <c r="E920" s="33"/>
      <c r="G920" s="34"/>
    </row>
    <row r="921" customFormat="false" ht="15" hidden="false" customHeight="true" outlineLevel="0" collapsed="false">
      <c r="A921" s="31"/>
      <c r="D921" s="32"/>
      <c r="E921" s="33"/>
      <c r="G921" s="34"/>
    </row>
    <row r="922" customFormat="false" ht="15" hidden="false" customHeight="true" outlineLevel="0" collapsed="false">
      <c r="A922" s="31"/>
      <c r="D922" s="32"/>
      <c r="E922" s="33"/>
      <c r="G922" s="34"/>
    </row>
    <row r="923" customFormat="false" ht="15" hidden="false" customHeight="true" outlineLevel="0" collapsed="false">
      <c r="A923" s="31"/>
      <c r="D923" s="32"/>
      <c r="E923" s="33"/>
      <c r="G923" s="34"/>
    </row>
    <row r="924" customFormat="false" ht="15" hidden="false" customHeight="true" outlineLevel="0" collapsed="false">
      <c r="A924" s="31"/>
      <c r="D924" s="32"/>
      <c r="E924" s="33"/>
      <c r="G924" s="34"/>
    </row>
    <row r="925" customFormat="false" ht="15" hidden="false" customHeight="true" outlineLevel="0" collapsed="false">
      <c r="A925" s="31"/>
      <c r="D925" s="32"/>
      <c r="E925" s="33"/>
      <c r="G925" s="34"/>
    </row>
    <row r="926" customFormat="false" ht="15" hidden="false" customHeight="true" outlineLevel="0" collapsed="false">
      <c r="A926" s="31"/>
      <c r="D926" s="32"/>
      <c r="E926" s="33"/>
      <c r="G926" s="34"/>
    </row>
    <row r="927" customFormat="false" ht="15" hidden="false" customHeight="true" outlineLevel="0" collapsed="false">
      <c r="A927" s="31"/>
      <c r="D927" s="32"/>
      <c r="E927" s="33"/>
      <c r="G927" s="34"/>
    </row>
    <row r="928" customFormat="false" ht="15" hidden="false" customHeight="true" outlineLevel="0" collapsed="false">
      <c r="A928" s="31"/>
      <c r="D928" s="32"/>
      <c r="E928" s="33"/>
      <c r="G928" s="34"/>
    </row>
    <row r="929" customFormat="false" ht="15" hidden="false" customHeight="true" outlineLevel="0" collapsed="false">
      <c r="A929" s="31"/>
      <c r="D929" s="32"/>
      <c r="E929" s="33"/>
      <c r="G929" s="34"/>
    </row>
    <row r="930" customFormat="false" ht="15" hidden="false" customHeight="true" outlineLevel="0" collapsed="false">
      <c r="A930" s="31"/>
      <c r="D930" s="32"/>
      <c r="E930" s="33"/>
      <c r="G930" s="34"/>
    </row>
    <row r="931" customFormat="false" ht="15" hidden="false" customHeight="true" outlineLevel="0" collapsed="false">
      <c r="A931" s="31"/>
      <c r="D931" s="32"/>
      <c r="E931" s="33"/>
      <c r="G931" s="34"/>
    </row>
    <row r="932" customFormat="false" ht="15" hidden="false" customHeight="true" outlineLevel="0" collapsed="false">
      <c r="A932" s="31"/>
      <c r="D932" s="32"/>
      <c r="E932" s="33"/>
      <c r="G932" s="34"/>
    </row>
    <row r="933" customFormat="false" ht="15" hidden="false" customHeight="true" outlineLevel="0" collapsed="false">
      <c r="A933" s="31"/>
      <c r="D933" s="32"/>
      <c r="E933" s="33"/>
      <c r="G933" s="34"/>
    </row>
    <row r="934" customFormat="false" ht="15" hidden="false" customHeight="true" outlineLevel="0" collapsed="false">
      <c r="A934" s="31"/>
      <c r="D934" s="32"/>
      <c r="E934" s="33"/>
      <c r="G934" s="34"/>
    </row>
    <row r="935" customFormat="false" ht="15" hidden="false" customHeight="true" outlineLevel="0" collapsed="false">
      <c r="A935" s="31"/>
      <c r="D935" s="32"/>
      <c r="E935" s="33"/>
      <c r="G935" s="34"/>
    </row>
    <row r="936" customFormat="false" ht="15" hidden="false" customHeight="true" outlineLevel="0" collapsed="false">
      <c r="A936" s="31"/>
      <c r="D936" s="32"/>
      <c r="E936" s="33"/>
      <c r="G936" s="34"/>
    </row>
    <row r="937" customFormat="false" ht="15" hidden="false" customHeight="true" outlineLevel="0" collapsed="false">
      <c r="A937" s="31"/>
      <c r="D937" s="32"/>
      <c r="E937" s="33"/>
      <c r="G937" s="34"/>
    </row>
    <row r="938" customFormat="false" ht="15" hidden="false" customHeight="true" outlineLevel="0" collapsed="false">
      <c r="A938" s="31"/>
      <c r="D938" s="32"/>
      <c r="E938" s="33"/>
      <c r="G938" s="34"/>
    </row>
    <row r="939" customFormat="false" ht="15" hidden="false" customHeight="true" outlineLevel="0" collapsed="false">
      <c r="A939" s="31"/>
      <c r="D939" s="32"/>
      <c r="E939" s="33"/>
      <c r="G939" s="34"/>
    </row>
    <row r="940" customFormat="false" ht="15" hidden="false" customHeight="true" outlineLevel="0" collapsed="false">
      <c r="A940" s="31"/>
      <c r="D940" s="32"/>
      <c r="E940" s="33"/>
      <c r="G940" s="34"/>
    </row>
    <row r="941" customFormat="false" ht="15" hidden="false" customHeight="true" outlineLevel="0" collapsed="false">
      <c r="A941" s="31"/>
      <c r="D941" s="32"/>
      <c r="E941" s="33"/>
      <c r="G941" s="34"/>
    </row>
    <row r="942" customFormat="false" ht="15" hidden="false" customHeight="true" outlineLevel="0" collapsed="false">
      <c r="A942" s="31"/>
      <c r="D942" s="32"/>
      <c r="E942" s="33"/>
      <c r="G942" s="34"/>
    </row>
    <row r="943" customFormat="false" ht="15" hidden="false" customHeight="true" outlineLevel="0" collapsed="false">
      <c r="A943" s="31"/>
      <c r="D943" s="32"/>
      <c r="E943" s="33"/>
      <c r="G943" s="34"/>
    </row>
    <row r="944" customFormat="false" ht="15" hidden="false" customHeight="true" outlineLevel="0" collapsed="false">
      <c r="A944" s="31"/>
      <c r="D944" s="32"/>
      <c r="E944" s="33"/>
      <c r="G944" s="34"/>
    </row>
    <row r="945" customFormat="false" ht="15" hidden="false" customHeight="true" outlineLevel="0" collapsed="false">
      <c r="A945" s="31"/>
      <c r="D945" s="32"/>
      <c r="E945" s="33"/>
      <c r="G945" s="34"/>
    </row>
    <row r="946" customFormat="false" ht="15" hidden="false" customHeight="true" outlineLevel="0" collapsed="false">
      <c r="A946" s="31"/>
      <c r="D946" s="32"/>
      <c r="E946" s="33"/>
      <c r="G946" s="34"/>
    </row>
    <row r="947" customFormat="false" ht="15" hidden="false" customHeight="true" outlineLevel="0" collapsed="false">
      <c r="A947" s="31"/>
      <c r="D947" s="32"/>
      <c r="E947" s="33"/>
      <c r="G947" s="34"/>
    </row>
    <row r="948" customFormat="false" ht="15" hidden="false" customHeight="true" outlineLevel="0" collapsed="false">
      <c r="A948" s="31"/>
      <c r="D948" s="32"/>
      <c r="E948" s="33"/>
      <c r="G948" s="34"/>
    </row>
    <row r="949" customFormat="false" ht="15" hidden="false" customHeight="true" outlineLevel="0" collapsed="false">
      <c r="A949" s="31"/>
      <c r="D949" s="32"/>
      <c r="E949" s="33"/>
      <c r="G949" s="34"/>
    </row>
    <row r="950" customFormat="false" ht="15" hidden="false" customHeight="true" outlineLevel="0" collapsed="false">
      <c r="A950" s="31"/>
      <c r="D950" s="32"/>
      <c r="E950" s="33"/>
      <c r="G950" s="34"/>
    </row>
    <row r="951" customFormat="false" ht="15" hidden="false" customHeight="true" outlineLevel="0" collapsed="false">
      <c r="A951" s="31"/>
      <c r="D951" s="32"/>
      <c r="E951" s="33"/>
      <c r="G951" s="34"/>
    </row>
    <row r="952" customFormat="false" ht="15" hidden="false" customHeight="true" outlineLevel="0" collapsed="false">
      <c r="A952" s="31"/>
      <c r="D952" s="32"/>
      <c r="E952" s="33"/>
      <c r="G952" s="34"/>
    </row>
    <row r="953" customFormat="false" ht="15" hidden="false" customHeight="true" outlineLevel="0" collapsed="false">
      <c r="A953" s="31"/>
      <c r="D953" s="32"/>
      <c r="E953" s="33"/>
      <c r="G953" s="34"/>
    </row>
    <row r="954" customFormat="false" ht="15" hidden="false" customHeight="true" outlineLevel="0" collapsed="false">
      <c r="A954" s="31"/>
      <c r="D954" s="32"/>
      <c r="E954" s="33"/>
      <c r="G954" s="34"/>
    </row>
    <row r="955" customFormat="false" ht="15" hidden="false" customHeight="true" outlineLevel="0" collapsed="false">
      <c r="A955" s="31"/>
      <c r="D955" s="32"/>
      <c r="E955" s="33"/>
      <c r="G955" s="34"/>
    </row>
    <row r="956" customFormat="false" ht="15" hidden="false" customHeight="true" outlineLevel="0" collapsed="false">
      <c r="A956" s="31"/>
      <c r="D956" s="32"/>
      <c r="E956" s="33"/>
      <c r="G956" s="34"/>
    </row>
    <row r="957" customFormat="false" ht="15" hidden="false" customHeight="true" outlineLevel="0" collapsed="false">
      <c r="A957" s="31"/>
      <c r="D957" s="32"/>
      <c r="E957" s="33"/>
      <c r="G957" s="34"/>
    </row>
    <row r="958" customFormat="false" ht="15" hidden="false" customHeight="true" outlineLevel="0" collapsed="false">
      <c r="A958" s="31"/>
      <c r="D958" s="32"/>
      <c r="E958" s="33"/>
      <c r="G958" s="34"/>
    </row>
    <row r="959" customFormat="false" ht="15" hidden="false" customHeight="true" outlineLevel="0" collapsed="false">
      <c r="A959" s="31"/>
      <c r="D959" s="32"/>
      <c r="E959" s="33"/>
      <c r="G959" s="34"/>
    </row>
    <row r="960" customFormat="false" ht="15" hidden="false" customHeight="true" outlineLevel="0" collapsed="false">
      <c r="A960" s="31"/>
      <c r="D960" s="32"/>
      <c r="E960" s="33"/>
      <c r="G960" s="34"/>
    </row>
    <row r="961" customFormat="false" ht="15" hidden="false" customHeight="true" outlineLevel="0" collapsed="false">
      <c r="A961" s="31"/>
      <c r="D961" s="32"/>
      <c r="E961" s="33"/>
      <c r="G961" s="34"/>
    </row>
    <row r="962" customFormat="false" ht="15" hidden="false" customHeight="true" outlineLevel="0" collapsed="false">
      <c r="A962" s="31"/>
      <c r="D962" s="32"/>
      <c r="E962" s="33"/>
      <c r="G962" s="34"/>
    </row>
    <row r="963" customFormat="false" ht="15" hidden="false" customHeight="true" outlineLevel="0" collapsed="false">
      <c r="A963" s="31"/>
      <c r="D963" s="32"/>
      <c r="E963" s="33"/>
      <c r="G963" s="34"/>
    </row>
    <row r="964" customFormat="false" ht="15" hidden="false" customHeight="true" outlineLevel="0" collapsed="false">
      <c r="A964" s="31"/>
      <c r="D964" s="32"/>
      <c r="E964" s="33"/>
      <c r="G964" s="34"/>
    </row>
    <row r="965" customFormat="false" ht="15" hidden="false" customHeight="true" outlineLevel="0" collapsed="false">
      <c r="A965" s="31"/>
      <c r="D965" s="32"/>
      <c r="E965" s="33"/>
      <c r="G965" s="34"/>
    </row>
    <row r="966" customFormat="false" ht="15" hidden="false" customHeight="true" outlineLevel="0" collapsed="false">
      <c r="A966" s="31"/>
      <c r="D966" s="32"/>
      <c r="E966" s="33"/>
      <c r="G966" s="34"/>
    </row>
    <row r="967" customFormat="false" ht="15" hidden="false" customHeight="true" outlineLevel="0" collapsed="false">
      <c r="A967" s="31"/>
      <c r="D967" s="32"/>
      <c r="E967" s="33"/>
      <c r="G967" s="34"/>
    </row>
    <row r="968" customFormat="false" ht="15" hidden="false" customHeight="true" outlineLevel="0" collapsed="false">
      <c r="A968" s="31"/>
      <c r="D968" s="32"/>
      <c r="E968" s="33"/>
      <c r="G968" s="34"/>
    </row>
    <row r="969" customFormat="false" ht="15" hidden="false" customHeight="true" outlineLevel="0" collapsed="false">
      <c r="A969" s="31"/>
      <c r="D969" s="32"/>
      <c r="E969" s="33"/>
      <c r="G969" s="34"/>
    </row>
    <row r="970" customFormat="false" ht="15" hidden="false" customHeight="true" outlineLevel="0" collapsed="false">
      <c r="A970" s="31"/>
      <c r="D970" s="32"/>
      <c r="E970" s="33"/>
      <c r="G970" s="34"/>
    </row>
    <row r="971" customFormat="false" ht="15" hidden="false" customHeight="true" outlineLevel="0" collapsed="false">
      <c r="A971" s="31"/>
      <c r="D971" s="32"/>
      <c r="E971" s="33"/>
      <c r="G971" s="34"/>
    </row>
    <row r="972" customFormat="false" ht="15" hidden="false" customHeight="true" outlineLevel="0" collapsed="false">
      <c r="A972" s="31"/>
      <c r="D972" s="32"/>
      <c r="E972" s="33"/>
      <c r="G972" s="34"/>
    </row>
    <row r="973" customFormat="false" ht="15" hidden="false" customHeight="true" outlineLevel="0" collapsed="false">
      <c r="A973" s="31"/>
      <c r="D973" s="32"/>
      <c r="E973" s="33"/>
      <c r="G973" s="34"/>
    </row>
    <row r="974" customFormat="false" ht="15" hidden="false" customHeight="true" outlineLevel="0" collapsed="false">
      <c r="A974" s="31"/>
      <c r="D974" s="32"/>
      <c r="E974" s="33"/>
      <c r="G974" s="34"/>
    </row>
    <row r="975" customFormat="false" ht="15" hidden="false" customHeight="true" outlineLevel="0" collapsed="false">
      <c r="A975" s="31"/>
      <c r="D975" s="32"/>
      <c r="E975" s="33"/>
      <c r="G975" s="34"/>
    </row>
    <row r="976" customFormat="false" ht="15" hidden="false" customHeight="true" outlineLevel="0" collapsed="false">
      <c r="A976" s="31"/>
      <c r="D976" s="32"/>
      <c r="E976" s="33"/>
      <c r="G976" s="34"/>
    </row>
    <row r="977" customFormat="false" ht="15" hidden="false" customHeight="true" outlineLevel="0" collapsed="false">
      <c r="A977" s="31"/>
      <c r="D977" s="32"/>
      <c r="E977" s="33"/>
      <c r="G977" s="34"/>
    </row>
    <row r="978" customFormat="false" ht="15" hidden="false" customHeight="true" outlineLevel="0" collapsed="false">
      <c r="A978" s="31"/>
      <c r="D978" s="32"/>
      <c r="E978" s="33"/>
      <c r="G978" s="34"/>
    </row>
    <row r="979" customFormat="false" ht="15" hidden="false" customHeight="true" outlineLevel="0" collapsed="false">
      <c r="A979" s="31"/>
      <c r="D979" s="32"/>
      <c r="E979" s="33"/>
      <c r="G979" s="34"/>
    </row>
    <row r="980" customFormat="false" ht="15" hidden="false" customHeight="true" outlineLevel="0" collapsed="false">
      <c r="A980" s="31"/>
      <c r="D980" s="32"/>
      <c r="E980" s="33"/>
      <c r="G980" s="34"/>
    </row>
    <row r="981" customFormat="false" ht="15" hidden="false" customHeight="true" outlineLevel="0" collapsed="false">
      <c r="A981" s="31"/>
      <c r="D981" s="32"/>
      <c r="E981" s="33"/>
      <c r="G981" s="34"/>
    </row>
    <row r="982" customFormat="false" ht="15" hidden="false" customHeight="true" outlineLevel="0" collapsed="false">
      <c r="A982" s="31"/>
      <c r="D982" s="32"/>
      <c r="E982" s="33"/>
      <c r="G982" s="34"/>
    </row>
    <row r="983" customFormat="false" ht="15" hidden="false" customHeight="true" outlineLevel="0" collapsed="false">
      <c r="A983" s="31"/>
      <c r="D983" s="32"/>
      <c r="E983" s="33"/>
      <c r="G983" s="34"/>
    </row>
    <row r="984" customFormat="false" ht="15" hidden="false" customHeight="true" outlineLevel="0" collapsed="false">
      <c r="A984" s="31"/>
      <c r="D984" s="32"/>
      <c r="E984" s="33"/>
      <c r="G984" s="34"/>
    </row>
    <row r="985" customFormat="false" ht="15" hidden="false" customHeight="true" outlineLevel="0" collapsed="false">
      <c r="A985" s="31"/>
      <c r="D985" s="32"/>
      <c r="E985" s="33"/>
      <c r="G985" s="34"/>
    </row>
    <row r="986" customFormat="false" ht="15" hidden="false" customHeight="true" outlineLevel="0" collapsed="false">
      <c r="A986" s="31"/>
      <c r="D986" s="32"/>
      <c r="E986" s="33"/>
      <c r="G986" s="34"/>
    </row>
    <row r="987" customFormat="false" ht="15" hidden="false" customHeight="true" outlineLevel="0" collapsed="false">
      <c r="A987" s="31"/>
      <c r="D987" s="32"/>
      <c r="E987" s="33"/>
      <c r="G987" s="34"/>
    </row>
    <row r="988" customFormat="false" ht="15" hidden="false" customHeight="true" outlineLevel="0" collapsed="false">
      <c r="A988" s="31"/>
      <c r="D988" s="32"/>
      <c r="E988" s="33"/>
      <c r="G988" s="34"/>
    </row>
    <row r="989" customFormat="false" ht="15" hidden="false" customHeight="true" outlineLevel="0" collapsed="false">
      <c r="A989" s="31"/>
      <c r="D989" s="32"/>
      <c r="E989" s="33"/>
      <c r="G989" s="34"/>
    </row>
    <row r="990" customFormat="false" ht="15" hidden="false" customHeight="true" outlineLevel="0" collapsed="false">
      <c r="A990" s="31"/>
      <c r="D990" s="32"/>
      <c r="E990" s="33"/>
      <c r="G990" s="34"/>
    </row>
    <row r="991" customFormat="false" ht="15" hidden="false" customHeight="true" outlineLevel="0" collapsed="false">
      <c r="A991" s="31"/>
      <c r="D991" s="32"/>
      <c r="E991" s="33"/>
      <c r="G991" s="34"/>
    </row>
    <row r="992" customFormat="false" ht="15" hidden="false" customHeight="true" outlineLevel="0" collapsed="false">
      <c r="A992" s="31"/>
      <c r="D992" s="32"/>
      <c r="E992" s="33"/>
      <c r="G992" s="34"/>
    </row>
    <row r="993" customFormat="false" ht="15" hidden="false" customHeight="true" outlineLevel="0" collapsed="false">
      <c r="A993" s="31"/>
      <c r="D993" s="32"/>
      <c r="E993" s="33"/>
      <c r="G993" s="34"/>
    </row>
    <row r="994" customFormat="false" ht="15" hidden="false" customHeight="true" outlineLevel="0" collapsed="false">
      <c r="A994" s="31"/>
      <c r="D994" s="32"/>
      <c r="E994" s="33"/>
      <c r="G994" s="34"/>
    </row>
    <row r="995" customFormat="false" ht="15" hidden="false" customHeight="true" outlineLevel="0" collapsed="false">
      <c r="A995" s="31"/>
      <c r="D995" s="32"/>
      <c r="E995" s="33"/>
      <c r="G995" s="34"/>
    </row>
    <row r="996" customFormat="false" ht="15" hidden="false" customHeight="true" outlineLevel="0" collapsed="false">
      <c r="A996" s="31"/>
      <c r="D996" s="32"/>
      <c r="E996" s="33"/>
      <c r="G996" s="34"/>
    </row>
    <row r="997" customFormat="false" ht="15" hidden="false" customHeight="true" outlineLevel="0" collapsed="false">
      <c r="A997" s="31"/>
      <c r="D997" s="32"/>
      <c r="E997" s="33"/>
      <c r="G997" s="34"/>
    </row>
    <row r="998" customFormat="false" ht="15" hidden="false" customHeight="true" outlineLevel="0" collapsed="false">
      <c r="A998" s="31"/>
      <c r="D998" s="32"/>
      <c r="E998" s="33"/>
      <c r="G998" s="34"/>
    </row>
    <row r="999" customFormat="false" ht="15" hidden="false" customHeight="true" outlineLevel="0" collapsed="false">
      <c r="A999" s="31"/>
      <c r="D999" s="32"/>
      <c r="E999" s="33"/>
      <c r="G999" s="34"/>
    </row>
    <row r="1000" customFormat="false" ht="15" hidden="false" customHeight="true" outlineLevel="0" collapsed="false">
      <c r="A1000" s="31"/>
      <c r="D1000" s="32"/>
      <c r="E1000" s="33"/>
      <c r="G1000" s="34"/>
    </row>
    <row r="1001" customFormat="false" ht="15" hidden="false" customHeight="true" outlineLevel="0" collapsed="false">
      <c r="A1001" s="31"/>
      <c r="D1001" s="32"/>
      <c r="E1001" s="33"/>
      <c r="G1001" s="34"/>
    </row>
  </sheetData>
  <autoFilter ref="A1:G2000"/>
  <conditionalFormatting sqref="E2:E100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00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0"/>
  </cols>
  <sheetData>
    <row r="1" customFormat="false" ht="18" hidden="false" customHeight="true" outlineLevel="0" collapsed="false">
      <c r="A1" s="35" t="s">
        <v>80</v>
      </c>
    </row>
    <row r="2" customFormat="false" ht="15" hidden="false" customHeight="true" outlineLevel="0" collapsed="false">
      <c r="A2" s="3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37" t="s">
        <v>82</v>
      </c>
      <c r="B1" s="37"/>
      <c r="C1" s="37"/>
    </row>
    <row r="2" customFormat="false" ht="14.25" hidden="false" customHeight="true" outlineLevel="0" collapsed="false">
      <c r="A2" s="30" t="s">
        <v>83</v>
      </c>
      <c r="B2" s="30"/>
      <c r="C2" s="30"/>
    </row>
    <row r="3" customFormat="false" ht="22.5" hidden="false" customHeight="true" outlineLevel="0" collapsed="false">
      <c r="A3" s="38" t="s">
        <v>84</v>
      </c>
      <c r="B3" s="39" t="n">
        <v>6</v>
      </c>
      <c r="C3" s="40" t="s">
        <v>85</v>
      </c>
    </row>
    <row r="4" customFormat="false" ht="22.5" hidden="false" customHeight="true" outlineLevel="0" collapsed="false">
      <c r="A4" s="38" t="s">
        <v>86</v>
      </c>
      <c r="B4" s="39" t="n">
        <v>1000000</v>
      </c>
      <c r="C4" s="40" t="s">
        <v>87</v>
      </c>
    </row>
    <row r="5" customFormat="false" ht="22.5" hidden="false" customHeight="true" outlineLevel="0" collapsed="false">
      <c r="A5" s="38" t="s">
        <v>88</v>
      </c>
      <c r="B5" s="39" t="n">
        <v>8</v>
      </c>
      <c r="C5" s="40" t="s">
        <v>89</v>
      </c>
    </row>
    <row r="6" customFormat="false" ht="22.5" hidden="false" customHeight="true" outlineLevel="0" collapsed="false">
      <c r="A6" s="38" t="s">
        <v>90</v>
      </c>
      <c r="B6" s="39" t="n">
        <v>1.5</v>
      </c>
      <c r="C6" s="40" t="s">
        <v>91</v>
      </c>
    </row>
    <row r="7" customFormat="false" ht="14.25" hidden="false" customHeight="true" outlineLevel="0" collapsed="false">
      <c r="A7" s="38" t="s">
        <v>92</v>
      </c>
      <c r="B7" s="39" t="n">
        <v>75</v>
      </c>
      <c r="C7" s="40" t="s">
        <v>93</v>
      </c>
    </row>
    <row r="8" customFormat="false" ht="14.25" hidden="false" customHeight="true" outlineLevel="0" collapsed="false">
      <c r="A8" s="38" t="s">
        <v>94</v>
      </c>
      <c r="B8" s="39" t="n">
        <v>50</v>
      </c>
      <c r="C8" s="40" t="s">
        <v>95</v>
      </c>
    </row>
    <row r="9" customFormat="false" ht="14.25" hidden="false" customHeight="true" outlineLevel="0" collapsed="false">
      <c r="A9" s="38" t="s">
        <v>96</v>
      </c>
      <c r="B9" s="39" t="n">
        <v>30</v>
      </c>
      <c r="C9" s="40" t="s">
        <v>97</v>
      </c>
    </row>
    <row r="10" customFormat="false" ht="15" hidden="false" customHeight="true" outlineLevel="0" collapsed="false">
      <c r="A10" s="41" t="s">
        <v>98</v>
      </c>
      <c r="B10" s="24" t="n">
        <v>180</v>
      </c>
      <c r="C10" s="1" t="s">
        <v>99</v>
      </c>
    </row>
    <row r="11" customFormat="false" ht="14.25" hidden="false" customHeight="true" outlineLevel="0" collapsed="false">
      <c r="A11" s="30" t="s">
        <v>100</v>
      </c>
      <c r="B11" s="30"/>
      <c r="C11" s="30"/>
    </row>
  </sheetData>
  <mergeCells count="3">
    <mergeCell ref="A1:C1"/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5"/>
  </cols>
  <sheetData>
    <row r="1" customFormat="false" ht="17.25" hidden="false" customHeight="true" outlineLevel="0" collapsed="false">
      <c r="A1" s="37" t="s">
        <v>101</v>
      </c>
      <c r="B1" s="37"/>
    </row>
    <row r="3" customFormat="false" ht="14.25" hidden="false" customHeight="true" outlineLevel="0" collapsed="false">
      <c r="A3" s="42" t="s">
        <v>102</v>
      </c>
    </row>
    <row r="4" customFormat="false" ht="14.25" hidden="false" customHeight="true" outlineLevel="0" collapsed="false">
      <c r="A4" s="38" t="s">
        <v>103</v>
      </c>
      <c r="B4" s="43" t="s">
        <v>104</v>
      </c>
    </row>
    <row r="5" customFormat="false" ht="14.25" hidden="false" customHeight="true" outlineLevel="0" collapsed="false">
      <c r="A5" s="38" t="s">
        <v>105</v>
      </c>
      <c r="B5" s="43" t="s">
        <v>106</v>
      </c>
    </row>
    <row r="6" customFormat="false" ht="14.25" hidden="false" customHeight="true" outlineLevel="0" collapsed="false">
      <c r="A6" s="38" t="s">
        <v>107</v>
      </c>
      <c r="B6" s="43" t="s">
        <v>108</v>
      </c>
    </row>
    <row r="7" customFormat="false" ht="14.25" hidden="false" customHeight="true" outlineLevel="0" collapsed="false">
      <c r="A7" s="38" t="s">
        <v>109</v>
      </c>
      <c r="B7" s="43" t="s">
        <v>110</v>
      </c>
    </row>
    <row r="8" customFormat="false" ht="14.25" hidden="false" customHeight="true" outlineLevel="0" collapsed="false">
      <c r="A8" s="38"/>
      <c r="B8" s="43"/>
    </row>
    <row r="9" customFormat="false" ht="14.25" hidden="false" customHeight="true" outlineLevel="0" collapsed="false">
      <c r="A9" s="42" t="s">
        <v>111</v>
      </c>
    </row>
    <row r="10" customFormat="false" ht="14.25" hidden="false" customHeight="true" outlineLevel="0" collapsed="false">
      <c r="A10" s="38" t="s">
        <v>0</v>
      </c>
      <c r="B10" s="43" t="s">
        <v>112</v>
      </c>
    </row>
    <row r="11" customFormat="false" ht="14.25" hidden="false" customHeight="true" outlineLevel="0" collapsed="false">
      <c r="A11" s="38" t="s">
        <v>1</v>
      </c>
      <c r="B11" s="43" t="s">
        <v>113</v>
      </c>
    </row>
    <row r="12" customFormat="false" ht="14.25" hidden="false" customHeight="true" outlineLevel="0" collapsed="false">
      <c r="A12" s="38" t="s">
        <v>114</v>
      </c>
      <c r="B12" s="43" t="s">
        <v>115</v>
      </c>
    </row>
    <row r="13" customFormat="false" ht="14.25" hidden="false" customHeight="true" outlineLevel="0" collapsed="false">
      <c r="A13" s="38" t="s">
        <v>4</v>
      </c>
      <c r="B13" s="43" t="s">
        <v>116</v>
      </c>
    </row>
    <row r="14" customFormat="false" ht="14.25" hidden="false" customHeight="true" outlineLevel="0" collapsed="false">
      <c r="A14" s="38" t="s">
        <v>117</v>
      </c>
      <c r="B14" s="43" t="s">
        <v>118</v>
      </c>
    </row>
    <row r="15" customFormat="false" ht="14.25" hidden="false" customHeight="true" outlineLevel="0" collapsed="false">
      <c r="A15" s="38" t="s">
        <v>10</v>
      </c>
      <c r="B15" s="43" t="s">
        <v>119</v>
      </c>
    </row>
    <row r="16" customFormat="false" ht="14.25" hidden="false" customHeight="true" outlineLevel="0" collapsed="false">
      <c r="A16" s="38" t="s">
        <v>11</v>
      </c>
      <c r="B16" s="43" t="s">
        <v>120</v>
      </c>
    </row>
    <row r="17" customFormat="false" ht="26.25" hidden="false" customHeight="true" outlineLevel="0" collapsed="false">
      <c r="A17" s="38" t="s">
        <v>12</v>
      </c>
      <c r="B17" s="43" t="s">
        <v>121</v>
      </c>
    </row>
    <row r="18" customFormat="false" ht="14.25" hidden="false" customHeight="true" outlineLevel="0" collapsed="false">
      <c r="A18" s="38" t="s">
        <v>13</v>
      </c>
      <c r="B18" s="43" t="s">
        <v>122</v>
      </c>
    </row>
    <row r="19" customFormat="false" ht="14.25" hidden="false" customHeight="true" outlineLevel="0" collapsed="false">
      <c r="A19" s="38" t="s">
        <v>14</v>
      </c>
      <c r="B19" s="43" t="s">
        <v>123</v>
      </c>
    </row>
    <row r="20" customFormat="false" ht="26.25" hidden="false" customHeight="true" outlineLevel="0" collapsed="false">
      <c r="A20" s="38" t="s">
        <v>15</v>
      </c>
      <c r="B20" s="43" t="s">
        <v>124</v>
      </c>
    </row>
    <row r="21" customFormat="false" ht="26.25" hidden="false" customHeight="true" outlineLevel="0" collapsed="false">
      <c r="A21" s="38" t="s">
        <v>16</v>
      </c>
      <c r="B21" s="43" t="s">
        <v>125</v>
      </c>
    </row>
    <row r="22" customFormat="false" ht="14.25" hidden="false" customHeight="true" outlineLevel="0" collapsed="false">
      <c r="A22" s="38"/>
      <c r="B22" s="43"/>
    </row>
    <row r="23" customFormat="false" ht="26.25" hidden="false" customHeight="true" outlineLevel="0" collapsed="false">
      <c r="A23" s="38" t="s">
        <v>126</v>
      </c>
      <c r="B23" s="43" t="s">
        <v>127</v>
      </c>
    </row>
    <row r="24" customFormat="false" ht="26.25" hidden="false" customHeight="true" outlineLevel="0" collapsed="false">
      <c r="A24" s="38" t="s">
        <v>128</v>
      </c>
      <c r="B24" s="43" t="s">
        <v>129</v>
      </c>
    </row>
    <row r="25" customFormat="false" ht="14.25" hidden="false" customHeight="true" outlineLevel="0" collapsed="false">
      <c r="A25" s="38"/>
      <c r="B25" s="43"/>
    </row>
    <row r="26" customFormat="false" ht="39" hidden="false" customHeight="true" outlineLevel="0" collapsed="false">
      <c r="A26" s="38" t="s">
        <v>130</v>
      </c>
      <c r="B26" s="43" t="s">
        <v>131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2026-09-02T17:33:26Z</dcterms:created>
  <dc:creator>openpyxl</dc:creator>
  <dc:description/>
  <dc:language>en-US</dc:language>
  <cp:lastModifiedBy/>
  <cp:lastPrinted>2026-09-03T10:13:30Z</cp:lastPrinted>
  <dcterms:modified xsi:type="dcterms:W3CDTF">2026-09-03T17:39:05Z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