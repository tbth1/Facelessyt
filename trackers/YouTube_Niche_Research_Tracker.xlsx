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vm-fs-01\home$\b.terhorst\My Documents\Youtube\Wanner Course\"/>
    </mc:Choice>
  </mc:AlternateContent>
  <xr:revisionPtr revIDLastSave="0" documentId="13_ncr:1_{E4E20B80-6FFB-43BE-8861-2039C6104D8F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Niche Research" sheetId="1" r:id="rId1"/>
    <sheet name="Niche Samenvatting" sheetId="2" r:id="rId2"/>
    <sheet name="Instellingen" sheetId="3" r:id="rId3"/>
    <sheet name="Legenda" sheetId="4" r:id="rId4"/>
  </sheets>
  <definedNames>
    <definedName name="_xlnm._FilterDatabase" localSheetId="0" hidden="1">'Niche Research'!$A$1:$R$80</definedName>
    <definedName name="_xlnm._FilterDatabase" localSheetId="1" hidden="1">'Niche Samenvatting'!$A$1:$I$21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2" l="1"/>
  <c r="H21" i="2"/>
  <c r="G21" i="2"/>
  <c r="I21" i="2" s="1"/>
  <c r="F21" i="2"/>
  <c r="E21" i="2"/>
  <c r="D21" i="2"/>
  <c r="C21" i="2"/>
  <c r="B21" i="2"/>
  <c r="H20" i="2"/>
  <c r="G20" i="2"/>
  <c r="I20" i="2" s="1"/>
  <c r="F20" i="2"/>
  <c r="E20" i="2"/>
  <c r="D20" i="2"/>
  <c r="C20" i="2"/>
  <c r="B20" i="2"/>
  <c r="H19" i="2"/>
  <c r="G19" i="2"/>
  <c r="I19" i="2" s="1"/>
  <c r="F19" i="2"/>
  <c r="E19" i="2"/>
  <c r="D19" i="2"/>
  <c r="C19" i="2"/>
  <c r="B19" i="2"/>
  <c r="H18" i="2"/>
  <c r="G18" i="2"/>
  <c r="I18" i="2" s="1"/>
  <c r="F18" i="2"/>
  <c r="E18" i="2"/>
  <c r="D18" i="2"/>
  <c r="C18" i="2"/>
  <c r="B18" i="2"/>
  <c r="H17" i="2"/>
  <c r="G17" i="2"/>
  <c r="I17" i="2" s="1"/>
  <c r="F17" i="2"/>
  <c r="E17" i="2"/>
  <c r="D17" i="2"/>
  <c r="C17" i="2"/>
  <c r="B17" i="2"/>
  <c r="H16" i="2"/>
  <c r="G16" i="2"/>
  <c r="I16" i="2" s="1"/>
  <c r="F16" i="2"/>
  <c r="E16" i="2"/>
  <c r="D16" i="2"/>
  <c r="C16" i="2"/>
  <c r="B16" i="2"/>
  <c r="H15" i="2"/>
  <c r="G15" i="2"/>
  <c r="I15" i="2" s="1"/>
  <c r="F15" i="2"/>
  <c r="E15" i="2"/>
  <c r="D15" i="2"/>
  <c r="C15" i="2"/>
  <c r="B15" i="2"/>
  <c r="H14" i="2"/>
  <c r="G14" i="2"/>
  <c r="I14" i="2" s="1"/>
  <c r="F14" i="2"/>
  <c r="E14" i="2"/>
  <c r="D14" i="2"/>
  <c r="C14" i="2"/>
  <c r="B14" i="2"/>
  <c r="H13" i="2"/>
  <c r="G13" i="2"/>
  <c r="I13" i="2" s="1"/>
  <c r="F13" i="2"/>
  <c r="E13" i="2"/>
  <c r="D13" i="2"/>
  <c r="C13" i="2"/>
  <c r="B13" i="2"/>
  <c r="H12" i="2"/>
  <c r="G12" i="2"/>
  <c r="I12" i="2" s="1"/>
  <c r="F12" i="2"/>
  <c r="E12" i="2"/>
  <c r="D12" i="2"/>
  <c r="C12" i="2"/>
  <c r="B12" i="2"/>
  <c r="H11" i="2"/>
  <c r="G11" i="2"/>
  <c r="I11" i="2" s="1"/>
  <c r="F11" i="2"/>
  <c r="E11" i="2"/>
  <c r="D11" i="2"/>
  <c r="C11" i="2"/>
  <c r="B11" i="2"/>
  <c r="I10" i="2"/>
  <c r="H10" i="2"/>
  <c r="G10" i="2"/>
  <c r="F10" i="2"/>
  <c r="E10" i="2"/>
  <c r="D10" i="2"/>
  <c r="C10" i="2"/>
  <c r="B10" i="2"/>
  <c r="H9" i="2"/>
  <c r="G9" i="2"/>
  <c r="I9" i="2" s="1"/>
  <c r="F9" i="2"/>
  <c r="E9" i="2"/>
  <c r="D9" i="2"/>
  <c r="C9" i="2"/>
  <c r="B9" i="2"/>
  <c r="H8" i="2"/>
  <c r="G8" i="2"/>
  <c r="I8" i="2" s="1"/>
  <c r="F8" i="2"/>
  <c r="E8" i="2"/>
  <c r="D8" i="2"/>
  <c r="C8" i="2"/>
  <c r="B8" i="2"/>
  <c r="H7" i="2"/>
  <c r="G7" i="2"/>
  <c r="I7" i="2" s="1"/>
  <c r="F7" i="2"/>
  <c r="E7" i="2"/>
  <c r="D7" i="2"/>
  <c r="C7" i="2"/>
  <c r="B7" i="2"/>
  <c r="H6" i="2"/>
  <c r="G6" i="2"/>
  <c r="I6" i="2" s="1"/>
  <c r="F6" i="2"/>
  <c r="E6" i="2"/>
  <c r="D6" i="2"/>
  <c r="C6" i="2"/>
  <c r="B6" i="2"/>
  <c r="I5" i="2"/>
  <c r="H5" i="2"/>
  <c r="G5" i="2"/>
  <c r="F5" i="2"/>
  <c r="E5" i="2"/>
  <c r="D5" i="2"/>
  <c r="C5" i="2"/>
  <c r="B5" i="2"/>
  <c r="H4" i="2"/>
  <c r="G4" i="2"/>
  <c r="I4" i="2" s="1"/>
  <c r="F4" i="2"/>
  <c r="E4" i="2"/>
  <c r="D4" i="2"/>
  <c r="C4" i="2"/>
  <c r="B4" i="2"/>
  <c r="H3" i="2"/>
  <c r="G3" i="2"/>
  <c r="I3" i="2" s="1"/>
  <c r="F3" i="2"/>
  <c r="E3" i="2"/>
  <c r="D3" i="2"/>
  <c r="C3" i="2"/>
  <c r="B3" i="2"/>
  <c r="H2" i="2"/>
  <c r="G2" i="2"/>
  <c r="I2" i="2" s="1"/>
  <c r="F2" i="2"/>
  <c r="E2" i="2"/>
  <c r="D2" i="2"/>
  <c r="C2" i="2"/>
  <c r="Q80" i="1"/>
  <c r="P80" i="1"/>
  <c r="O80" i="1"/>
  <c r="L80" i="1"/>
  <c r="M80" i="1" s="1"/>
  <c r="K80" i="1"/>
  <c r="P79" i="1"/>
  <c r="Q79" i="1" s="1"/>
  <c r="O79" i="1"/>
  <c r="L79" i="1"/>
  <c r="M79" i="1" s="1"/>
  <c r="K79" i="1"/>
  <c r="P78" i="1"/>
  <c r="Q78" i="1" s="1"/>
  <c r="O78" i="1"/>
  <c r="L78" i="1"/>
  <c r="M78" i="1" s="1"/>
  <c r="K78" i="1"/>
  <c r="Q77" i="1"/>
  <c r="P77" i="1"/>
  <c r="O77" i="1"/>
  <c r="L77" i="1"/>
  <c r="M77" i="1" s="1"/>
  <c r="K77" i="1"/>
  <c r="Q76" i="1"/>
  <c r="P76" i="1"/>
  <c r="O76" i="1"/>
  <c r="L76" i="1"/>
  <c r="M76" i="1" s="1"/>
  <c r="K76" i="1"/>
  <c r="P75" i="1"/>
  <c r="Q75" i="1" s="1"/>
  <c r="O75" i="1"/>
  <c r="L75" i="1"/>
  <c r="M75" i="1" s="1"/>
  <c r="K75" i="1"/>
  <c r="P74" i="1"/>
  <c r="Q74" i="1" s="1"/>
  <c r="O74" i="1"/>
  <c r="M74" i="1"/>
  <c r="L74" i="1"/>
  <c r="K74" i="1"/>
  <c r="Q73" i="1"/>
  <c r="P73" i="1"/>
  <c r="O73" i="1"/>
  <c r="L73" i="1"/>
  <c r="M73" i="1" s="1"/>
  <c r="K73" i="1"/>
  <c r="Q72" i="1"/>
  <c r="P72" i="1"/>
  <c r="O72" i="1"/>
  <c r="L72" i="1"/>
  <c r="M72" i="1" s="1"/>
  <c r="K72" i="1"/>
  <c r="P71" i="1"/>
  <c r="Q71" i="1" s="1"/>
  <c r="O71" i="1"/>
  <c r="M71" i="1"/>
  <c r="L71" i="1"/>
  <c r="K71" i="1"/>
  <c r="P70" i="1"/>
  <c r="Q70" i="1" s="1"/>
  <c r="O70" i="1"/>
  <c r="L70" i="1"/>
  <c r="M70" i="1" s="1"/>
  <c r="K70" i="1"/>
  <c r="Q69" i="1"/>
  <c r="P69" i="1"/>
  <c r="O69" i="1"/>
  <c r="L69" i="1"/>
  <c r="M69" i="1" s="1"/>
  <c r="K69" i="1"/>
  <c r="P68" i="1"/>
  <c r="Q68" i="1" s="1"/>
  <c r="O68" i="1"/>
  <c r="L68" i="1"/>
  <c r="M68" i="1" s="1"/>
  <c r="K68" i="1"/>
  <c r="P67" i="1"/>
  <c r="Q67" i="1" s="1"/>
  <c r="O67" i="1"/>
  <c r="L67" i="1"/>
  <c r="M67" i="1" s="1"/>
  <c r="K67" i="1"/>
  <c r="Q66" i="1"/>
  <c r="P66" i="1"/>
  <c r="O66" i="1"/>
  <c r="L66" i="1"/>
  <c r="M66" i="1" s="1"/>
  <c r="K66" i="1"/>
  <c r="Q65" i="1"/>
  <c r="P65" i="1"/>
  <c r="O65" i="1"/>
  <c r="L65" i="1"/>
  <c r="M65" i="1" s="1"/>
  <c r="K65" i="1"/>
  <c r="P64" i="1"/>
  <c r="Q64" i="1" s="1"/>
  <c r="O64" i="1"/>
  <c r="M64" i="1"/>
  <c r="L64" i="1"/>
  <c r="K64" i="1"/>
  <c r="P63" i="1"/>
  <c r="Q63" i="1" s="1"/>
  <c r="O63" i="1"/>
  <c r="M63" i="1"/>
  <c r="L63" i="1"/>
  <c r="K63" i="1"/>
  <c r="Q62" i="1"/>
  <c r="P62" i="1"/>
  <c r="O62" i="1"/>
  <c r="L62" i="1"/>
  <c r="M62" i="1" s="1"/>
  <c r="K62" i="1"/>
  <c r="Q61" i="1"/>
  <c r="P61" i="1"/>
  <c r="O61" i="1"/>
  <c r="L61" i="1"/>
  <c r="M61" i="1" s="1"/>
  <c r="K61" i="1"/>
  <c r="P60" i="1"/>
  <c r="Q60" i="1" s="1"/>
  <c r="O60" i="1"/>
  <c r="M60" i="1"/>
  <c r="L60" i="1"/>
  <c r="K60" i="1"/>
  <c r="P59" i="1"/>
  <c r="Q59" i="1" s="1"/>
  <c r="O59" i="1"/>
  <c r="L59" i="1"/>
  <c r="M59" i="1" s="1"/>
  <c r="K59" i="1"/>
  <c r="Q58" i="1"/>
  <c r="P58" i="1"/>
  <c r="O58" i="1"/>
  <c r="L58" i="1"/>
  <c r="M58" i="1" s="1"/>
  <c r="K58" i="1"/>
  <c r="P57" i="1"/>
  <c r="Q57" i="1" s="1"/>
  <c r="O57" i="1"/>
  <c r="L57" i="1"/>
  <c r="M57" i="1" s="1"/>
  <c r="K57" i="1"/>
  <c r="P56" i="1"/>
  <c r="Q56" i="1" s="1"/>
  <c r="O56" i="1"/>
  <c r="L56" i="1"/>
  <c r="M56" i="1" s="1"/>
  <c r="K56" i="1"/>
  <c r="Q55" i="1"/>
  <c r="P55" i="1"/>
  <c r="O55" i="1"/>
  <c r="L55" i="1"/>
  <c r="M55" i="1" s="1"/>
  <c r="K55" i="1"/>
  <c r="Q54" i="1"/>
  <c r="P54" i="1"/>
  <c r="O54" i="1"/>
  <c r="L54" i="1"/>
  <c r="M54" i="1" s="1"/>
  <c r="K54" i="1"/>
  <c r="P53" i="1"/>
  <c r="Q53" i="1" s="1"/>
  <c r="O53" i="1"/>
  <c r="L53" i="1"/>
  <c r="M53" i="1" s="1"/>
  <c r="K53" i="1"/>
  <c r="P52" i="1"/>
  <c r="Q52" i="1" s="1"/>
  <c r="O52" i="1"/>
  <c r="M52" i="1"/>
  <c r="L52" i="1"/>
  <c r="K52" i="1"/>
  <c r="Q51" i="1"/>
  <c r="P51" i="1"/>
  <c r="O51" i="1"/>
  <c r="L51" i="1"/>
  <c r="M51" i="1" s="1"/>
  <c r="K51" i="1"/>
  <c r="Q50" i="1"/>
  <c r="P50" i="1"/>
  <c r="O50" i="1"/>
  <c r="L50" i="1"/>
  <c r="M50" i="1" s="1"/>
  <c r="K50" i="1"/>
  <c r="P49" i="1"/>
  <c r="Q49" i="1" s="1"/>
  <c r="O49" i="1"/>
  <c r="M49" i="1"/>
  <c r="L49" i="1"/>
  <c r="K49" i="1"/>
  <c r="P48" i="1"/>
  <c r="Q48" i="1" s="1"/>
  <c r="O48" i="1"/>
  <c r="L48" i="1"/>
  <c r="M48" i="1" s="1"/>
  <c r="K48" i="1"/>
  <c r="Q47" i="1"/>
  <c r="P47" i="1"/>
  <c r="O47" i="1"/>
  <c r="L47" i="1"/>
  <c r="M47" i="1" s="1"/>
  <c r="K47" i="1"/>
  <c r="P46" i="1"/>
  <c r="Q46" i="1" s="1"/>
  <c r="O46" i="1"/>
  <c r="L46" i="1"/>
  <c r="M46" i="1" s="1"/>
  <c r="K46" i="1"/>
  <c r="P45" i="1"/>
  <c r="Q45" i="1" s="1"/>
  <c r="O45" i="1"/>
  <c r="L45" i="1"/>
  <c r="M45" i="1" s="1"/>
  <c r="K45" i="1"/>
  <c r="Q44" i="1"/>
  <c r="P44" i="1"/>
  <c r="O44" i="1"/>
  <c r="L44" i="1"/>
  <c r="M44" i="1" s="1"/>
  <c r="K44" i="1"/>
  <c r="Q43" i="1"/>
  <c r="P43" i="1"/>
  <c r="O43" i="1"/>
  <c r="L43" i="1"/>
  <c r="M43" i="1" s="1"/>
  <c r="K43" i="1"/>
  <c r="P42" i="1"/>
  <c r="Q42" i="1" s="1"/>
  <c r="O42" i="1"/>
  <c r="L42" i="1"/>
  <c r="M42" i="1" s="1"/>
  <c r="K42" i="1"/>
  <c r="P41" i="1"/>
  <c r="Q41" i="1" s="1"/>
  <c r="O41" i="1"/>
  <c r="M41" i="1"/>
  <c r="L41" i="1"/>
  <c r="K41" i="1"/>
  <c r="Q40" i="1"/>
  <c r="P40" i="1"/>
  <c r="O40" i="1"/>
  <c r="L40" i="1"/>
  <c r="M40" i="1" s="1"/>
  <c r="K40" i="1"/>
  <c r="Q39" i="1"/>
  <c r="P39" i="1"/>
  <c r="O39" i="1"/>
  <c r="L39" i="1"/>
  <c r="M39" i="1" s="1"/>
  <c r="K39" i="1"/>
  <c r="P38" i="1"/>
  <c r="Q38" i="1" s="1"/>
  <c r="O38" i="1"/>
  <c r="M38" i="1"/>
  <c r="L38" i="1"/>
  <c r="K38" i="1"/>
  <c r="P37" i="1"/>
  <c r="Q37" i="1" s="1"/>
  <c r="O37" i="1"/>
  <c r="L37" i="1"/>
  <c r="M37" i="1" s="1"/>
  <c r="K37" i="1"/>
  <c r="Q36" i="1"/>
  <c r="P36" i="1"/>
  <c r="O36" i="1"/>
  <c r="L36" i="1"/>
  <c r="M36" i="1" s="1"/>
  <c r="K36" i="1"/>
  <c r="P35" i="1"/>
  <c r="Q35" i="1" s="1"/>
  <c r="O35" i="1"/>
  <c r="L35" i="1"/>
  <c r="M35" i="1" s="1"/>
  <c r="K35" i="1"/>
  <c r="P34" i="1"/>
  <c r="Q34" i="1" s="1"/>
  <c r="O34" i="1"/>
  <c r="L34" i="1"/>
  <c r="M34" i="1" s="1"/>
  <c r="K34" i="1"/>
  <c r="Q33" i="1"/>
  <c r="P33" i="1"/>
  <c r="O33" i="1"/>
  <c r="L33" i="1"/>
  <c r="M33" i="1" s="1"/>
  <c r="K33" i="1"/>
  <c r="Q32" i="1"/>
  <c r="P32" i="1"/>
  <c r="O32" i="1"/>
  <c r="L32" i="1"/>
  <c r="M32" i="1" s="1"/>
  <c r="K32" i="1"/>
  <c r="P31" i="1"/>
  <c r="Q31" i="1" s="1"/>
  <c r="O31" i="1"/>
  <c r="L31" i="1"/>
  <c r="M31" i="1" s="1"/>
  <c r="K31" i="1"/>
  <c r="P30" i="1"/>
  <c r="Q30" i="1" s="1"/>
  <c r="O30" i="1"/>
  <c r="M30" i="1"/>
  <c r="L30" i="1"/>
  <c r="K30" i="1"/>
  <c r="Q29" i="1"/>
  <c r="P29" i="1"/>
  <c r="O29" i="1"/>
  <c r="L29" i="1"/>
  <c r="M29" i="1" s="1"/>
  <c r="K29" i="1"/>
  <c r="Q28" i="1"/>
  <c r="P28" i="1"/>
  <c r="O28" i="1"/>
  <c r="L28" i="1"/>
  <c r="M28" i="1" s="1"/>
  <c r="K28" i="1"/>
  <c r="P27" i="1"/>
  <c r="Q27" i="1" s="1"/>
  <c r="O27" i="1"/>
  <c r="M27" i="1"/>
  <c r="L27" i="1"/>
  <c r="K27" i="1"/>
  <c r="P26" i="1"/>
  <c r="Q26" i="1" s="1"/>
  <c r="O26" i="1"/>
  <c r="L26" i="1"/>
  <c r="M26" i="1" s="1"/>
  <c r="K26" i="1"/>
  <c r="Q25" i="1"/>
  <c r="P25" i="1"/>
  <c r="O25" i="1"/>
  <c r="L25" i="1"/>
  <c r="M25" i="1" s="1"/>
  <c r="K25" i="1"/>
  <c r="P24" i="1"/>
  <c r="Q24" i="1" s="1"/>
  <c r="O24" i="1"/>
  <c r="L24" i="1"/>
  <c r="M24" i="1" s="1"/>
  <c r="K24" i="1"/>
  <c r="P23" i="1"/>
  <c r="Q23" i="1" s="1"/>
  <c r="O23" i="1"/>
  <c r="L23" i="1"/>
  <c r="M23" i="1" s="1"/>
  <c r="K23" i="1"/>
  <c r="Q22" i="1"/>
  <c r="P22" i="1"/>
  <c r="O22" i="1"/>
  <c r="L22" i="1"/>
  <c r="M22" i="1" s="1"/>
  <c r="K22" i="1"/>
  <c r="Q21" i="1"/>
  <c r="P21" i="1"/>
  <c r="O21" i="1"/>
  <c r="L21" i="1"/>
  <c r="M21" i="1" s="1"/>
  <c r="K21" i="1"/>
  <c r="P20" i="1"/>
  <c r="Q20" i="1" s="1"/>
  <c r="O20" i="1"/>
  <c r="L20" i="1"/>
  <c r="M20" i="1" s="1"/>
  <c r="K20" i="1"/>
  <c r="P19" i="1"/>
  <c r="Q19" i="1" s="1"/>
  <c r="O19" i="1"/>
  <c r="M19" i="1"/>
  <c r="L19" i="1"/>
  <c r="K19" i="1"/>
  <c r="Q18" i="1"/>
  <c r="P18" i="1"/>
  <c r="O18" i="1"/>
  <c r="L18" i="1"/>
  <c r="M18" i="1" s="1"/>
  <c r="K18" i="1"/>
  <c r="Q17" i="1"/>
  <c r="P17" i="1"/>
  <c r="O17" i="1"/>
  <c r="L17" i="1"/>
  <c r="M17" i="1" s="1"/>
  <c r="K17" i="1"/>
  <c r="P16" i="1"/>
  <c r="Q16" i="1" s="1"/>
  <c r="O16" i="1"/>
  <c r="M16" i="1"/>
  <c r="L16" i="1"/>
  <c r="K16" i="1"/>
  <c r="P15" i="1"/>
  <c r="Q15" i="1" s="1"/>
  <c r="O15" i="1"/>
  <c r="L15" i="1"/>
  <c r="M15" i="1" s="1"/>
  <c r="K15" i="1"/>
  <c r="Q14" i="1"/>
  <c r="P14" i="1"/>
  <c r="O14" i="1"/>
  <c r="L14" i="1"/>
  <c r="M14" i="1" s="1"/>
  <c r="K14" i="1"/>
  <c r="P13" i="1"/>
  <c r="Q13" i="1" s="1"/>
  <c r="O13" i="1"/>
  <c r="L13" i="1"/>
  <c r="M13" i="1" s="1"/>
  <c r="K13" i="1"/>
  <c r="P12" i="1"/>
  <c r="Q12" i="1" s="1"/>
  <c r="O12" i="1"/>
  <c r="L12" i="1"/>
  <c r="M12" i="1" s="1"/>
  <c r="K12" i="1"/>
  <c r="Q11" i="1"/>
  <c r="P11" i="1"/>
  <c r="O11" i="1"/>
  <c r="L11" i="1"/>
  <c r="M11" i="1" s="1"/>
  <c r="K11" i="1"/>
  <c r="Q10" i="1"/>
  <c r="P10" i="1"/>
  <c r="O10" i="1"/>
  <c r="L10" i="1"/>
  <c r="M10" i="1" s="1"/>
  <c r="K10" i="1"/>
  <c r="P9" i="1"/>
  <c r="Q9" i="1" s="1"/>
  <c r="O9" i="1"/>
  <c r="L9" i="1"/>
  <c r="M9" i="1" s="1"/>
  <c r="K9" i="1"/>
  <c r="P8" i="1"/>
  <c r="Q8" i="1" s="1"/>
  <c r="O8" i="1"/>
  <c r="M8" i="1"/>
  <c r="L8" i="1"/>
  <c r="K8" i="1"/>
  <c r="Q7" i="1"/>
  <c r="P7" i="1"/>
  <c r="O7" i="1"/>
  <c r="L7" i="1"/>
  <c r="M7" i="1" s="1"/>
  <c r="K7" i="1"/>
  <c r="Q6" i="1"/>
  <c r="P6" i="1"/>
  <c r="O6" i="1"/>
  <c r="L6" i="1"/>
  <c r="M6" i="1" s="1"/>
  <c r="K6" i="1"/>
  <c r="P5" i="1"/>
  <c r="Q5" i="1" s="1"/>
  <c r="O5" i="1"/>
  <c r="M5" i="1"/>
  <c r="L5" i="1"/>
  <c r="K5" i="1"/>
  <c r="P4" i="1"/>
  <c r="Q4" i="1" s="1"/>
  <c r="O4" i="1"/>
  <c r="L4" i="1"/>
  <c r="M4" i="1" s="1"/>
  <c r="K4" i="1"/>
  <c r="Q3" i="1"/>
  <c r="P3" i="1"/>
  <c r="O3" i="1"/>
  <c r="L3" i="1"/>
  <c r="M3" i="1" s="1"/>
  <c r="K3" i="1"/>
  <c r="O2" i="1"/>
  <c r="L2" i="1"/>
  <c r="M2" i="1" s="1"/>
  <c r="P2" i="1" s="1"/>
  <c r="Q2" i="1" s="1"/>
  <c r="K2" i="1"/>
</calcChain>
</file>

<file path=xl/sharedStrings.xml><?xml version="1.0" encoding="utf-8"?>
<sst xmlns="http://schemas.openxmlformats.org/spreadsheetml/2006/main" count="90" uniqueCount="79">
  <si>
    <t>Datum meting</t>
  </si>
  <si>
    <t>Niche (thema)</t>
  </si>
  <si>
    <t>YT Account</t>
  </si>
  <si>
    <t>Handle / Link</t>
  </si>
  <si>
    <t>Dagen actief</t>
  </si>
  <si>
    <t>Abonnees</t>
  </si>
  <si>
    <t>Video lengte (min)</t>
  </si>
  <si>
    <t>Totaal views (lifetime)</t>
  </si>
  <si>
    <t>Views laatste 30d</t>
  </si>
  <si>
    <t>Vids laatste 30d</t>
  </si>
  <si>
    <t>Gem. views/video (30d)</t>
  </si>
  <si>
    <t>Views/dag sinds start</t>
  </si>
  <si>
    <t>Groeiversnelling</t>
  </si>
  <si>
    <t>RPM ($)</t>
  </si>
  <si>
    <t>Est. omzet/maand ($)</t>
  </si>
  <si>
    <t>Score (0-100)</t>
  </si>
  <si>
    <t>Verdict</t>
  </si>
  <si>
    <t>Notities</t>
  </si>
  <si>
    <t>Personal finance</t>
  </si>
  <si>
    <t>Jiang Exclusive</t>
  </si>
  <si>
    <t>@jiangexclusives</t>
  </si>
  <si>
    <t>Voorbeeldrij - AI faceless kanaal, sterke RPM, groeit snel voor zijn leeftijd</t>
  </si>
  <si>
    <t>Aantal accounts</t>
  </si>
  <si>
    <t>Totaal views 30d</t>
  </si>
  <si>
    <t>Gem. RPM</t>
  </si>
  <si>
    <t>Totaal est. omzet/maand ($)</t>
  </si>
  <si>
    <t>Gem. dagen actief</t>
  </si>
  <si>
    <t>Gem. Score (0-100)</t>
  </si>
  <si>
    <t>Aantal 'Sterke niche' kanalen</t>
  </si>
  <si>
    <t>Ranking (obv score)</t>
  </si>
  <si>
    <t>Vul in kolom A de exacte niche-naam in zoals gebruikt in 'Niche Research'. Ranking 1 = hoogste gemiddelde score = beste niche.</t>
  </si>
  <si>
    <t>Scoring-instellingen</t>
  </si>
  <si>
    <t>Pas deze cijfers aan om te bepalen wat 'goed' betekent voor jouw type kanaal. Alles hieronder stuurt automatisch de Score en Verdict in 'Niche Research'.</t>
  </si>
  <si>
    <t>Target RPM (sterk)</t>
  </si>
  <si>
    <t>RPM waarbij een kanaal het volle punten (25) krijgt voor de RPM-component.</t>
  </si>
  <si>
    <t>Target views 30d (sterk)</t>
  </si>
  <si>
    <t>Views/30d waarbij een kanaal het volle punten (25) krijgt voor de volume-component.</t>
  </si>
  <si>
    <t>Target vids/30d (actief)</t>
  </si>
  <si>
    <t>Aantal uploads/30d waarbij een kanaal het volle punten (25) krijgt voor consistentie.</t>
  </si>
  <si>
    <t>Target groeiversnelling (sterk)</t>
  </si>
  <si>
    <t>Verhouding huidig dagtempo vs lifetime dagtempo waarbij een kanaal het volle punten (25) krijgt. &gt;1 = versnelt, &lt;1 = vertraagt.</t>
  </si>
  <si>
    <t>Score grens: Sterke niche</t>
  </si>
  <si>
    <t>Vanaf deze score (van 100) wordt het verdict 'Sterke niche'.</t>
  </si>
  <si>
    <t>Score grens: Belofte</t>
  </si>
  <si>
    <t>Vanaf deze score wordt het verdict 'Belofte - opvolgen'.</t>
  </si>
  <si>
    <t>Score grens: Zwak</t>
  </si>
  <si>
    <t>Vanaf deze score wordt het verdict 'Zwak - twijfel'; daaronder 'Vermijden'.</t>
  </si>
  <si>
    <t>Scoreformule: Score = RPM-component + Volume-component + Consistentie-component + Groei-component (elk max 25 punten, evenredig geschaald t.o.v. de targets hierboven, gemaximeerd op 25).</t>
  </si>
  <si>
    <t>Legenda &amp; uitleg</t>
  </si>
  <si>
    <t>Kleurcodering</t>
  </si>
  <si>
    <t>Blauwe tekst</t>
  </si>
  <si>
    <t>Cellen die jij (of Claude, in jouw opdracht) handmatig invult (input).</t>
  </si>
  <si>
    <t>Zwarte tekst</t>
  </si>
  <si>
    <t>Formulecellen - niet overschrijven, deze rekenen automatisch.</t>
  </si>
  <si>
    <t>Geel gemarkeerd (tabblad Instellingen)</t>
  </si>
  <si>
    <t>Drempelwaarden die de hele score-engine aansturen.</t>
  </si>
  <si>
    <t>Groen/geel/rood verdict</t>
  </si>
  <si>
    <t>Sterke niche = groen, Belofte/Zwak = geel, Vermijden = rood.</t>
  </si>
  <si>
    <t>Kolom uitleg ('Niche Research')</t>
  </si>
  <si>
    <t>Datum van deze meting - handig als je hetzelfde kanaal later opnieuw meet.</t>
  </si>
  <si>
    <t>De overkoepelende niche, bv. 'personal finance', 'travel', 'health'.</t>
  </si>
  <si>
    <t>YT Account / Handle</t>
  </si>
  <si>
    <t>Naam en @handle of link van het kanaal.</t>
  </si>
  <si>
    <t>Aantal dagen sinds het kanaal is aangemaakt.</t>
  </si>
  <si>
    <t>Totaal views (lifetime) / Views 30d / Vids 30d</t>
  </si>
  <si>
    <t>Ruwe data die je zelf ophaalt (bv. via Nexlev of Social Blade).</t>
  </si>
  <si>
    <t>Berekend als: Views 30d / Vids 30d.</t>
  </si>
  <si>
    <t>Berekend als: Totaal views / Dagen actief. Gemiddeld dagtempo over de hele levensduur.</t>
  </si>
  <si>
    <t>Berekend als: (Views30d/30) / (Views/dag sinds start). Groter dan 1 betekent dat het kanaal nu sneller groeit dan zijn eigen gemiddelde - een signaal dat de niche/aanpak momentum heeft.</t>
  </si>
  <si>
    <t>Revenue per mille - omzet per 1000 views. Zelf invullen.</t>
  </si>
  <si>
    <t>Berekend als: (Views 30d / 1000) x RPM.</t>
  </si>
  <si>
    <t>Optelsom van 4 componenten (RPM, volume, consistentie, groei), elk max 25 punten. Drempels stel je in op tabblad 'Instellingen'.</t>
  </si>
  <si>
    <t>Automatisch label: Sterke niche / Belofte - opvolgen / Zwak - twijfel / Vermijden, obv de Score en de drempels in 'Instellingen'.</t>
  </si>
  <si>
    <t>Tabblad 'Niche Samenvatting'</t>
  </si>
  <si>
    <t>Rolt alles op per niche: gemiddelde score, gemiddelde RPM, totale omzetpotentie en een ranking (1 = beste niche gemiddeld).</t>
  </si>
  <si>
    <t>Tabblad 'Instellingen'</t>
  </si>
  <si>
    <t>Hier stel je in wat 'goed' betekent (targets voor RPM, volume, consistentie en groei). Verander deze cijfers en de hele sheet herrekent.</t>
  </si>
  <si>
    <t>Gebruik met Claude + Nexlev</t>
  </si>
  <si>
    <t>Je kunt dit bestand aan een Claude-gesprek geven waarin Nexlev gekoppeld is en vragen: 'vul de blauwe kolommen in 'Niche Research' in voor niche X met Nexlev-data'. De Score en Verdict-kolommen rekenen daarna automatisch mee - je hoeft zelf niet te beoordelen of een niche goed 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</si>
</sst>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$#,##0"/>
    <numFmt numFmtId="166" formatCode="0.0"/>
  </numFmts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i/>
      <sz val="9"/>
      <color rgb="FF808080"/>
      <name val="Arial"/>
      <charset val="1"/>
    </font>
    <font>
      <b/>
      <sz val="14"/>
      <color rgb="FF1F3864"/>
      <name val="Arial"/>
      <charset val="1"/>
    </font>
    <font>
      <b/>
      <sz val="10"/>
      <name val="Arial"/>
      <charset val="1"/>
    </font>
    <font>
      <sz val="9"/>
      <color rgb="FF595959"/>
      <name val="Arial"/>
      <charset val="1"/>
    </font>
    <font>
      <b/>
      <sz val="11"/>
      <color rgb="FF1F3864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5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/>
    <xf numFmtId="0" fontId="2" fillId="3" borderId="1" xfId="0" applyFont="1" applyFill="1" applyBorder="1"/>
    <xf numFmtId="1" fontId="2" fillId="3" borderId="1" xfId="0" applyNumberFormat="1" applyFont="1" applyFill="1" applyBorder="1"/>
    <xf numFmtId="3" fontId="2" fillId="3" borderId="1" xfId="0" applyNumberFormat="1" applyFont="1" applyFill="1" applyBorder="1"/>
    <xf numFmtId="2" fontId="2" fillId="3" borderId="1" xfId="0" applyNumberFormat="1" applyFont="1" applyFill="1" applyBorder="1"/>
    <xf numFmtId="3" fontId="3" fillId="3" borderId="1" xfId="0" applyNumberFormat="1" applyFont="1" applyFill="1" applyBorder="1"/>
    <xf numFmtId="2" fontId="3" fillId="3" borderId="1" xfId="0" applyNumberFormat="1" applyFont="1" applyFill="1" applyBorder="1"/>
    <xf numFmtId="165" fontId="3" fillId="3" borderId="1" xfId="0" applyNumberFormat="1" applyFont="1" applyFill="1" applyBorder="1"/>
    <xf numFmtId="1" fontId="3" fillId="3" borderId="1" xfId="0" applyNumberFormat="1" applyFont="1" applyFill="1" applyBorder="1"/>
    <xf numFmtId="0" fontId="3" fillId="3" borderId="1" xfId="0" applyFont="1" applyFill="1" applyBorder="1"/>
    <xf numFmtId="164" fontId="2" fillId="0" borderId="1" xfId="0" applyNumberFormat="1" applyFont="1" applyBorder="1"/>
    <xf numFmtId="0" fontId="2" fillId="0" borderId="1" xfId="0" applyFont="1" applyBorder="1"/>
    <xf numFmtId="1" fontId="2" fillId="0" borderId="1" xfId="0" applyNumberFormat="1" applyFont="1" applyBorder="1"/>
    <xf numFmtId="3" fontId="2" fillId="0" borderId="1" xfId="0" applyNumberFormat="1" applyFont="1" applyBorder="1"/>
    <xf numFmtId="2" fontId="2" fillId="0" borderId="1" xfId="0" applyNumberFormat="1" applyFont="1" applyBorder="1"/>
    <xf numFmtId="3" fontId="3" fillId="0" borderId="1" xfId="0" applyNumberFormat="1" applyFont="1" applyBorder="1"/>
    <xf numFmtId="2" fontId="3" fillId="0" borderId="1" xfId="0" applyNumberFormat="1" applyFont="1" applyBorder="1"/>
    <xf numFmtId="165" fontId="3" fillId="0" borderId="1" xfId="0" applyNumberFormat="1" applyFont="1" applyBorder="1"/>
    <xf numFmtId="1" fontId="3" fillId="0" borderId="1" xfId="0" applyNumberFormat="1" applyFont="1" applyBorder="1"/>
    <xf numFmtId="0" fontId="3" fillId="0" borderId="1" xfId="0" applyFont="1" applyBorder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0" fontId="6" fillId="0" borderId="0" xfId="0" applyFont="1"/>
    <xf numFmtId="0" fontId="2" fillId="4" borderId="1" xfId="0" applyFont="1" applyFill="1" applyBorder="1" applyAlignment="1">
      <alignment horizontal="center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9" fillId="0" borderId="0" xfId="0" applyFont="1" applyAlignment="1">
      <alignment vertical="top" wrapText="1"/>
    </xf>
  </cellXfs>
  <cellStyles count="1">
    <cellStyle name="Standaard" xfId="0" builtinId="0"/>
  </cellStyles>
  <dxfs count="3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0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8.6640625" defaultRowHeight="14.4" x14ac:dyDescent="0.3"/>
  <cols>
    <col min="1" max="1" width="13" customWidth="1"/>
    <col min="2" max="3" width="18" customWidth="1"/>
    <col min="4" max="4" width="20" customWidth="1"/>
    <col min="5" max="5" width="12" customWidth="1"/>
    <col min="6" max="6" width="11" customWidth="1"/>
    <col min="7" max="7" width="12" customWidth="1"/>
    <col min="8" max="8" width="18" customWidth="1"/>
    <col min="9" max="9" width="15" customWidth="1"/>
    <col min="10" max="10" width="12" customWidth="1"/>
    <col min="11" max="11" width="17" customWidth="1"/>
    <col min="12" max="12" width="16" customWidth="1"/>
    <col min="13" max="13" width="14" customWidth="1"/>
    <col min="14" max="14" width="9" customWidth="1"/>
    <col min="15" max="15" width="17" customWidth="1"/>
    <col min="16" max="16" width="12" customWidth="1"/>
    <col min="17" max="17" width="20" customWidth="1"/>
    <col min="18" max="18" width="26" customWidth="1"/>
  </cols>
  <sheetData>
    <row r="1" spans="1:18" ht="33.7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3">
      <c r="A2" s="4">
        <v>46267</v>
      </c>
      <c r="B2" s="5" t="s">
        <v>18</v>
      </c>
      <c r="C2" s="5" t="s">
        <v>19</v>
      </c>
      <c r="D2" s="5" t="s">
        <v>20</v>
      </c>
      <c r="E2" s="6">
        <v>25</v>
      </c>
      <c r="F2" s="7">
        <v>31700</v>
      </c>
      <c r="G2" s="8">
        <v>20.149999999999999</v>
      </c>
      <c r="H2" s="7">
        <v>1900000</v>
      </c>
      <c r="I2" s="7">
        <v>1900000</v>
      </c>
      <c r="J2" s="6">
        <v>9</v>
      </c>
      <c r="K2" s="9">
        <f t="shared" ref="K2:K33" si="0">IF(OR($J2="",$J2=0),"",$I2/$J2)</f>
        <v>211111.11111111112</v>
      </c>
      <c r="L2" s="9">
        <f t="shared" ref="L2:L33" si="1">IF(OR($E2="",$E2=0),"",$H2/$E2)</f>
        <v>76000</v>
      </c>
      <c r="M2" s="10">
        <f t="shared" ref="M2:M33" si="2">IF(OR($L2="",$L2=0),"",($I2/30)/$L2)</f>
        <v>0.83333333333333337</v>
      </c>
      <c r="N2" s="8">
        <v>8.59</v>
      </c>
      <c r="O2" s="11">
        <f t="shared" ref="O2:O33" si="3">IF(OR($I2="",$N2=""),"",($I2/1000)*$N2)</f>
        <v>16321</v>
      </c>
      <c r="P2" s="12">
        <f>IF($C2="","",IFERROR(ROUND(MIN(25,($N2/Instellingen!$B$3)*25)+MIN(25,($I2/Instellingen!$B$4)*25)+MIN(25,($J2/Instellingen!$B$5)*25)+MIN(25,(IF($M2="",0,$M2)/Instellingen!$B$6)*25),0),""))</f>
        <v>89</v>
      </c>
      <c r="Q2" s="13" t="str">
        <f>IF($P2="","",IF($P2&gt;=Instellingen!$B$7,"Sterke niche",IF($P2&gt;=Instellingen!$B$8,"Belofte - opvolgen",IF($P2&gt;=Instellingen!$B$9,"Zwak - twijfel","Vermijden"))))</f>
        <v>Sterke niche</v>
      </c>
      <c r="R2" s="5" t="s">
        <v>21</v>
      </c>
    </row>
    <row r="3" spans="1:18" x14ac:dyDescent="0.3">
      <c r="A3" s="14"/>
      <c r="B3" s="15"/>
      <c r="C3" s="15"/>
      <c r="D3" s="15"/>
      <c r="E3" s="16"/>
      <c r="F3" s="17"/>
      <c r="G3" s="18"/>
      <c r="H3" s="17"/>
      <c r="I3" s="17"/>
      <c r="J3" s="16"/>
      <c r="K3" s="19" t="str">
        <f t="shared" si="0"/>
        <v/>
      </c>
      <c r="L3" s="19" t="str">
        <f t="shared" si="1"/>
        <v/>
      </c>
      <c r="M3" s="20" t="str">
        <f t="shared" si="2"/>
        <v/>
      </c>
      <c r="N3" s="18"/>
      <c r="O3" s="21" t="str">
        <f t="shared" si="3"/>
        <v/>
      </c>
      <c r="P3" s="22" t="str">
        <f>IF($C3="","",IFERROR(ROUND(MIN(25,($N3/Instellingen!$B$3)*25)+MIN(25,($I3/Instellingen!$B$4)*25)+MIN(25,($J3/Instellingen!$B$5)*25)+MIN(25,(IF($M3="",0,$M3)/Instellingen!$B$6)*25),0),""))</f>
        <v/>
      </c>
      <c r="Q3" s="23" t="str">
        <f>IF($P3="","",IF($P3&gt;=Instellingen!$B$7,"Sterke niche",IF($P3&gt;=Instellingen!$B$8,"Belofte - opvolgen",IF($P3&gt;=Instellingen!$B$9,"Zwak - twijfel","Vermijden"))))</f>
        <v/>
      </c>
      <c r="R3" s="15"/>
    </row>
    <row r="4" spans="1:18" x14ac:dyDescent="0.3">
      <c r="A4" s="4"/>
      <c r="B4" s="5"/>
      <c r="C4" s="5"/>
      <c r="D4" s="5"/>
      <c r="E4" s="6"/>
      <c r="F4" s="7"/>
      <c r="G4" s="8"/>
      <c r="H4" s="7"/>
      <c r="I4" s="7"/>
      <c r="J4" s="6"/>
      <c r="K4" s="9" t="str">
        <f t="shared" si="0"/>
        <v/>
      </c>
      <c r="L4" s="9" t="str">
        <f t="shared" si="1"/>
        <v/>
      </c>
      <c r="M4" s="10" t="str">
        <f t="shared" si="2"/>
        <v/>
      </c>
      <c r="N4" s="8"/>
      <c r="O4" s="11" t="str">
        <f t="shared" si="3"/>
        <v/>
      </c>
      <c r="P4" s="12" t="str">
        <f>IF($C4="","",IFERROR(ROUND(MIN(25,($N4/Instellingen!$B$3)*25)+MIN(25,($I4/Instellingen!$B$4)*25)+MIN(25,($J4/Instellingen!$B$5)*25)+MIN(25,(IF($M4="",0,$M4)/Instellingen!$B$6)*25),0),""))</f>
        <v/>
      </c>
      <c r="Q4" s="13" t="str">
        <f>IF($P4="","",IF($P4&gt;=Instellingen!$B$7,"Sterke niche",IF($P4&gt;=Instellingen!$B$8,"Belofte - opvolgen",IF($P4&gt;=Instellingen!$B$9,"Zwak - twijfel","Vermijden"))))</f>
        <v/>
      </c>
      <c r="R4" s="5"/>
    </row>
    <row r="5" spans="1:18" x14ac:dyDescent="0.3">
      <c r="A5" s="14"/>
      <c r="B5" s="15"/>
      <c r="C5" s="15"/>
      <c r="D5" s="15"/>
      <c r="E5" s="16"/>
      <c r="F5" s="17"/>
      <c r="G5" s="18"/>
      <c r="H5" s="17"/>
      <c r="I5" s="17"/>
      <c r="J5" s="16"/>
      <c r="K5" s="19" t="str">
        <f t="shared" si="0"/>
        <v/>
      </c>
      <c r="L5" s="19" t="str">
        <f t="shared" si="1"/>
        <v/>
      </c>
      <c r="M5" s="20" t="str">
        <f t="shared" si="2"/>
        <v/>
      </c>
      <c r="N5" s="18"/>
      <c r="O5" s="21" t="str">
        <f t="shared" si="3"/>
        <v/>
      </c>
      <c r="P5" s="22" t="str">
        <f>IF($C5="","",IFERROR(ROUND(MIN(25,($N5/Instellingen!$B$3)*25)+MIN(25,($I5/Instellingen!$B$4)*25)+MIN(25,($J5/Instellingen!$B$5)*25)+MIN(25,(IF($M5="",0,$M5)/Instellingen!$B$6)*25),0),""))</f>
        <v/>
      </c>
      <c r="Q5" s="23" t="str">
        <f>IF($P5="","",IF($P5&gt;=Instellingen!$B$7,"Sterke niche",IF($P5&gt;=Instellingen!$B$8,"Belofte - opvolgen",IF($P5&gt;=Instellingen!$B$9,"Zwak - twijfel","Vermijden"))))</f>
        <v/>
      </c>
      <c r="R5" s="15"/>
    </row>
    <row r="6" spans="1:18" x14ac:dyDescent="0.3">
      <c r="A6" s="4"/>
      <c r="B6" s="5"/>
      <c r="C6" s="5"/>
      <c r="D6" s="5"/>
      <c r="E6" s="6"/>
      <c r="F6" s="7"/>
      <c r="G6" s="8"/>
      <c r="H6" s="7"/>
      <c r="I6" s="7"/>
      <c r="J6" s="6"/>
      <c r="K6" s="9" t="str">
        <f t="shared" si="0"/>
        <v/>
      </c>
      <c r="L6" s="9" t="str">
        <f t="shared" si="1"/>
        <v/>
      </c>
      <c r="M6" s="10" t="str">
        <f t="shared" si="2"/>
        <v/>
      </c>
      <c r="N6" s="8"/>
      <c r="O6" s="11" t="str">
        <f t="shared" si="3"/>
        <v/>
      </c>
      <c r="P6" s="12" t="str">
        <f>IF($C6="","",IFERROR(ROUND(MIN(25,($N6/Instellingen!$B$3)*25)+MIN(25,($I6/Instellingen!$B$4)*25)+MIN(25,($J6/Instellingen!$B$5)*25)+MIN(25,(IF($M6="",0,$M6)/Instellingen!$B$6)*25),0),""))</f>
        <v/>
      </c>
      <c r="Q6" s="13" t="str">
        <f>IF($P6="","",IF($P6&gt;=Instellingen!$B$7,"Sterke niche",IF($P6&gt;=Instellingen!$B$8,"Belofte - opvolgen",IF($P6&gt;=Instellingen!$B$9,"Zwak - twijfel","Vermijden"))))</f>
        <v/>
      </c>
      <c r="R6" s="5"/>
    </row>
    <row r="7" spans="1:18" x14ac:dyDescent="0.3">
      <c r="A7" s="14"/>
      <c r="B7" s="15"/>
      <c r="C7" s="15"/>
      <c r="D7" s="15"/>
      <c r="E7" s="16"/>
      <c r="F7" s="17"/>
      <c r="G7" s="18"/>
      <c r="H7" s="17"/>
      <c r="I7" s="17"/>
      <c r="J7" s="16"/>
      <c r="K7" s="19" t="str">
        <f t="shared" si="0"/>
        <v/>
      </c>
      <c r="L7" s="19" t="str">
        <f t="shared" si="1"/>
        <v/>
      </c>
      <c r="M7" s="20" t="str">
        <f t="shared" si="2"/>
        <v/>
      </c>
      <c r="N7" s="18"/>
      <c r="O7" s="21" t="str">
        <f t="shared" si="3"/>
        <v/>
      </c>
      <c r="P7" s="22" t="str">
        <f>IF($C7="","",IFERROR(ROUND(MIN(25,($N7/Instellingen!$B$3)*25)+MIN(25,($I7/Instellingen!$B$4)*25)+MIN(25,($J7/Instellingen!$B$5)*25)+MIN(25,(IF($M7="",0,$M7)/Instellingen!$B$6)*25),0),""))</f>
        <v/>
      </c>
      <c r="Q7" s="23" t="str">
        <f>IF($P7="","",IF($P7&gt;=Instellingen!$B$7,"Sterke niche",IF($P7&gt;=Instellingen!$B$8,"Belofte - opvolgen",IF($P7&gt;=Instellingen!$B$9,"Zwak - twijfel","Vermijden"))))</f>
        <v/>
      </c>
      <c r="R7" s="15"/>
    </row>
    <row r="8" spans="1:18" x14ac:dyDescent="0.3">
      <c r="A8" s="4"/>
      <c r="B8" s="5"/>
      <c r="C8" s="5"/>
      <c r="D8" s="5"/>
      <c r="E8" s="6"/>
      <c r="F8" s="7"/>
      <c r="G8" s="8"/>
      <c r="H8" s="7"/>
      <c r="I8" s="7"/>
      <c r="J8" s="6"/>
      <c r="K8" s="9" t="str">
        <f t="shared" si="0"/>
        <v/>
      </c>
      <c r="L8" s="9" t="str">
        <f t="shared" si="1"/>
        <v/>
      </c>
      <c r="M8" s="10" t="str">
        <f t="shared" si="2"/>
        <v/>
      </c>
      <c r="N8" s="8"/>
      <c r="O8" s="11" t="str">
        <f t="shared" si="3"/>
        <v/>
      </c>
      <c r="P8" s="12" t="str">
        <f>IF($C8="","",IFERROR(ROUND(MIN(25,($N8/Instellingen!$B$3)*25)+MIN(25,($I8/Instellingen!$B$4)*25)+MIN(25,($J8/Instellingen!$B$5)*25)+MIN(25,(IF($M8="",0,$M8)/Instellingen!$B$6)*25),0),""))</f>
        <v/>
      </c>
      <c r="Q8" s="13" t="str">
        <f>IF($P8="","",IF($P8&gt;=Instellingen!$B$7,"Sterke niche",IF($P8&gt;=Instellingen!$B$8,"Belofte - opvolgen",IF($P8&gt;=Instellingen!$B$9,"Zwak - twijfel","Vermijden"))))</f>
        <v/>
      </c>
      <c r="R8" s="5"/>
    </row>
    <row r="9" spans="1:18" x14ac:dyDescent="0.3">
      <c r="A9" s="14"/>
      <c r="B9" s="15"/>
      <c r="C9" s="15"/>
      <c r="D9" s="15"/>
      <c r="E9" s="16"/>
      <c r="F9" s="17"/>
      <c r="G9" s="18"/>
      <c r="H9" s="17"/>
      <c r="I9" s="17"/>
      <c r="J9" s="16"/>
      <c r="K9" s="19" t="str">
        <f t="shared" si="0"/>
        <v/>
      </c>
      <c r="L9" s="19" t="str">
        <f t="shared" si="1"/>
        <v/>
      </c>
      <c r="M9" s="20" t="str">
        <f t="shared" si="2"/>
        <v/>
      </c>
      <c r="N9" s="18"/>
      <c r="O9" s="21" t="str">
        <f t="shared" si="3"/>
        <v/>
      </c>
      <c r="P9" s="22" t="str">
        <f>IF($C9="","",IFERROR(ROUND(MIN(25,($N9/Instellingen!$B$3)*25)+MIN(25,($I9/Instellingen!$B$4)*25)+MIN(25,($J9/Instellingen!$B$5)*25)+MIN(25,(IF($M9="",0,$M9)/Instellingen!$B$6)*25),0),""))</f>
        <v/>
      </c>
      <c r="Q9" s="23" t="str">
        <f>IF($P9="","",IF($P9&gt;=Instellingen!$B$7,"Sterke niche",IF($P9&gt;=Instellingen!$B$8,"Belofte - opvolgen",IF($P9&gt;=Instellingen!$B$9,"Zwak - twijfel","Vermijden"))))</f>
        <v/>
      </c>
      <c r="R9" s="15"/>
    </row>
    <row r="10" spans="1:18" x14ac:dyDescent="0.3">
      <c r="A10" s="4"/>
      <c r="B10" s="5"/>
      <c r="C10" s="5"/>
      <c r="D10" s="5"/>
      <c r="E10" s="6"/>
      <c r="F10" s="7"/>
      <c r="G10" s="8"/>
      <c r="H10" s="7"/>
      <c r="I10" s="7"/>
      <c r="J10" s="6"/>
      <c r="K10" s="9" t="str">
        <f t="shared" si="0"/>
        <v/>
      </c>
      <c r="L10" s="9" t="str">
        <f t="shared" si="1"/>
        <v/>
      </c>
      <c r="M10" s="10" t="str">
        <f t="shared" si="2"/>
        <v/>
      </c>
      <c r="N10" s="8"/>
      <c r="O10" s="11" t="str">
        <f t="shared" si="3"/>
        <v/>
      </c>
      <c r="P10" s="12" t="str">
        <f>IF($C10="","",IFERROR(ROUND(MIN(25,($N10/Instellingen!$B$3)*25)+MIN(25,($I10/Instellingen!$B$4)*25)+MIN(25,($J10/Instellingen!$B$5)*25)+MIN(25,(IF($M10="",0,$M10)/Instellingen!$B$6)*25),0),""))</f>
        <v/>
      </c>
      <c r="Q10" s="13" t="str">
        <f>IF($P10="","",IF($P10&gt;=Instellingen!$B$7,"Sterke niche",IF($P10&gt;=Instellingen!$B$8,"Belofte - opvolgen",IF($P10&gt;=Instellingen!$B$9,"Zwak - twijfel","Vermijden"))))</f>
        <v/>
      </c>
      <c r="R10" s="5"/>
    </row>
    <row r="11" spans="1:18" x14ac:dyDescent="0.3">
      <c r="A11" s="14"/>
      <c r="B11" s="15"/>
      <c r="C11" s="15"/>
      <c r="D11" s="15"/>
      <c r="E11" s="16"/>
      <c r="F11" s="17"/>
      <c r="G11" s="18"/>
      <c r="H11" s="17"/>
      <c r="I11" s="17"/>
      <c r="J11" s="16"/>
      <c r="K11" s="19" t="str">
        <f t="shared" si="0"/>
        <v/>
      </c>
      <c r="L11" s="19" t="str">
        <f t="shared" si="1"/>
        <v/>
      </c>
      <c r="M11" s="20" t="str">
        <f t="shared" si="2"/>
        <v/>
      </c>
      <c r="N11" s="18"/>
      <c r="O11" s="21" t="str">
        <f t="shared" si="3"/>
        <v/>
      </c>
      <c r="P11" s="22" t="str">
        <f>IF($C11="","",IFERROR(ROUND(MIN(25,($N11/Instellingen!$B$3)*25)+MIN(25,($I11/Instellingen!$B$4)*25)+MIN(25,($J11/Instellingen!$B$5)*25)+MIN(25,(IF($M11="",0,$M11)/Instellingen!$B$6)*25),0),""))</f>
        <v/>
      </c>
      <c r="Q11" s="23" t="str">
        <f>IF($P11="","",IF($P11&gt;=Instellingen!$B$7,"Sterke niche",IF($P11&gt;=Instellingen!$B$8,"Belofte - opvolgen",IF($P11&gt;=Instellingen!$B$9,"Zwak - twijfel","Vermijden"))))</f>
        <v/>
      </c>
      <c r="R11" s="15"/>
    </row>
    <row r="12" spans="1:18" x14ac:dyDescent="0.3">
      <c r="A12" s="4"/>
      <c r="B12" s="5"/>
      <c r="C12" s="5"/>
      <c r="D12" s="5"/>
      <c r="E12" s="6"/>
      <c r="F12" s="7"/>
      <c r="G12" s="8"/>
      <c r="H12" s="7"/>
      <c r="I12" s="7"/>
      <c r="J12" s="6"/>
      <c r="K12" s="9" t="str">
        <f t="shared" si="0"/>
        <v/>
      </c>
      <c r="L12" s="9" t="str">
        <f t="shared" si="1"/>
        <v/>
      </c>
      <c r="M12" s="10" t="str">
        <f t="shared" si="2"/>
        <v/>
      </c>
      <c r="N12" s="8"/>
      <c r="O12" s="11" t="str">
        <f t="shared" si="3"/>
        <v/>
      </c>
      <c r="P12" s="12" t="str">
        <f>IF($C12="","",IFERROR(ROUND(MIN(25,($N12/Instellingen!$B$3)*25)+MIN(25,($I12/Instellingen!$B$4)*25)+MIN(25,($J12/Instellingen!$B$5)*25)+MIN(25,(IF($M12="",0,$M12)/Instellingen!$B$6)*25),0),""))</f>
        <v/>
      </c>
      <c r="Q12" s="13" t="str">
        <f>IF($P12="","",IF($P12&gt;=Instellingen!$B$7,"Sterke niche",IF($P12&gt;=Instellingen!$B$8,"Belofte - opvolgen",IF($P12&gt;=Instellingen!$B$9,"Zwak - twijfel","Vermijden"))))</f>
        <v/>
      </c>
      <c r="R12" s="5"/>
    </row>
    <row r="13" spans="1:18" x14ac:dyDescent="0.3">
      <c r="A13" s="14"/>
      <c r="B13" s="15"/>
      <c r="C13" s="15"/>
      <c r="D13" s="15"/>
      <c r="E13" s="16"/>
      <c r="F13" s="17"/>
      <c r="G13" s="18"/>
      <c r="H13" s="17"/>
      <c r="I13" s="17"/>
      <c r="J13" s="16"/>
      <c r="K13" s="19" t="str">
        <f t="shared" si="0"/>
        <v/>
      </c>
      <c r="L13" s="19" t="str">
        <f t="shared" si="1"/>
        <v/>
      </c>
      <c r="M13" s="20" t="str">
        <f t="shared" si="2"/>
        <v/>
      </c>
      <c r="N13" s="18"/>
      <c r="O13" s="21" t="str">
        <f t="shared" si="3"/>
        <v/>
      </c>
      <c r="P13" s="22" t="str">
        <f>IF($C13="","",IFERROR(ROUND(MIN(25,($N13/Instellingen!$B$3)*25)+MIN(25,($I13/Instellingen!$B$4)*25)+MIN(25,($J13/Instellingen!$B$5)*25)+MIN(25,(IF($M13="",0,$M13)/Instellingen!$B$6)*25),0),""))</f>
        <v/>
      </c>
      <c r="Q13" s="23" t="str">
        <f>IF($P13="","",IF($P13&gt;=Instellingen!$B$7,"Sterke niche",IF($P13&gt;=Instellingen!$B$8,"Belofte - opvolgen",IF($P13&gt;=Instellingen!$B$9,"Zwak - twijfel","Vermijden"))))</f>
        <v/>
      </c>
      <c r="R13" s="15"/>
    </row>
    <row r="14" spans="1:18" x14ac:dyDescent="0.3">
      <c r="A14" s="4"/>
      <c r="B14" s="5"/>
      <c r="C14" s="5"/>
      <c r="D14" s="5"/>
      <c r="E14" s="6"/>
      <c r="F14" s="7"/>
      <c r="G14" s="8"/>
      <c r="H14" s="7"/>
      <c r="I14" s="7"/>
      <c r="J14" s="6"/>
      <c r="K14" s="9" t="str">
        <f t="shared" si="0"/>
        <v/>
      </c>
      <c r="L14" s="9" t="str">
        <f t="shared" si="1"/>
        <v/>
      </c>
      <c r="M14" s="10" t="str">
        <f t="shared" si="2"/>
        <v/>
      </c>
      <c r="N14" s="8"/>
      <c r="O14" s="11" t="str">
        <f t="shared" si="3"/>
        <v/>
      </c>
      <c r="P14" s="12" t="str">
        <f>IF($C14="","",IFERROR(ROUND(MIN(25,($N14/Instellingen!$B$3)*25)+MIN(25,($I14/Instellingen!$B$4)*25)+MIN(25,($J14/Instellingen!$B$5)*25)+MIN(25,(IF($M14="",0,$M14)/Instellingen!$B$6)*25),0),""))</f>
        <v/>
      </c>
      <c r="Q14" s="13" t="str">
        <f>IF($P14="","",IF($P14&gt;=Instellingen!$B$7,"Sterke niche",IF($P14&gt;=Instellingen!$B$8,"Belofte - opvolgen",IF($P14&gt;=Instellingen!$B$9,"Zwak - twijfel","Vermijden"))))</f>
        <v/>
      </c>
      <c r="R14" s="5"/>
    </row>
    <row r="15" spans="1:18" x14ac:dyDescent="0.3">
      <c r="A15" s="14"/>
      <c r="B15" s="15"/>
      <c r="C15" s="15"/>
      <c r="D15" s="15"/>
      <c r="E15" s="16"/>
      <c r="F15" s="17"/>
      <c r="G15" s="18"/>
      <c r="H15" s="17"/>
      <c r="I15" s="17"/>
      <c r="J15" s="16"/>
      <c r="K15" s="19" t="str">
        <f t="shared" si="0"/>
        <v/>
      </c>
      <c r="L15" s="19" t="str">
        <f t="shared" si="1"/>
        <v/>
      </c>
      <c r="M15" s="20" t="str">
        <f t="shared" si="2"/>
        <v/>
      </c>
      <c r="N15" s="18"/>
      <c r="O15" s="21" t="str">
        <f t="shared" si="3"/>
        <v/>
      </c>
      <c r="P15" s="22" t="str">
        <f>IF($C15="","",IFERROR(ROUND(MIN(25,($N15/Instellingen!$B$3)*25)+MIN(25,($I15/Instellingen!$B$4)*25)+MIN(25,($J15/Instellingen!$B$5)*25)+MIN(25,(IF($M15="",0,$M15)/Instellingen!$B$6)*25),0),""))</f>
        <v/>
      </c>
      <c r="Q15" s="23" t="str">
        <f>IF($P15="","",IF($P15&gt;=Instellingen!$B$7,"Sterke niche",IF($P15&gt;=Instellingen!$B$8,"Belofte - opvolgen",IF($P15&gt;=Instellingen!$B$9,"Zwak - twijfel","Vermijden"))))</f>
        <v/>
      </c>
      <c r="R15" s="15"/>
    </row>
    <row r="16" spans="1:18" x14ac:dyDescent="0.3">
      <c r="A16" s="4"/>
      <c r="B16" s="5"/>
      <c r="C16" s="5"/>
      <c r="D16" s="5"/>
      <c r="E16" s="6"/>
      <c r="F16" s="7"/>
      <c r="G16" s="8"/>
      <c r="H16" s="7"/>
      <c r="I16" s="7"/>
      <c r="J16" s="6"/>
      <c r="K16" s="9" t="str">
        <f t="shared" si="0"/>
        <v/>
      </c>
      <c r="L16" s="9" t="str">
        <f t="shared" si="1"/>
        <v/>
      </c>
      <c r="M16" s="10" t="str">
        <f t="shared" si="2"/>
        <v/>
      </c>
      <c r="N16" s="8"/>
      <c r="O16" s="11" t="str">
        <f t="shared" si="3"/>
        <v/>
      </c>
      <c r="P16" s="12" t="str">
        <f>IF($C16="","",IFERROR(ROUND(MIN(25,($N16/Instellingen!$B$3)*25)+MIN(25,($I16/Instellingen!$B$4)*25)+MIN(25,($J16/Instellingen!$B$5)*25)+MIN(25,(IF($M16="",0,$M16)/Instellingen!$B$6)*25),0),""))</f>
        <v/>
      </c>
      <c r="Q16" s="13" t="str">
        <f>IF($P16="","",IF($P16&gt;=Instellingen!$B$7,"Sterke niche",IF($P16&gt;=Instellingen!$B$8,"Belofte - opvolgen",IF($P16&gt;=Instellingen!$B$9,"Zwak - twijfel","Vermijden"))))</f>
        <v/>
      </c>
      <c r="R16" s="5"/>
    </row>
    <row r="17" spans="1:18" x14ac:dyDescent="0.3">
      <c r="A17" s="14"/>
      <c r="B17" s="15"/>
      <c r="C17" s="15"/>
      <c r="D17" s="15"/>
      <c r="E17" s="16"/>
      <c r="F17" s="17"/>
      <c r="G17" s="18"/>
      <c r="H17" s="17"/>
      <c r="I17" s="17"/>
      <c r="J17" s="16"/>
      <c r="K17" s="19" t="str">
        <f t="shared" si="0"/>
        <v/>
      </c>
      <c r="L17" s="19" t="str">
        <f t="shared" si="1"/>
        <v/>
      </c>
      <c r="M17" s="20" t="str">
        <f t="shared" si="2"/>
        <v/>
      </c>
      <c r="N17" s="18"/>
      <c r="O17" s="21" t="str">
        <f t="shared" si="3"/>
        <v/>
      </c>
      <c r="P17" s="22" t="str">
        <f>IF($C17="","",IFERROR(ROUND(MIN(25,($N17/Instellingen!$B$3)*25)+MIN(25,($I17/Instellingen!$B$4)*25)+MIN(25,($J17/Instellingen!$B$5)*25)+MIN(25,(IF($M17="",0,$M17)/Instellingen!$B$6)*25),0),""))</f>
        <v/>
      </c>
      <c r="Q17" s="23" t="str">
        <f>IF($P17="","",IF($P17&gt;=Instellingen!$B$7,"Sterke niche",IF($P17&gt;=Instellingen!$B$8,"Belofte - opvolgen",IF($P17&gt;=Instellingen!$B$9,"Zwak - twijfel","Vermijden"))))</f>
        <v/>
      </c>
      <c r="R17" s="15"/>
    </row>
    <row r="18" spans="1:18" x14ac:dyDescent="0.3">
      <c r="A18" s="4"/>
      <c r="B18" s="5"/>
      <c r="C18" s="5"/>
      <c r="D18" s="5"/>
      <c r="E18" s="6"/>
      <c r="F18" s="7"/>
      <c r="G18" s="8"/>
      <c r="H18" s="7"/>
      <c r="I18" s="7"/>
      <c r="J18" s="6"/>
      <c r="K18" s="9" t="str">
        <f t="shared" si="0"/>
        <v/>
      </c>
      <c r="L18" s="9" t="str">
        <f t="shared" si="1"/>
        <v/>
      </c>
      <c r="M18" s="10" t="str">
        <f t="shared" si="2"/>
        <v/>
      </c>
      <c r="N18" s="8"/>
      <c r="O18" s="11" t="str">
        <f t="shared" si="3"/>
        <v/>
      </c>
      <c r="P18" s="12" t="str">
        <f>IF($C18="","",IFERROR(ROUND(MIN(25,($N18/Instellingen!$B$3)*25)+MIN(25,($I18/Instellingen!$B$4)*25)+MIN(25,($J18/Instellingen!$B$5)*25)+MIN(25,(IF($M18="",0,$M18)/Instellingen!$B$6)*25),0),""))</f>
        <v/>
      </c>
      <c r="Q18" s="13" t="str">
        <f>IF($P18="","",IF($P18&gt;=Instellingen!$B$7,"Sterke niche",IF($P18&gt;=Instellingen!$B$8,"Belofte - opvolgen",IF($P18&gt;=Instellingen!$B$9,"Zwak - twijfel","Vermijden"))))</f>
        <v/>
      </c>
      <c r="R18" s="5"/>
    </row>
    <row r="19" spans="1:18" x14ac:dyDescent="0.3">
      <c r="A19" s="14"/>
      <c r="B19" s="15"/>
      <c r="C19" s="15"/>
      <c r="D19" s="15"/>
      <c r="E19" s="16"/>
      <c r="F19" s="17"/>
      <c r="G19" s="18"/>
      <c r="H19" s="17"/>
      <c r="I19" s="17"/>
      <c r="J19" s="16"/>
      <c r="K19" s="19" t="str">
        <f t="shared" si="0"/>
        <v/>
      </c>
      <c r="L19" s="19" t="str">
        <f t="shared" si="1"/>
        <v/>
      </c>
      <c r="M19" s="20" t="str">
        <f t="shared" si="2"/>
        <v/>
      </c>
      <c r="N19" s="18"/>
      <c r="O19" s="21" t="str">
        <f t="shared" si="3"/>
        <v/>
      </c>
      <c r="P19" s="22" t="str">
        <f>IF($C19="","",IFERROR(ROUND(MIN(25,($N19/Instellingen!$B$3)*25)+MIN(25,($I19/Instellingen!$B$4)*25)+MIN(25,($J19/Instellingen!$B$5)*25)+MIN(25,(IF($M19="",0,$M19)/Instellingen!$B$6)*25),0),""))</f>
        <v/>
      </c>
      <c r="Q19" s="23" t="str">
        <f>IF($P19="","",IF($P19&gt;=Instellingen!$B$7,"Sterke niche",IF($P19&gt;=Instellingen!$B$8,"Belofte - opvolgen",IF($P19&gt;=Instellingen!$B$9,"Zwak - twijfel","Vermijden"))))</f>
        <v/>
      </c>
      <c r="R19" s="15"/>
    </row>
    <row r="20" spans="1:18" x14ac:dyDescent="0.3">
      <c r="A20" s="4"/>
      <c r="B20" s="5"/>
      <c r="C20" s="5"/>
      <c r="D20" s="5"/>
      <c r="E20" s="6"/>
      <c r="F20" s="7"/>
      <c r="G20" s="8"/>
      <c r="H20" s="7"/>
      <c r="I20" s="7"/>
      <c r="J20" s="6"/>
      <c r="K20" s="9" t="str">
        <f t="shared" si="0"/>
        <v/>
      </c>
      <c r="L20" s="9" t="str">
        <f t="shared" si="1"/>
        <v/>
      </c>
      <c r="M20" s="10" t="str">
        <f t="shared" si="2"/>
        <v/>
      </c>
      <c r="N20" s="8"/>
      <c r="O20" s="11" t="str">
        <f t="shared" si="3"/>
        <v/>
      </c>
      <c r="P20" s="12" t="str">
        <f>IF($C20="","",IFERROR(ROUND(MIN(25,($N20/Instellingen!$B$3)*25)+MIN(25,($I20/Instellingen!$B$4)*25)+MIN(25,($J20/Instellingen!$B$5)*25)+MIN(25,(IF($M20="",0,$M20)/Instellingen!$B$6)*25),0),""))</f>
        <v/>
      </c>
      <c r="Q20" s="13" t="str">
        <f>IF($P20="","",IF($P20&gt;=Instellingen!$B$7,"Sterke niche",IF($P20&gt;=Instellingen!$B$8,"Belofte - opvolgen",IF($P20&gt;=Instellingen!$B$9,"Zwak - twijfel","Vermijden"))))</f>
        <v/>
      </c>
      <c r="R20" s="5"/>
    </row>
    <row r="21" spans="1:18" x14ac:dyDescent="0.3">
      <c r="A21" s="14"/>
      <c r="B21" s="15"/>
      <c r="C21" s="15"/>
      <c r="D21" s="15"/>
      <c r="E21" s="16"/>
      <c r="F21" s="17"/>
      <c r="G21" s="18"/>
      <c r="H21" s="17"/>
      <c r="I21" s="17"/>
      <c r="J21" s="16"/>
      <c r="K21" s="19" t="str">
        <f t="shared" si="0"/>
        <v/>
      </c>
      <c r="L21" s="19" t="str">
        <f t="shared" si="1"/>
        <v/>
      </c>
      <c r="M21" s="20" t="str">
        <f t="shared" si="2"/>
        <v/>
      </c>
      <c r="N21" s="18"/>
      <c r="O21" s="21" t="str">
        <f t="shared" si="3"/>
        <v/>
      </c>
      <c r="P21" s="22" t="str">
        <f>IF($C21="","",IFERROR(ROUND(MIN(25,($N21/Instellingen!$B$3)*25)+MIN(25,($I21/Instellingen!$B$4)*25)+MIN(25,($J21/Instellingen!$B$5)*25)+MIN(25,(IF($M21="",0,$M21)/Instellingen!$B$6)*25),0),""))</f>
        <v/>
      </c>
      <c r="Q21" s="23" t="str">
        <f>IF($P21="","",IF($P21&gt;=Instellingen!$B$7,"Sterke niche",IF($P21&gt;=Instellingen!$B$8,"Belofte - opvolgen",IF($P21&gt;=Instellingen!$B$9,"Zwak - twijfel","Vermijden"))))</f>
        <v/>
      </c>
      <c r="R21" s="15"/>
    </row>
    <row r="22" spans="1:18" x14ac:dyDescent="0.3">
      <c r="A22" s="4"/>
      <c r="B22" s="5"/>
      <c r="C22" s="5"/>
      <c r="D22" s="5"/>
      <c r="E22" s="6"/>
      <c r="F22" s="7"/>
      <c r="G22" s="8"/>
      <c r="H22" s="7"/>
      <c r="I22" s="7"/>
      <c r="J22" s="6"/>
      <c r="K22" s="9" t="str">
        <f t="shared" si="0"/>
        <v/>
      </c>
      <c r="L22" s="9" t="str">
        <f t="shared" si="1"/>
        <v/>
      </c>
      <c r="M22" s="10" t="str">
        <f t="shared" si="2"/>
        <v/>
      </c>
      <c r="N22" s="8"/>
      <c r="O22" s="11" t="str">
        <f t="shared" si="3"/>
        <v/>
      </c>
      <c r="P22" s="12" t="str">
        <f>IF($C22="","",IFERROR(ROUND(MIN(25,($N22/Instellingen!$B$3)*25)+MIN(25,($I22/Instellingen!$B$4)*25)+MIN(25,($J22/Instellingen!$B$5)*25)+MIN(25,(IF($M22="",0,$M22)/Instellingen!$B$6)*25),0),""))</f>
        <v/>
      </c>
      <c r="Q22" s="13" t="str">
        <f>IF($P22="","",IF($P22&gt;=Instellingen!$B$7,"Sterke niche",IF($P22&gt;=Instellingen!$B$8,"Belofte - opvolgen",IF($P22&gt;=Instellingen!$B$9,"Zwak - twijfel","Vermijden"))))</f>
        <v/>
      </c>
      <c r="R22" s="5"/>
    </row>
    <row r="23" spans="1:18" x14ac:dyDescent="0.3">
      <c r="A23" s="14"/>
      <c r="B23" s="15"/>
      <c r="C23" s="15"/>
      <c r="D23" s="15"/>
      <c r="E23" s="16"/>
      <c r="F23" s="17"/>
      <c r="G23" s="18"/>
      <c r="H23" s="17"/>
      <c r="I23" s="17"/>
      <c r="J23" s="16"/>
      <c r="K23" s="19" t="str">
        <f t="shared" si="0"/>
        <v/>
      </c>
      <c r="L23" s="19" t="str">
        <f t="shared" si="1"/>
        <v/>
      </c>
      <c r="M23" s="20" t="str">
        <f t="shared" si="2"/>
        <v/>
      </c>
      <c r="N23" s="18"/>
      <c r="O23" s="21" t="str">
        <f t="shared" si="3"/>
        <v/>
      </c>
      <c r="P23" s="22" t="str">
        <f>IF($C23="","",IFERROR(ROUND(MIN(25,($N23/Instellingen!$B$3)*25)+MIN(25,($I23/Instellingen!$B$4)*25)+MIN(25,($J23/Instellingen!$B$5)*25)+MIN(25,(IF($M23="",0,$M23)/Instellingen!$B$6)*25),0),""))</f>
        <v/>
      </c>
      <c r="Q23" s="23" t="str">
        <f>IF($P23="","",IF($P23&gt;=Instellingen!$B$7,"Sterke niche",IF($P23&gt;=Instellingen!$B$8,"Belofte - opvolgen",IF($P23&gt;=Instellingen!$B$9,"Zwak - twijfel","Vermijden"))))</f>
        <v/>
      </c>
      <c r="R23" s="15"/>
    </row>
    <row r="24" spans="1:18" x14ac:dyDescent="0.3">
      <c r="A24" s="4"/>
      <c r="B24" s="5"/>
      <c r="C24" s="5"/>
      <c r="D24" s="5"/>
      <c r="E24" s="6"/>
      <c r="F24" s="7"/>
      <c r="G24" s="8"/>
      <c r="H24" s="7"/>
      <c r="I24" s="7"/>
      <c r="J24" s="6"/>
      <c r="K24" s="9" t="str">
        <f t="shared" si="0"/>
        <v/>
      </c>
      <c r="L24" s="9" t="str">
        <f t="shared" si="1"/>
        <v/>
      </c>
      <c r="M24" s="10" t="str">
        <f t="shared" si="2"/>
        <v/>
      </c>
      <c r="N24" s="8"/>
      <c r="O24" s="11" t="str">
        <f t="shared" si="3"/>
        <v/>
      </c>
      <c r="P24" s="12" t="str">
        <f>IF($C24="","",IFERROR(ROUND(MIN(25,($N24/Instellingen!$B$3)*25)+MIN(25,($I24/Instellingen!$B$4)*25)+MIN(25,($J24/Instellingen!$B$5)*25)+MIN(25,(IF($M24="",0,$M24)/Instellingen!$B$6)*25),0),""))</f>
        <v/>
      </c>
      <c r="Q24" s="13" t="str">
        <f>IF($P24="","",IF($P24&gt;=Instellingen!$B$7,"Sterke niche",IF($P24&gt;=Instellingen!$B$8,"Belofte - opvolgen",IF($P24&gt;=Instellingen!$B$9,"Zwak - twijfel","Vermijden"))))</f>
        <v/>
      </c>
      <c r="R24" s="5"/>
    </row>
    <row r="25" spans="1:18" x14ac:dyDescent="0.3">
      <c r="A25" s="14"/>
      <c r="B25" s="15"/>
      <c r="C25" s="15"/>
      <c r="D25" s="15"/>
      <c r="E25" s="16"/>
      <c r="F25" s="17"/>
      <c r="G25" s="18"/>
      <c r="H25" s="17"/>
      <c r="I25" s="17"/>
      <c r="J25" s="16"/>
      <c r="K25" s="19" t="str">
        <f t="shared" si="0"/>
        <v/>
      </c>
      <c r="L25" s="19" t="str">
        <f t="shared" si="1"/>
        <v/>
      </c>
      <c r="M25" s="20" t="str">
        <f t="shared" si="2"/>
        <v/>
      </c>
      <c r="N25" s="18"/>
      <c r="O25" s="21" t="str">
        <f t="shared" si="3"/>
        <v/>
      </c>
      <c r="P25" s="22" t="str">
        <f>IF($C25="","",IFERROR(ROUND(MIN(25,($N25/Instellingen!$B$3)*25)+MIN(25,($I25/Instellingen!$B$4)*25)+MIN(25,($J25/Instellingen!$B$5)*25)+MIN(25,(IF($M25="",0,$M25)/Instellingen!$B$6)*25),0),""))</f>
        <v/>
      </c>
      <c r="Q25" s="23" t="str">
        <f>IF($P25="","",IF($P25&gt;=Instellingen!$B$7,"Sterke niche",IF($P25&gt;=Instellingen!$B$8,"Belofte - opvolgen",IF($P25&gt;=Instellingen!$B$9,"Zwak - twijfel","Vermijden"))))</f>
        <v/>
      </c>
      <c r="R25" s="15"/>
    </row>
    <row r="26" spans="1:18" x14ac:dyDescent="0.3">
      <c r="A26" s="4"/>
      <c r="B26" s="5"/>
      <c r="C26" s="5"/>
      <c r="D26" s="5"/>
      <c r="E26" s="6"/>
      <c r="F26" s="7"/>
      <c r="G26" s="8"/>
      <c r="H26" s="7"/>
      <c r="I26" s="7"/>
      <c r="J26" s="6"/>
      <c r="K26" s="9" t="str">
        <f t="shared" si="0"/>
        <v/>
      </c>
      <c r="L26" s="9" t="str">
        <f t="shared" si="1"/>
        <v/>
      </c>
      <c r="M26" s="10" t="str">
        <f t="shared" si="2"/>
        <v/>
      </c>
      <c r="N26" s="8"/>
      <c r="O26" s="11" t="str">
        <f t="shared" si="3"/>
        <v/>
      </c>
      <c r="P26" s="12" t="str">
        <f>IF($C26="","",IFERROR(ROUND(MIN(25,($N26/Instellingen!$B$3)*25)+MIN(25,($I26/Instellingen!$B$4)*25)+MIN(25,($J26/Instellingen!$B$5)*25)+MIN(25,(IF($M26="",0,$M26)/Instellingen!$B$6)*25),0),""))</f>
        <v/>
      </c>
      <c r="Q26" s="13" t="str">
        <f>IF($P26="","",IF($P26&gt;=Instellingen!$B$7,"Sterke niche",IF($P26&gt;=Instellingen!$B$8,"Belofte - opvolgen",IF($P26&gt;=Instellingen!$B$9,"Zwak - twijfel","Vermijden"))))</f>
        <v/>
      </c>
      <c r="R26" s="5"/>
    </row>
    <row r="27" spans="1:18" x14ac:dyDescent="0.3">
      <c r="A27" s="14"/>
      <c r="B27" s="15"/>
      <c r="C27" s="15"/>
      <c r="D27" s="15"/>
      <c r="E27" s="16"/>
      <c r="F27" s="17"/>
      <c r="G27" s="18"/>
      <c r="H27" s="17"/>
      <c r="I27" s="17"/>
      <c r="J27" s="16"/>
      <c r="K27" s="19" t="str">
        <f t="shared" si="0"/>
        <v/>
      </c>
      <c r="L27" s="19" t="str">
        <f t="shared" si="1"/>
        <v/>
      </c>
      <c r="M27" s="20" t="str">
        <f t="shared" si="2"/>
        <v/>
      </c>
      <c r="N27" s="18"/>
      <c r="O27" s="21" t="str">
        <f t="shared" si="3"/>
        <v/>
      </c>
      <c r="P27" s="22" t="str">
        <f>IF($C27="","",IFERROR(ROUND(MIN(25,($N27/Instellingen!$B$3)*25)+MIN(25,($I27/Instellingen!$B$4)*25)+MIN(25,($J27/Instellingen!$B$5)*25)+MIN(25,(IF($M27="",0,$M27)/Instellingen!$B$6)*25),0),""))</f>
        <v/>
      </c>
      <c r="Q27" s="23" t="str">
        <f>IF($P27="","",IF($P27&gt;=Instellingen!$B$7,"Sterke niche",IF($P27&gt;=Instellingen!$B$8,"Belofte - opvolgen",IF($P27&gt;=Instellingen!$B$9,"Zwak - twijfel","Vermijden"))))</f>
        <v/>
      </c>
      <c r="R27" s="15"/>
    </row>
    <row r="28" spans="1:18" x14ac:dyDescent="0.3">
      <c r="A28" s="4"/>
      <c r="B28" s="5"/>
      <c r="C28" s="5"/>
      <c r="D28" s="5"/>
      <c r="E28" s="6"/>
      <c r="F28" s="7"/>
      <c r="G28" s="8"/>
      <c r="H28" s="7"/>
      <c r="I28" s="7"/>
      <c r="J28" s="6"/>
      <c r="K28" s="9" t="str">
        <f t="shared" si="0"/>
        <v/>
      </c>
      <c r="L28" s="9" t="str">
        <f t="shared" si="1"/>
        <v/>
      </c>
      <c r="M28" s="10" t="str">
        <f t="shared" si="2"/>
        <v/>
      </c>
      <c r="N28" s="8"/>
      <c r="O28" s="11" t="str">
        <f t="shared" si="3"/>
        <v/>
      </c>
      <c r="P28" s="12" t="str">
        <f>IF($C28="","",IFERROR(ROUND(MIN(25,($N28/Instellingen!$B$3)*25)+MIN(25,($I28/Instellingen!$B$4)*25)+MIN(25,($J28/Instellingen!$B$5)*25)+MIN(25,(IF($M28="",0,$M28)/Instellingen!$B$6)*25),0),""))</f>
        <v/>
      </c>
      <c r="Q28" s="13" t="str">
        <f>IF($P28="","",IF($P28&gt;=Instellingen!$B$7,"Sterke niche",IF($P28&gt;=Instellingen!$B$8,"Belofte - opvolgen",IF($P28&gt;=Instellingen!$B$9,"Zwak - twijfel","Vermijden"))))</f>
        <v/>
      </c>
      <c r="R28" s="5"/>
    </row>
    <row r="29" spans="1:18" x14ac:dyDescent="0.3">
      <c r="A29" s="14"/>
      <c r="B29" s="15"/>
      <c r="C29" s="15"/>
      <c r="D29" s="15"/>
      <c r="E29" s="16"/>
      <c r="F29" s="17"/>
      <c r="G29" s="18"/>
      <c r="H29" s="17"/>
      <c r="I29" s="17"/>
      <c r="J29" s="16"/>
      <c r="K29" s="19" t="str">
        <f t="shared" si="0"/>
        <v/>
      </c>
      <c r="L29" s="19" t="str">
        <f t="shared" si="1"/>
        <v/>
      </c>
      <c r="M29" s="20" t="str">
        <f t="shared" si="2"/>
        <v/>
      </c>
      <c r="N29" s="18"/>
      <c r="O29" s="21" t="str">
        <f t="shared" si="3"/>
        <v/>
      </c>
      <c r="P29" s="22" t="str">
        <f>IF($C29="","",IFERROR(ROUND(MIN(25,($N29/Instellingen!$B$3)*25)+MIN(25,($I29/Instellingen!$B$4)*25)+MIN(25,($J29/Instellingen!$B$5)*25)+MIN(25,(IF($M29="",0,$M29)/Instellingen!$B$6)*25),0),""))</f>
        <v/>
      </c>
      <c r="Q29" s="23" t="str">
        <f>IF($P29="","",IF($P29&gt;=Instellingen!$B$7,"Sterke niche",IF($P29&gt;=Instellingen!$B$8,"Belofte - opvolgen",IF($P29&gt;=Instellingen!$B$9,"Zwak - twijfel","Vermijden"))))</f>
        <v/>
      </c>
      <c r="R29" s="15"/>
    </row>
    <row r="30" spans="1:18" x14ac:dyDescent="0.3">
      <c r="A30" s="4"/>
      <c r="B30" s="5"/>
      <c r="C30" s="5"/>
      <c r="D30" s="5"/>
      <c r="E30" s="6"/>
      <c r="F30" s="7"/>
      <c r="G30" s="8"/>
      <c r="H30" s="7"/>
      <c r="I30" s="7"/>
      <c r="J30" s="6"/>
      <c r="K30" s="9" t="str">
        <f t="shared" si="0"/>
        <v/>
      </c>
      <c r="L30" s="9" t="str">
        <f t="shared" si="1"/>
        <v/>
      </c>
      <c r="M30" s="10" t="str">
        <f t="shared" si="2"/>
        <v/>
      </c>
      <c r="N30" s="8"/>
      <c r="O30" s="11" t="str">
        <f t="shared" si="3"/>
        <v/>
      </c>
      <c r="P30" s="12" t="str">
        <f>IF($C30="","",IFERROR(ROUND(MIN(25,($N30/Instellingen!$B$3)*25)+MIN(25,($I30/Instellingen!$B$4)*25)+MIN(25,($J30/Instellingen!$B$5)*25)+MIN(25,(IF($M30="",0,$M30)/Instellingen!$B$6)*25),0),""))</f>
        <v/>
      </c>
      <c r="Q30" s="13" t="str">
        <f>IF($P30="","",IF($P30&gt;=Instellingen!$B$7,"Sterke niche",IF($P30&gt;=Instellingen!$B$8,"Belofte - opvolgen",IF($P30&gt;=Instellingen!$B$9,"Zwak - twijfel","Vermijden"))))</f>
        <v/>
      </c>
      <c r="R30" s="5"/>
    </row>
    <row r="31" spans="1:18" x14ac:dyDescent="0.3">
      <c r="A31" s="14"/>
      <c r="B31" s="15"/>
      <c r="C31" s="15"/>
      <c r="D31" s="15"/>
      <c r="E31" s="16"/>
      <c r="F31" s="17"/>
      <c r="G31" s="18"/>
      <c r="H31" s="17"/>
      <c r="I31" s="17"/>
      <c r="J31" s="16"/>
      <c r="K31" s="19" t="str">
        <f t="shared" si="0"/>
        <v/>
      </c>
      <c r="L31" s="19" t="str">
        <f t="shared" si="1"/>
        <v/>
      </c>
      <c r="M31" s="20" t="str">
        <f t="shared" si="2"/>
        <v/>
      </c>
      <c r="N31" s="18"/>
      <c r="O31" s="21" t="str">
        <f t="shared" si="3"/>
        <v/>
      </c>
      <c r="P31" s="22" t="str">
        <f>IF($C31="","",IFERROR(ROUND(MIN(25,($N31/Instellingen!$B$3)*25)+MIN(25,($I31/Instellingen!$B$4)*25)+MIN(25,($J31/Instellingen!$B$5)*25)+MIN(25,(IF($M31="",0,$M31)/Instellingen!$B$6)*25),0),""))</f>
        <v/>
      </c>
      <c r="Q31" s="23" t="str">
        <f>IF($P31="","",IF($P31&gt;=Instellingen!$B$7,"Sterke niche",IF($P31&gt;=Instellingen!$B$8,"Belofte - opvolgen",IF($P31&gt;=Instellingen!$B$9,"Zwak - twijfel","Vermijden"))))</f>
        <v/>
      </c>
      <c r="R31" s="15"/>
    </row>
    <row r="32" spans="1:18" x14ac:dyDescent="0.3">
      <c r="A32" s="4"/>
      <c r="B32" s="5"/>
      <c r="C32" s="5"/>
      <c r="D32" s="5"/>
      <c r="E32" s="6"/>
      <c r="F32" s="7"/>
      <c r="G32" s="8"/>
      <c r="H32" s="7"/>
      <c r="I32" s="7"/>
      <c r="J32" s="6"/>
      <c r="K32" s="9" t="str">
        <f t="shared" si="0"/>
        <v/>
      </c>
      <c r="L32" s="9" t="str">
        <f t="shared" si="1"/>
        <v/>
      </c>
      <c r="M32" s="10" t="str">
        <f t="shared" si="2"/>
        <v/>
      </c>
      <c r="N32" s="8"/>
      <c r="O32" s="11" t="str">
        <f t="shared" si="3"/>
        <v/>
      </c>
      <c r="P32" s="12" t="str">
        <f>IF($C32="","",IFERROR(ROUND(MIN(25,($N32/Instellingen!$B$3)*25)+MIN(25,($I32/Instellingen!$B$4)*25)+MIN(25,($J32/Instellingen!$B$5)*25)+MIN(25,(IF($M32="",0,$M32)/Instellingen!$B$6)*25),0),""))</f>
        <v/>
      </c>
      <c r="Q32" s="13" t="str">
        <f>IF($P32="","",IF($P32&gt;=Instellingen!$B$7,"Sterke niche",IF($P32&gt;=Instellingen!$B$8,"Belofte - opvolgen",IF($P32&gt;=Instellingen!$B$9,"Zwak - twijfel","Vermijden"))))</f>
        <v/>
      </c>
      <c r="R32" s="5"/>
    </row>
    <row r="33" spans="1:18" x14ac:dyDescent="0.3">
      <c r="A33" s="14"/>
      <c r="B33" s="15"/>
      <c r="C33" s="15"/>
      <c r="D33" s="15"/>
      <c r="E33" s="16"/>
      <c r="F33" s="17"/>
      <c r="G33" s="18"/>
      <c r="H33" s="17"/>
      <c r="I33" s="17"/>
      <c r="J33" s="16"/>
      <c r="K33" s="19" t="str">
        <f t="shared" si="0"/>
        <v/>
      </c>
      <c r="L33" s="19" t="str">
        <f t="shared" si="1"/>
        <v/>
      </c>
      <c r="M33" s="20" t="str">
        <f t="shared" si="2"/>
        <v/>
      </c>
      <c r="N33" s="18"/>
      <c r="O33" s="21" t="str">
        <f t="shared" si="3"/>
        <v/>
      </c>
      <c r="P33" s="22" t="str">
        <f>IF($C33="","",IFERROR(ROUND(MIN(25,($N33/Instellingen!$B$3)*25)+MIN(25,($I33/Instellingen!$B$4)*25)+MIN(25,($J33/Instellingen!$B$5)*25)+MIN(25,(IF($M33="",0,$M33)/Instellingen!$B$6)*25),0),""))</f>
        <v/>
      </c>
      <c r="Q33" s="23" t="str">
        <f>IF($P33="","",IF($P33&gt;=Instellingen!$B$7,"Sterke niche",IF($P33&gt;=Instellingen!$B$8,"Belofte - opvolgen",IF($P33&gt;=Instellingen!$B$9,"Zwak - twijfel","Vermijden"))))</f>
        <v/>
      </c>
      <c r="R33" s="15"/>
    </row>
    <row r="34" spans="1:18" x14ac:dyDescent="0.3">
      <c r="A34" s="4"/>
      <c r="B34" s="5"/>
      <c r="C34" s="5"/>
      <c r="D34" s="5"/>
      <c r="E34" s="6"/>
      <c r="F34" s="7"/>
      <c r="G34" s="8"/>
      <c r="H34" s="7"/>
      <c r="I34" s="7"/>
      <c r="J34" s="6"/>
      <c r="K34" s="9" t="str">
        <f t="shared" ref="K34:K65" si="4">IF(OR($J34="",$J34=0),"",$I34/$J34)</f>
        <v/>
      </c>
      <c r="L34" s="9" t="str">
        <f t="shared" ref="L34:L65" si="5">IF(OR($E34="",$E34=0),"",$H34/$E34)</f>
        <v/>
      </c>
      <c r="M34" s="10" t="str">
        <f t="shared" ref="M34:M65" si="6">IF(OR($L34="",$L34=0),"",($I34/30)/$L34)</f>
        <v/>
      </c>
      <c r="N34" s="8"/>
      <c r="O34" s="11" t="str">
        <f t="shared" ref="O34:O65" si="7">IF(OR($I34="",$N34=""),"",($I34/1000)*$N34)</f>
        <v/>
      </c>
      <c r="P34" s="12" t="str">
        <f>IF($C34="","",IFERROR(ROUND(MIN(25,($N34/Instellingen!$B$3)*25)+MIN(25,($I34/Instellingen!$B$4)*25)+MIN(25,($J34/Instellingen!$B$5)*25)+MIN(25,(IF($M34="",0,$M34)/Instellingen!$B$6)*25),0),""))</f>
        <v/>
      </c>
      <c r="Q34" s="13" t="str">
        <f>IF($P34="","",IF($P34&gt;=Instellingen!$B$7,"Sterke niche",IF($P34&gt;=Instellingen!$B$8,"Belofte - opvolgen",IF($P34&gt;=Instellingen!$B$9,"Zwak - twijfel","Vermijden"))))</f>
        <v/>
      </c>
      <c r="R34" s="5"/>
    </row>
    <row r="35" spans="1:18" x14ac:dyDescent="0.3">
      <c r="A35" s="14"/>
      <c r="B35" s="15"/>
      <c r="C35" s="15"/>
      <c r="D35" s="15"/>
      <c r="E35" s="16"/>
      <c r="F35" s="17"/>
      <c r="G35" s="18"/>
      <c r="H35" s="17"/>
      <c r="I35" s="17"/>
      <c r="J35" s="16"/>
      <c r="K35" s="19" t="str">
        <f t="shared" si="4"/>
        <v/>
      </c>
      <c r="L35" s="19" t="str">
        <f t="shared" si="5"/>
        <v/>
      </c>
      <c r="M35" s="20" t="str">
        <f t="shared" si="6"/>
        <v/>
      </c>
      <c r="N35" s="18"/>
      <c r="O35" s="21" t="str">
        <f t="shared" si="7"/>
        <v/>
      </c>
      <c r="P35" s="22" t="str">
        <f>IF($C35="","",IFERROR(ROUND(MIN(25,($N35/Instellingen!$B$3)*25)+MIN(25,($I35/Instellingen!$B$4)*25)+MIN(25,($J35/Instellingen!$B$5)*25)+MIN(25,(IF($M35="",0,$M35)/Instellingen!$B$6)*25),0),""))</f>
        <v/>
      </c>
      <c r="Q35" s="23" t="str">
        <f>IF($P35="","",IF($P35&gt;=Instellingen!$B$7,"Sterke niche",IF($P35&gt;=Instellingen!$B$8,"Belofte - opvolgen",IF($P35&gt;=Instellingen!$B$9,"Zwak - twijfel","Vermijden"))))</f>
        <v/>
      </c>
      <c r="R35" s="15"/>
    </row>
    <row r="36" spans="1:18" x14ac:dyDescent="0.3">
      <c r="A36" s="4"/>
      <c r="B36" s="5"/>
      <c r="C36" s="5"/>
      <c r="D36" s="5"/>
      <c r="E36" s="6"/>
      <c r="F36" s="7"/>
      <c r="G36" s="8"/>
      <c r="H36" s="7"/>
      <c r="I36" s="7"/>
      <c r="J36" s="6"/>
      <c r="K36" s="9" t="str">
        <f t="shared" si="4"/>
        <v/>
      </c>
      <c r="L36" s="9" t="str">
        <f t="shared" si="5"/>
        <v/>
      </c>
      <c r="M36" s="10" t="str">
        <f t="shared" si="6"/>
        <v/>
      </c>
      <c r="N36" s="8"/>
      <c r="O36" s="11" t="str">
        <f t="shared" si="7"/>
        <v/>
      </c>
      <c r="P36" s="12" t="str">
        <f>IF($C36="","",IFERROR(ROUND(MIN(25,($N36/Instellingen!$B$3)*25)+MIN(25,($I36/Instellingen!$B$4)*25)+MIN(25,($J36/Instellingen!$B$5)*25)+MIN(25,(IF($M36="",0,$M36)/Instellingen!$B$6)*25),0),""))</f>
        <v/>
      </c>
      <c r="Q36" s="13" t="str">
        <f>IF($P36="","",IF($P36&gt;=Instellingen!$B$7,"Sterke niche",IF($P36&gt;=Instellingen!$B$8,"Belofte - opvolgen",IF($P36&gt;=Instellingen!$B$9,"Zwak - twijfel","Vermijden"))))</f>
        <v/>
      </c>
      <c r="R36" s="5"/>
    </row>
    <row r="37" spans="1:18" x14ac:dyDescent="0.3">
      <c r="A37" s="14"/>
      <c r="B37" s="15"/>
      <c r="C37" s="15"/>
      <c r="D37" s="15"/>
      <c r="E37" s="16"/>
      <c r="F37" s="17"/>
      <c r="G37" s="18"/>
      <c r="H37" s="17"/>
      <c r="I37" s="17"/>
      <c r="J37" s="16"/>
      <c r="K37" s="19" t="str">
        <f t="shared" si="4"/>
        <v/>
      </c>
      <c r="L37" s="19" t="str">
        <f t="shared" si="5"/>
        <v/>
      </c>
      <c r="M37" s="20" t="str">
        <f t="shared" si="6"/>
        <v/>
      </c>
      <c r="N37" s="18"/>
      <c r="O37" s="21" t="str">
        <f t="shared" si="7"/>
        <v/>
      </c>
      <c r="P37" s="22" t="str">
        <f>IF($C37="","",IFERROR(ROUND(MIN(25,($N37/Instellingen!$B$3)*25)+MIN(25,($I37/Instellingen!$B$4)*25)+MIN(25,($J37/Instellingen!$B$5)*25)+MIN(25,(IF($M37="",0,$M37)/Instellingen!$B$6)*25),0),""))</f>
        <v/>
      </c>
      <c r="Q37" s="23" t="str">
        <f>IF($P37="","",IF($P37&gt;=Instellingen!$B$7,"Sterke niche",IF($P37&gt;=Instellingen!$B$8,"Belofte - opvolgen",IF($P37&gt;=Instellingen!$B$9,"Zwak - twijfel","Vermijden"))))</f>
        <v/>
      </c>
      <c r="R37" s="15"/>
    </row>
    <row r="38" spans="1:18" x14ac:dyDescent="0.3">
      <c r="A38" s="4"/>
      <c r="B38" s="5"/>
      <c r="C38" s="5"/>
      <c r="D38" s="5"/>
      <c r="E38" s="6"/>
      <c r="F38" s="7"/>
      <c r="G38" s="8"/>
      <c r="H38" s="7"/>
      <c r="I38" s="7"/>
      <c r="J38" s="6"/>
      <c r="K38" s="9" t="str">
        <f t="shared" si="4"/>
        <v/>
      </c>
      <c r="L38" s="9" t="str">
        <f t="shared" si="5"/>
        <v/>
      </c>
      <c r="M38" s="10" t="str">
        <f t="shared" si="6"/>
        <v/>
      </c>
      <c r="N38" s="8"/>
      <c r="O38" s="11" t="str">
        <f t="shared" si="7"/>
        <v/>
      </c>
      <c r="P38" s="12" t="str">
        <f>IF($C38="","",IFERROR(ROUND(MIN(25,($N38/Instellingen!$B$3)*25)+MIN(25,($I38/Instellingen!$B$4)*25)+MIN(25,($J38/Instellingen!$B$5)*25)+MIN(25,(IF($M38="",0,$M38)/Instellingen!$B$6)*25),0),""))</f>
        <v/>
      </c>
      <c r="Q38" s="13" t="str">
        <f>IF($P38="","",IF($P38&gt;=Instellingen!$B$7,"Sterke niche",IF($P38&gt;=Instellingen!$B$8,"Belofte - opvolgen",IF($P38&gt;=Instellingen!$B$9,"Zwak - twijfel","Vermijden"))))</f>
        <v/>
      </c>
      <c r="R38" s="5"/>
    </row>
    <row r="39" spans="1:18" x14ac:dyDescent="0.3">
      <c r="A39" s="14"/>
      <c r="B39" s="15"/>
      <c r="C39" s="15"/>
      <c r="D39" s="15"/>
      <c r="E39" s="16"/>
      <c r="F39" s="17"/>
      <c r="G39" s="18"/>
      <c r="H39" s="17"/>
      <c r="I39" s="17"/>
      <c r="J39" s="16"/>
      <c r="K39" s="19" t="str">
        <f t="shared" si="4"/>
        <v/>
      </c>
      <c r="L39" s="19" t="str">
        <f t="shared" si="5"/>
        <v/>
      </c>
      <c r="M39" s="20" t="str">
        <f t="shared" si="6"/>
        <v/>
      </c>
      <c r="N39" s="18"/>
      <c r="O39" s="21" t="str">
        <f t="shared" si="7"/>
        <v/>
      </c>
      <c r="P39" s="22" t="str">
        <f>IF($C39="","",IFERROR(ROUND(MIN(25,($N39/Instellingen!$B$3)*25)+MIN(25,($I39/Instellingen!$B$4)*25)+MIN(25,($J39/Instellingen!$B$5)*25)+MIN(25,(IF($M39="",0,$M39)/Instellingen!$B$6)*25),0),""))</f>
        <v/>
      </c>
      <c r="Q39" s="23" t="str">
        <f>IF($P39="","",IF($P39&gt;=Instellingen!$B$7,"Sterke niche",IF($P39&gt;=Instellingen!$B$8,"Belofte - opvolgen",IF($P39&gt;=Instellingen!$B$9,"Zwak - twijfel","Vermijden"))))</f>
        <v/>
      </c>
      <c r="R39" s="15"/>
    </row>
    <row r="40" spans="1:18" x14ac:dyDescent="0.3">
      <c r="A40" s="4"/>
      <c r="B40" s="5"/>
      <c r="C40" s="5"/>
      <c r="D40" s="5"/>
      <c r="E40" s="6"/>
      <c r="F40" s="7"/>
      <c r="G40" s="8"/>
      <c r="H40" s="7"/>
      <c r="I40" s="7"/>
      <c r="J40" s="6"/>
      <c r="K40" s="9" t="str">
        <f t="shared" si="4"/>
        <v/>
      </c>
      <c r="L40" s="9" t="str">
        <f t="shared" si="5"/>
        <v/>
      </c>
      <c r="M40" s="10" t="str">
        <f t="shared" si="6"/>
        <v/>
      </c>
      <c r="N40" s="8"/>
      <c r="O40" s="11" t="str">
        <f t="shared" si="7"/>
        <v/>
      </c>
      <c r="P40" s="12" t="str">
        <f>IF($C40="","",IFERROR(ROUND(MIN(25,($N40/Instellingen!$B$3)*25)+MIN(25,($I40/Instellingen!$B$4)*25)+MIN(25,($J40/Instellingen!$B$5)*25)+MIN(25,(IF($M40="",0,$M40)/Instellingen!$B$6)*25),0),""))</f>
        <v/>
      </c>
      <c r="Q40" s="13" t="str">
        <f>IF($P40="","",IF($P40&gt;=Instellingen!$B$7,"Sterke niche",IF($P40&gt;=Instellingen!$B$8,"Belofte - opvolgen",IF($P40&gt;=Instellingen!$B$9,"Zwak - twijfel","Vermijden"))))</f>
        <v/>
      </c>
      <c r="R40" s="5"/>
    </row>
    <row r="41" spans="1:18" x14ac:dyDescent="0.3">
      <c r="A41" s="14"/>
      <c r="B41" s="15"/>
      <c r="C41" s="15"/>
      <c r="D41" s="15"/>
      <c r="E41" s="16"/>
      <c r="F41" s="17"/>
      <c r="G41" s="18"/>
      <c r="H41" s="17"/>
      <c r="I41" s="17"/>
      <c r="J41" s="16"/>
      <c r="K41" s="19" t="str">
        <f t="shared" si="4"/>
        <v/>
      </c>
      <c r="L41" s="19" t="str">
        <f t="shared" si="5"/>
        <v/>
      </c>
      <c r="M41" s="20" t="str">
        <f t="shared" si="6"/>
        <v/>
      </c>
      <c r="N41" s="18"/>
      <c r="O41" s="21" t="str">
        <f t="shared" si="7"/>
        <v/>
      </c>
      <c r="P41" s="22" t="str">
        <f>IF($C41="","",IFERROR(ROUND(MIN(25,($N41/Instellingen!$B$3)*25)+MIN(25,($I41/Instellingen!$B$4)*25)+MIN(25,($J41/Instellingen!$B$5)*25)+MIN(25,(IF($M41="",0,$M41)/Instellingen!$B$6)*25),0),""))</f>
        <v/>
      </c>
      <c r="Q41" s="23" t="str">
        <f>IF($P41="","",IF($P41&gt;=Instellingen!$B$7,"Sterke niche",IF($P41&gt;=Instellingen!$B$8,"Belofte - opvolgen",IF($P41&gt;=Instellingen!$B$9,"Zwak - twijfel","Vermijden"))))</f>
        <v/>
      </c>
      <c r="R41" s="15"/>
    </row>
    <row r="42" spans="1:18" x14ac:dyDescent="0.3">
      <c r="A42" s="4"/>
      <c r="B42" s="5"/>
      <c r="C42" s="5"/>
      <c r="D42" s="5"/>
      <c r="E42" s="6"/>
      <c r="F42" s="7"/>
      <c r="G42" s="8"/>
      <c r="H42" s="7"/>
      <c r="I42" s="7"/>
      <c r="J42" s="6"/>
      <c r="K42" s="9" t="str">
        <f t="shared" si="4"/>
        <v/>
      </c>
      <c r="L42" s="9" t="str">
        <f t="shared" si="5"/>
        <v/>
      </c>
      <c r="M42" s="10" t="str">
        <f t="shared" si="6"/>
        <v/>
      </c>
      <c r="N42" s="8"/>
      <c r="O42" s="11" t="str">
        <f t="shared" si="7"/>
        <v/>
      </c>
      <c r="P42" s="12" t="str">
        <f>IF($C42="","",IFERROR(ROUND(MIN(25,($N42/Instellingen!$B$3)*25)+MIN(25,($I42/Instellingen!$B$4)*25)+MIN(25,($J42/Instellingen!$B$5)*25)+MIN(25,(IF($M42="",0,$M42)/Instellingen!$B$6)*25),0),""))</f>
        <v/>
      </c>
      <c r="Q42" s="13" t="str">
        <f>IF($P42="","",IF($P42&gt;=Instellingen!$B$7,"Sterke niche",IF($P42&gt;=Instellingen!$B$8,"Belofte - opvolgen",IF($P42&gt;=Instellingen!$B$9,"Zwak - twijfel","Vermijden"))))</f>
        <v/>
      </c>
      <c r="R42" s="5"/>
    </row>
    <row r="43" spans="1:18" x14ac:dyDescent="0.3">
      <c r="A43" s="14"/>
      <c r="B43" s="15"/>
      <c r="C43" s="15"/>
      <c r="D43" s="15"/>
      <c r="E43" s="16"/>
      <c r="F43" s="17"/>
      <c r="G43" s="18"/>
      <c r="H43" s="17"/>
      <c r="I43" s="17"/>
      <c r="J43" s="16"/>
      <c r="K43" s="19" t="str">
        <f t="shared" si="4"/>
        <v/>
      </c>
      <c r="L43" s="19" t="str">
        <f t="shared" si="5"/>
        <v/>
      </c>
      <c r="M43" s="20" t="str">
        <f t="shared" si="6"/>
        <v/>
      </c>
      <c r="N43" s="18"/>
      <c r="O43" s="21" t="str">
        <f t="shared" si="7"/>
        <v/>
      </c>
      <c r="P43" s="22" t="str">
        <f>IF($C43="","",IFERROR(ROUND(MIN(25,($N43/Instellingen!$B$3)*25)+MIN(25,($I43/Instellingen!$B$4)*25)+MIN(25,($J43/Instellingen!$B$5)*25)+MIN(25,(IF($M43="",0,$M43)/Instellingen!$B$6)*25),0),""))</f>
        <v/>
      </c>
      <c r="Q43" s="23" t="str">
        <f>IF($P43="","",IF($P43&gt;=Instellingen!$B$7,"Sterke niche",IF($P43&gt;=Instellingen!$B$8,"Belofte - opvolgen",IF($P43&gt;=Instellingen!$B$9,"Zwak - twijfel","Vermijden"))))</f>
        <v/>
      </c>
      <c r="R43" s="15"/>
    </row>
    <row r="44" spans="1:18" x14ac:dyDescent="0.3">
      <c r="A44" s="4"/>
      <c r="B44" s="5"/>
      <c r="C44" s="5"/>
      <c r="D44" s="5"/>
      <c r="E44" s="6"/>
      <c r="F44" s="7"/>
      <c r="G44" s="8"/>
      <c r="H44" s="7"/>
      <c r="I44" s="7"/>
      <c r="J44" s="6"/>
      <c r="K44" s="9" t="str">
        <f t="shared" si="4"/>
        <v/>
      </c>
      <c r="L44" s="9" t="str">
        <f t="shared" si="5"/>
        <v/>
      </c>
      <c r="M44" s="10" t="str">
        <f t="shared" si="6"/>
        <v/>
      </c>
      <c r="N44" s="8"/>
      <c r="O44" s="11" t="str">
        <f t="shared" si="7"/>
        <v/>
      </c>
      <c r="P44" s="12" t="str">
        <f>IF($C44="","",IFERROR(ROUND(MIN(25,($N44/Instellingen!$B$3)*25)+MIN(25,($I44/Instellingen!$B$4)*25)+MIN(25,($J44/Instellingen!$B$5)*25)+MIN(25,(IF($M44="",0,$M44)/Instellingen!$B$6)*25),0),""))</f>
        <v/>
      </c>
      <c r="Q44" s="13" t="str">
        <f>IF($P44="","",IF($P44&gt;=Instellingen!$B$7,"Sterke niche",IF($P44&gt;=Instellingen!$B$8,"Belofte - opvolgen",IF($P44&gt;=Instellingen!$B$9,"Zwak - twijfel","Vermijden"))))</f>
        <v/>
      </c>
      <c r="R44" s="5"/>
    </row>
    <row r="45" spans="1:18" x14ac:dyDescent="0.3">
      <c r="A45" s="14"/>
      <c r="B45" s="15"/>
      <c r="C45" s="15"/>
      <c r="D45" s="15"/>
      <c r="E45" s="16"/>
      <c r="F45" s="17"/>
      <c r="G45" s="18"/>
      <c r="H45" s="17"/>
      <c r="I45" s="17"/>
      <c r="J45" s="16"/>
      <c r="K45" s="19" t="str">
        <f t="shared" si="4"/>
        <v/>
      </c>
      <c r="L45" s="19" t="str">
        <f t="shared" si="5"/>
        <v/>
      </c>
      <c r="M45" s="20" t="str">
        <f t="shared" si="6"/>
        <v/>
      </c>
      <c r="N45" s="18"/>
      <c r="O45" s="21" t="str">
        <f t="shared" si="7"/>
        <v/>
      </c>
      <c r="P45" s="22" t="str">
        <f>IF($C45="","",IFERROR(ROUND(MIN(25,($N45/Instellingen!$B$3)*25)+MIN(25,($I45/Instellingen!$B$4)*25)+MIN(25,($J45/Instellingen!$B$5)*25)+MIN(25,(IF($M45="",0,$M45)/Instellingen!$B$6)*25),0),""))</f>
        <v/>
      </c>
      <c r="Q45" s="23" t="str">
        <f>IF($P45="","",IF($P45&gt;=Instellingen!$B$7,"Sterke niche",IF($P45&gt;=Instellingen!$B$8,"Belofte - opvolgen",IF($P45&gt;=Instellingen!$B$9,"Zwak - twijfel","Vermijden"))))</f>
        <v/>
      </c>
      <c r="R45" s="15"/>
    </row>
    <row r="46" spans="1:18" x14ac:dyDescent="0.3">
      <c r="A46" s="4"/>
      <c r="B46" s="5"/>
      <c r="C46" s="5"/>
      <c r="D46" s="5"/>
      <c r="E46" s="6"/>
      <c r="F46" s="7"/>
      <c r="G46" s="8"/>
      <c r="H46" s="7"/>
      <c r="I46" s="7"/>
      <c r="J46" s="6"/>
      <c r="K46" s="9" t="str">
        <f t="shared" si="4"/>
        <v/>
      </c>
      <c r="L46" s="9" t="str">
        <f t="shared" si="5"/>
        <v/>
      </c>
      <c r="M46" s="10" t="str">
        <f t="shared" si="6"/>
        <v/>
      </c>
      <c r="N46" s="8"/>
      <c r="O46" s="11" t="str">
        <f t="shared" si="7"/>
        <v/>
      </c>
      <c r="P46" s="12" t="str">
        <f>IF($C46="","",IFERROR(ROUND(MIN(25,($N46/Instellingen!$B$3)*25)+MIN(25,($I46/Instellingen!$B$4)*25)+MIN(25,($J46/Instellingen!$B$5)*25)+MIN(25,(IF($M46="",0,$M46)/Instellingen!$B$6)*25),0),""))</f>
        <v/>
      </c>
      <c r="Q46" s="13" t="str">
        <f>IF($P46="","",IF($P46&gt;=Instellingen!$B$7,"Sterke niche",IF($P46&gt;=Instellingen!$B$8,"Belofte - opvolgen",IF($P46&gt;=Instellingen!$B$9,"Zwak - twijfel","Vermijden"))))</f>
        <v/>
      </c>
      <c r="R46" s="5"/>
    </row>
    <row r="47" spans="1:18" x14ac:dyDescent="0.3">
      <c r="A47" s="14"/>
      <c r="B47" s="15"/>
      <c r="C47" s="15"/>
      <c r="D47" s="15"/>
      <c r="E47" s="16"/>
      <c r="F47" s="17"/>
      <c r="G47" s="18"/>
      <c r="H47" s="17"/>
      <c r="I47" s="17"/>
      <c r="J47" s="16"/>
      <c r="K47" s="19" t="str">
        <f t="shared" si="4"/>
        <v/>
      </c>
      <c r="L47" s="19" t="str">
        <f t="shared" si="5"/>
        <v/>
      </c>
      <c r="M47" s="20" t="str">
        <f t="shared" si="6"/>
        <v/>
      </c>
      <c r="N47" s="18"/>
      <c r="O47" s="21" t="str">
        <f t="shared" si="7"/>
        <v/>
      </c>
      <c r="P47" s="22" t="str">
        <f>IF($C47="","",IFERROR(ROUND(MIN(25,($N47/Instellingen!$B$3)*25)+MIN(25,($I47/Instellingen!$B$4)*25)+MIN(25,($J47/Instellingen!$B$5)*25)+MIN(25,(IF($M47="",0,$M47)/Instellingen!$B$6)*25),0),""))</f>
        <v/>
      </c>
      <c r="Q47" s="23" t="str">
        <f>IF($P47="","",IF($P47&gt;=Instellingen!$B$7,"Sterke niche",IF($P47&gt;=Instellingen!$B$8,"Belofte - opvolgen",IF($P47&gt;=Instellingen!$B$9,"Zwak - twijfel","Vermijden"))))</f>
        <v/>
      </c>
      <c r="R47" s="15"/>
    </row>
    <row r="48" spans="1:18" x14ac:dyDescent="0.3">
      <c r="A48" s="4"/>
      <c r="B48" s="5"/>
      <c r="C48" s="5"/>
      <c r="D48" s="5"/>
      <c r="E48" s="6"/>
      <c r="F48" s="7"/>
      <c r="G48" s="8"/>
      <c r="H48" s="7"/>
      <c r="I48" s="7"/>
      <c r="J48" s="6"/>
      <c r="K48" s="9" t="str">
        <f t="shared" si="4"/>
        <v/>
      </c>
      <c r="L48" s="9" t="str">
        <f t="shared" si="5"/>
        <v/>
      </c>
      <c r="M48" s="10" t="str">
        <f t="shared" si="6"/>
        <v/>
      </c>
      <c r="N48" s="8"/>
      <c r="O48" s="11" t="str">
        <f t="shared" si="7"/>
        <v/>
      </c>
      <c r="P48" s="12" t="str">
        <f>IF($C48="","",IFERROR(ROUND(MIN(25,($N48/Instellingen!$B$3)*25)+MIN(25,($I48/Instellingen!$B$4)*25)+MIN(25,($J48/Instellingen!$B$5)*25)+MIN(25,(IF($M48="",0,$M48)/Instellingen!$B$6)*25),0),""))</f>
        <v/>
      </c>
      <c r="Q48" s="13" t="str">
        <f>IF($P48="","",IF($P48&gt;=Instellingen!$B$7,"Sterke niche",IF($P48&gt;=Instellingen!$B$8,"Belofte - opvolgen",IF($P48&gt;=Instellingen!$B$9,"Zwak - twijfel","Vermijden"))))</f>
        <v/>
      </c>
      <c r="R48" s="5"/>
    </row>
    <row r="49" spans="1:18" x14ac:dyDescent="0.3">
      <c r="A49" s="14"/>
      <c r="B49" s="15"/>
      <c r="C49" s="15"/>
      <c r="D49" s="15"/>
      <c r="E49" s="16"/>
      <c r="F49" s="17"/>
      <c r="G49" s="18"/>
      <c r="H49" s="17"/>
      <c r="I49" s="17"/>
      <c r="J49" s="16"/>
      <c r="K49" s="19" t="str">
        <f t="shared" si="4"/>
        <v/>
      </c>
      <c r="L49" s="19" t="str">
        <f t="shared" si="5"/>
        <v/>
      </c>
      <c r="M49" s="20" t="str">
        <f t="shared" si="6"/>
        <v/>
      </c>
      <c r="N49" s="18"/>
      <c r="O49" s="21" t="str">
        <f t="shared" si="7"/>
        <v/>
      </c>
      <c r="P49" s="22" t="str">
        <f>IF($C49="","",IFERROR(ROUND(MIN(25,($N49/Instellingen!$B$3)*25)+MIN(25,($I49/Instellingen!$B$4)*25)+MIN(25,($J49/Instellingen!$B$5)*25)+MIN(25,(IF($M49="",0,$M49)/Instellingen!$B$6)*25),0),""))</f>
        <v/>
      </c>
      <c r="Q49" s="23" t="str">
        <f>IF($P49="","",IF($P49&gt;=Instellingen!$B$7,"Sterke niche",IF($P49&gt;=Instellingen!$B$8,"Belofte - opvolgen",IF($P49&gt;=Instellingen!$B$9,"Zwak - twijfel","Vermijden"))))</f>
        <v/>
      </c>
      <c r="R49" s="15"/>
    </row>
    <row r="50" spans="1:18" x14ac:dyDescent="0.3">
      <c r="A50" s="4"/>
      <c r="B50" s="5"/>
      <c r="C50" s="5"/>
      <c r="D50" s="5"/>
      <c r="E50" s="6"/>
      <c r="F50" s="7"/>
      <c r="G50" s="8"/>
      <c r="H50" s="7"/>
      <c r="I50" s="7"/>
      <c r="J50" s="6"/>
      <c r="K50" s="9" t="str">
        <f t="shared" si="4"/>
        <v/>
      </c>
      <c r="L50" s="9" t="str">
        <f t="shared" si="5"/>
        <v/>
      </c>
      <c r="M50" s="10" t="str">
        <f t="shared" si="6"/>
        <v/>
      </c>
      <c r="N50" s="8"/>
      <c r="O50" s="11" t="str">
        <f t="shared" si="7"/>
        <v/>
      </c>
      <c r="P50" s="12" t="str">
        <f>IF($C50="","",IFERROR(ROUND(MIN(25,($N50/Instellingen!$B$3)*25)+MIN(25,($I50/Instellingen!$B$4)*25)+MIN(25,($J50/Instellingen!$B$5)*25)+MIN(25,(IF($M50="",0,$M50)/Instellingen!$B$6)*25),0),""))</f>
        <v/>
      </c>
      <c r="Q50" s="13" t="str">
        <f>IF($P50="","",IF($P50&gt;=Instellingen!$B$7,"Sterke niche",IF($P50&gt;=Instellingen!$B$8,"Belofte - opvolgen",IF($P50&gt;=Instellingen!$B$9,"Zwak - twijfel","Vermijden"))))</f>
        <v/>
      </c>
      <c r="R50" s="5"/>
    </row>
    <row r="51" spans="1:18" x14ac:dyDescent="0.3">
      <c r="A51" s="14"/>
      <c r="B51" s="15"/>
      <c r="C51" s="15"/>
      <c r="D51" s="15"/>
      <c r="E51" s="16"/>
      <c r="F51" s="17"/>
      <c r="G51" s="18"/>
      <c r="H51" s="17"/>
      <c r="I51" s="17"/>
      <c r="J51" s="16"/>
      <c r="K51" s="19" t="str">
        <f t="shared" si="4"/>
        <v/>
      </c>
      <c r="L51" s="19" t="str">
        <f t="shared" si="5"/>
        <v/>
      </c>
      <c r="M51" s="20" t="str">
        <f t="shared" si="6"/>
        <v/>
      </c>
      <c r="N51" s="18"/>
      <c r="O51" s="21" t="str">
        <f t="shared" si="7"/>
        <v/>
      </c>
      <c r="P51" s="22" t="str">
        <f>IF($C51="","",IFERROR(ROUND(MIN(25,($N51/Instellingen!$B$3)*25)+MIN(25,($I51/Instellingen!$B$4)*25)+MIN(25,($J51/Instellingen!$B$5)*25)+MIN(25,(IF($M51="",0,$M51)/Instellingen!$B$6)*25),0),""))</f>
        <v/>
      </c>
      <c r="Q51" s="23" t="str">
        <f>IF($P51="","",IF($P51&gt;=Instellingen!$B$7,"Sterke niche",IF($P51&gt;=Instellingen!$B$8,"Belofte - opvolgen",IF($P51&gt;=Instellingen!$B$9,"Zwak - twijfel","Vermijden"))))</f>
        <v/>
      </c>
      <c r="R51" s="15"/>
    </row>
    <row r="52" spans="1:18" x14ac:dyDescent="0.3">
      <c r="A52" s="4"/>
      <c r="B52" s="5"/>
      <c r="C52" s="5"/>
      <c r="D52" s="5"/>
      <c r="E52" s="6"/>
      <c r="F52" s="7"/>
      <c r="G52" s="8"/>
      <c r="H52" s="7"/>
      <c r="I52" s="7"/>
      <c r="J52" s="6"/>
      <c r="K52" s="9" t="str">
        <f t="shared" si="4"/>
        <v/>
      </c>
      <c r="L52" s="9" t="str">
        <f t="shared" si="5"/>
        <v/>
      </c>
      <c r="M52" s="10" t="str">
        <f t="shared" si="6"/>
        <v/>
      </c>
      <c r="N52" s="8"/>
      <c r="O52" s="11" t="str">
        <f t="shared" si="7"/>
        <v/>
      </c>
      <c r="P52" s="12" t="str">
        <f>IF($C52="","",IFERROR(ROUND(MIN(25,($N52/Instellingen!$B$3)*25)+MIN(25,($I52/Instellingen!$B$4)*25)+MIN(25,($J52/Instellingen!$B$5)*25)+MIN(25,(IF($M52="",0,$M52)/Instellingen!$B$6)*25),0),""))</f>
        <v/>
      </c>
      <c r="Q52" s="13" t="str">
        <f>IF($P52="","",IF($P52&gt;=Instellingen!$B$7,"Sterke niche",IF($P52&gt;=Instellingen!$B$8,"Belofte - opvolgen",IF($P52&gt;=Instellingen!$B$9,"Zwak - twijfel","Vermijden"))))</f>
        <v/>
      </c>
      <c r="R52" s="5"/>
    </row>
    <row r="53" spans="1:18" x14ac:dyDescent="0.3">
      <c r="A53" s="14"/>
      <c r="B53" s="15"/>
      <c r="C53" s="15"/>
      <c r="D53" s="15"/>
      <c r="E53" s="16"/>
      <c r="F53" s="17"/>
      <c r="G53" s="18"/>
      <c r="H53" s="17"/>
      <c r="I53" s="17"/>
      <c r="J53" s="16"/>
      <c r="K53" s="19" t="str">
        <f t="shared" si="4"/>
        <v/>
      </c>
      <c r="L53" s="19" t="str">
        <f t="shared" si="5"/>
        <v/>
      </c>
      <c r="M53" s="20" t="str">
        <f t="shared" si="6"/>
        <v/>
      </c>
      <c r="N53" s="18"/>
      <c r="O53" s="21" t="str">
        <f t="shared" si="7"/>
        <v/>
      </c>
      <c r="P53" s="22" t="str">
        <f>IF($C53="","",IFERROR(ROUND(MIN(25,($N53/Instellingen!$B$3)*25)+MIN(25,($I53/Instellingen!$B$4)*25)+MIN(25,($J53/Instellingen!$B$5)*25)+MIN(25,(IF($M53="",0,$M53)/Instellingen!$B$6)*25),0),""))</f>
        <v/>
      </c>
      <c r="Q53" s="23" t="str">
        <f>IF($P53="","",IF($P53&gt;=Instellingen!$B$7,"Sterke niche",IF($P53&gt;=Instellingen!$B$8,"Belofte - opvolgen",IF($P53&gt;=Instellingen!$B$9,"Zwak - twijfel","Vermijden"))))</f>
        <v/>
      </c>
      <c r="R53" s="15"/>
    </row>
    <row r="54" spans="1:18" x14ac:dyDescent="0.3">
      <c r="A54" s="4"/>
      <c r="B54" s="5"/>
      <c r="C54" s="5"/>
      <c r="D54" s="5"/>
      <c r="E54" s="6"/>
      <c r="F54" s="7"/>
      <c r="G54" s="8"/>
      <c r="H54" s="7"/>
      <c r="I54" s="7"/>
      <c r="J54" s="6"/>
      <c r="K54" s="9" t="str">
        <f t="shared" si="4"/>
        <v/>
      </c>
      <c r="L54" s="9" t="str">
        <f t="shared" si="5"/>
        <v/>
      </c>
      <c r="M54" s="10" t="str">
        <f t="shared" si="6"/>
        <v/>
      </c>
      <c r="N54" s="8"/>
      <c r="O54" s="11" t="str">
        <f t="shared" si="7"/>
        <v/>
      </c>
      <c r="P54" s="12" t="str">
        <f>IF($C54="","",IFERROR(ROUND(MIN(25,($N54/Instellingen!$B$3)*25)+MIN(25,($I54/Instellingen!$B$4)*25)+MIN(25,($J54/Instellingen!$B$5)*25)+MIN(25,(IF($M54="",0,$M54)/Instellingen!$B$6)*25),0),""))</f>
        <v/>
      </c>
      <c r="Q54" s="13" t="str">
        <f>IF($P54="","",IF($P54&gt;=Instellingen!$B$7,"Sterke niche",IF($P54&gt;=Instellingen!$B$8,"Belofte - opvolgen",IF($P54&gt;=Instellingen!$B$9,"Zwak - twijfel","Vermijden"))))</f>
        <v/>
      </c>
      <c r="R54" s="5"/>
    </row>
    <row r="55" spans="1:18" x14ac:dyDescent="0.3">
      <c r="A55" s="14"/>
      <c r="B55" s="15"/>
      <c r="C55" s="15"/>
      <c r="D55" s="15"/>
      <c r="E55" s="16"/>
      <c r="F55" s="17"/>
      <c r="G55" s="18"/>
      <c r="H55" s="17"/>
      <c r="I55" s="17"/>
      <c r="J55" s="16"/>
      <c r="K55" s="19" t="str">
        <f t="shared" si="4"/>
        <v/>
      </c>
      <c r="L55" s="19" t="str">
        <f t="shared" si="5"/>
        <v/>
      </c>
      <c r="M55" s="20" t="str">
        <f t="shared" si="6"/>
        <v/>
      </c>
      <c r="N55" s="18"/>
      <c r="O55" s="21" t="str">
        <f t="shared" si="7"/>
        <v/>
      </c>
      <c r="P55" s="22" t="str">
        <f>IF($C55="","",IFERROR(ROUND(MIN(25,($N55/Instellingen!$B$3)*25)+MIN(25,($I55/Instellingen!$B$4)*25)+MIN(25,($J55/Instellingen!$B$5)*25)+MIN(25,(IF($M55="",0,$M55)/Instellingen!$B$6)*25),0),""))</f>
        <v/>
      </c>
      <c r="Q55" s="23" t="str">
        <f>IF($P55="","",IF($P55&gt;=Instellingen!$B$7,"Sterke niche",IF($P55&gt;=Instellingen!$B$8,"Belofte - opvolgen",IF($P55&gt;=Instellingen!$B$9,"Zwak - twijfel","Vermijden"))))</f>
        <v/>
      </c>
      <c r="R55" s="15"/>
    </row>
    <row r="56" spans="1:18" x14ac:dyDescent="0.3">
      <c r="A56" s="4"/>
      <c r="B56" s="5"/>
      <c r="C56" s="5"/>
      <c r="D56" s="5"/>
      <c r="E56" s="6"/>
      <c r="F56" s="7"/>
      <c r="G56" s="8"/>
      <c r="H56" s="7"/>
      <c r="I56" s="7"/>
      <c r="J56" s="6"/>
      <c r="K56" s="9" t="str">
        <f t="shared" si="4"/>
        <v/>
      </c>
      <c r="L56" s="9" t="str">
        <f t="shared" si="5"/>
        <v/>
      </c>
      <c r="M56" s="10" t="str">
        <f t="shared" si="6"/>
        <v/>
      </c>
      <c r="N56" s="8"/>
      <c r="O56" s="11" t="str">
        <f t="shared" si="7"/>
        <v/>
      </c>
      <c r="P56" s="12" t="str">
        <f>IF($C56="","",IFERROR(ROUND(MIN(25,($N56/Instellingen!$B$3)*25)+MIN(25,($I56/Instellingen!$B$4)*25)+MIN(25,($J56/Instellingen!$B$5)*25)+MIN(25,(IF($M56="",0,$M56)/Instellingen!$B$6)*25),0),""))</f>
        <v/>
      </c>
      <c r="Q56" s="13" t="str">
        <f>IF($P56="","",IF($P56&gt;=Instellingen!$B$7,"Sterke niche",IF($P56&gt;=Instellingen!$B$8,"Belofte - opvolgen",IF($P56&gt;=Instellingen!$B$9,"Zwak - twijfel","Vermijden"))))</f>
        <v/>
      </c>
      <c r="R56" s="5"/>
    </row>
    <row r="57" spans="1:18" x14ac:dyDescent="0.3">
      <c r="A57" s="14"/>
      <c r="B57" s="15"/>
      <c r="C57" s="15"/>
      <c r="D57" s="15"/>
      <c r="E57" s="16"/>
      <c r="F57" s="17"/>
      <c r="G57" s="18"/>
      <c r="H57" s="17"/>
      <c r="I57" s="17"/>
      <c r="J57" s="16"/>
      <c r="K57" s="19" t="str">
        <f t="shared" si="4"/>
        <v/>
      </c>
      <c r="L57" s="19" t="str">
        <f t="shared" si="5"/>
        <v/>
      </c>
      <c r="M57" s="20" t="str">
        <f t="shared" si="6"/>
        <v/>
      </c>
      <c r="N57" s="18"/>
      <c r="O57" s="21" t="str">
        <f t="shared" si="7"/>
        <v/>
      </c>
      <c r="P57" s="22" t="str">
        <f>IF($C57="","",IFERROR(ROUND(MIN(25,($N57/Instellingen!$B$3)*25)+MIN(25,($I57/Instellingen!$B$4)*25)+MIN(25,($J57/Instellingen!$B$5)*25)+MIN(25,(IF($M57="",0,$M57)/Instellingen!$B$6)*25),0),""))</f>
        <v/>
      </c>
      <c r="Q57" s="23" t="str">
        <f>IF($P57="","",IF($P57&gt;=Instellingen!$B$7,"Sterke niche",IF($P57&gt;=Instellingen!$B$8,"Belofte - opvolgen",IF($P57&gt;=Instellingen!$B$9,"Zwak - twijfel","Vermijden"))))</f>
        <v/>
      </c>
      <c r="R57" s="15"/>
    </row>
    <row r="58" spans="1:18" x14ac:dyDescent="0.3">
      <c r="A58" s="4"/>
      <c r="B58" s="5"/>
      <c r="C58" s="5"/>
      <c r="D58" s="5"/>
      <c r="E58" s="6"/>
      <c r="F58" s="7"/>
      <c r="G58" s="8"/>
      <c r="H58" s="7"/>
      <c r="I58" s="7"/>
      <c r="J58" s="6"/>
      <c r="K58" s="9" t="str">
        <f t="shared" si="4"/>
        <v/>
      </c>
      <c r="L58" s="9" t="str">
        <f t="shared" si="5"/>
        <v/>
      </c>
      <c r="M58" s="10" t="str">
        <f t="shared" si="6"/>
        <v/>
      </c>
      <c r="N58" s="8"/>
      <c r="O58" s="11" t="str">
        <f t="shared" si="7"/>
        <v/>
      </c>
      <c r="P58" s="12" t="str">
        <f>IF($C58="","",IFERROR(ROUND(MIN(25,($N58/Instellingen!$B$3)*25)+MIN(25,($I58/Instellingen!$B$4)*25)+MIN(25,($J58/Instellingen!$B$5)*25)+MIN(25,(IF($M58="",0,$M58)/Instellingen!$B$6)*25),0),""))</f>
        <v/>
      </c>
      <c r="Q58" s="13" t="str">
        <f>IF($P58="","",IF($P58&gt;=Instellingen!$B$7,"Sterke niche",IF($P58&gt;=Instellingen!$B$8,"Belofte - opvolgen",IF($P58&gt;=Instellingen!$B$9,"Zwak - twijfel","Vermijden"))))</f>
        <v/>
      </c>
      <c r="R58" s="5"/>
    </row>
    <row r="59" spans="1:18" x14ac:dyDescent="0.3">
      <c r="A59" s="14"/>
      <c r="B59" s="15"/>
      <c r="C59" s="15"/>
      <c r="D59" s="15"/>
      <c r="E59" s="16"/>
      <c r="F59" s="17"/>
      <c r="G59" s="18"/>
      <c r="H59" s="17"/>
      <c r="I59" s="17"/>
      <c r="J59" s="16"/>
      <c r="K59" s="19" t="str">
        <f t="shared" si="4"/>
        <v/>
      </c>
      <c r="L59" s="19" t="str">
        <f t="shared" si="5"/>
        <v/>
      </c>
      <c r="M59" s="20" t="str">
        <f t="shared" si="6"/>
        <v/>
      </c>
      <c r="N59" s="18"/>
      <c r="O59" s="21" t="str">
        <f t="shared" si="7"/>
        <v/>
      </c>
      <c r="P59" s="22" t="str">
        <f>IF($C59="","",IFERROR(ROUND(MIN(25,($N59/Instellingen!$B$3)*25)+MIN(25,($I59/Instellingen!$B$4)*25)+MIN(25,($J59/Instellingen!$B$5)*25)+MIN(25,(IF($M59="",0,$M59)/Instellingen!$B$6)*25),0),""))</f>
        <v/>
      </c>
      <c r="Q59" s="23" t="str">
        <f>IF($P59="","",IF($P59&gt;=Instellingen!$B$7,"Sterke niche",IF($P59&gt;=Instellingen!$B$8,"Belofte - opvolgen",IF($P59&gt;=Instellingen!$B$9,"Zwak - twijfel","Vermijden"))))</f>
        <v/>
      </c>
      <c r="R59" s="15"/>
    </row>
    <row r="60" spans="1:18" x14ac:dyDescent="0.3">
      <c r="A60" s="4"/>
      <c r="B60" s="5"/>
      <c r="C60" s="5"/>
      <c r="D60" s="5"/>
      <c r="E60" s="6"/>
      <c r="F60" s="7"/>
      <c r="G60" s="8"/>
      <c r="H60" s="7"/>
      <c r="I60" s="7"/>
      <c r="J60" s="6"/>
      <c r="K60" s="9" t="str">
        <f t="shared" si="4"/>
        <v/>
      </c>
      <c r="L60" s="9" t="str">
        <f t="shared" si="5"/>
        <v/>
      </c>
      <c r="M60" s="10" t="str">
        <f t="shared" si="6"/>
        <v/>
      </c>
      <c r="N60" s="8"/>
      <c r="O60" s="11" t="str">
        <f t="shared" si="7"/>
        <v/>
      </c>
      <c r="P60" s="12" t="str">
        <f>IF($C60="","",IFERROR(ROUND(MIN(25,($N60/Instellingen!$B$3)*25)+MIN(25,($I60/Instellingen!$B$4)*25)+MIN(25,($J60/Instellingen!$B$5)*25)+MIN(25,(IF($M60="",0,$M60)/Instellingen!$B$6)*25),0),""))</f>
        <v/>
      </c>
      <c r="Q60" s="13" t="str">
        <f>IF($P60="","",IF($P60&gt;=Instellingen!$B$7,"Sterke niche",IF($P60&gt;=Instellingen!$B$8,"Belofte - opvolgen",IF($P60&gt;=Instellingen!$B$9,"Zwak - twijfel","Vermijden"))))</f>
        <v/>
      </c>
      <c r="R60" s="5"/>
    </row>
    <row r="61" spans="1:18" x14ac:dyDescent="0.3">
      <c r="A61" s="14"/>
      <c r="B61" s="15"/>
      <c r="C61" s="15"/>
      <c r="D61" s="15"/>
      <c r="E61" s="16"/>
      <c r="F61" s="17"/>
      <c r="G61" s="18"/>
      <c r="H61" s="17"/>
      <c r="I61" s="17"/>
      <c r="J61" s="16"/>
      <c r="K61" s="19" t="str">
        <f t="shared" si="4"/>
        <v/>
      </c>
      <c r="L61" s="19" t="str">
        <f t="shared" si="5"/>
        <v/>
      </c>
      <c r="M61" s="20" t="str">
        <f t="shared" si="6"/>
        <v/>
      </c>
      <c r="N61" s="18"/>
      <c r="O61" s="21" t="str">
        <f t="shared" si="7"/>
        <v/>
      </c>
      <c r="P61" s="22" t="str">
        <f>IF($C61="","",IFERROR(ROUND(MIN(25,($N61/Instellingen!$B$3)*25)+MIN(25,($I61/Instellingen!$B$4)*25)+MIN(25,($J61/Instellingen!$B$5)*25)+MIN(25,(IF($M61="",0,$M61)/Instellingen!$B$6)*25),0),""))</f>
        <v/>
      </c>
      <c r="Q61" s="23" t="str">
        <f>IF($P61="","",IF($P61&gt;=Instellingen!$B$7,"Sterke niche",IF($P61&gt;=Instellingen!$B$8,"Belofte - opvolgen",IF($P61&gt;=Instellingen!$B$9,"Zwak - twijfel","Vermijden"))))</f>
        <v/>
      </c>
      <c r="R61" s="15"/>
    </row>
    <row r="62" spans="1:18" x14ac:dyDescent="0.3">
      <c r="A62" s="4"/>
      <c r="B62" s="5"/>
      <c r="C62" s="5"/>
      <c r="D62" s="5"/>
      <c r="E62" s="6"/>
      <c r="F62" s="7"/>
      <c r="G62" s="8"/>
      <c r="H62" s="7"/>
      <c r="I62" s="7"/>
      <c r="J62" s="6"/>
      <c r="K62" s="9" t="str">
        <f t="shared" si="4"/>
        <v/>
      </c>
      <c r="L62" s="9" t="str">
        <f t="shared" si="5"/>
        <v/>
      </c>
      <c r="M62" s="10" t="str">
        <f t="shared" si="6"/>
        <v/>
      </c>
      <c r="N62" s="8"/>
      <c r="O62" s="11" t="str">
        <f t="shared" si="7"/>
        <v/>
      </c>
      <c r="P62" s="12" t="str">
        <f>IF($C62="","",IFERROR(ROUND(MIN(25,($N62/Instellingen!$B$3)*25)+MIN(25,($I62/Instellingen!$B$4)*25)+MIN(25,($J62/Instellingen!$B$5)*25)+MIN(25,(IF($M62="",0,$M62)/Instellingen!$B$6)*25),0),""))</f>
        <v/>
      </c>
      <c r="Q62" s="13" t="str">
        <f>IF($P62="","",IF($P62&gt;=Instellingen!$B$7,"Sterke niche",IF($P62&gt;=Instellingen!$B$8,"Belofte - opvolgen",IF($P62&gt;=Instellingen!$B$9,"Zwak - twijfel","Vermijden"))))</f>
        <v/>
      </c>
      <c r="R62" s="5"/>
    </row>
    <row r="63" spans="1:18" x14ac:dyDescent="0.3">
      <c r="A63" s="14"/>
      <c r="B63" s="15"/>
      <c r="C63" s="15"/>
      <c r="D63" s="15"/>
      <c r="E63" s="16"/>
      <c r="F63" s="17"/>
      <c r="G63" s="18"/>
      <c r="H63" s="17"/>
      <c r="I63" s="17"/>
      <c r="J63" s="16"/>
      <c r="K63" s="19" t="str">
        <f t="shared" si="4"/>
        <v/>
      </c>
      <c r="L63" s="19" t="str">
        <f t="shared" si="5"/>
        <v/>
      </c>
      <c r="M63" s="20" t="str">
        <f t="shared" si="6"/>
        <v/>
      </c>
      <c r="N63" s="18"/>
      <c r="O63" s="21" t="str">
        <f t="shared" si="7"/>
        <v/>
      </c>
      <c r="P63" s="22" t="str">
        <f>IF($C63="","",IFERROR(ROUND(MIN(25,($N63/Instellingen!$B$3)*25)+MIN(25,($I63/Instellingen!$B$4)*25)+MIN(25,($J63/Instellingen!$B$5)*25)+MIN(25,(IF($M63="",0,$M63)/Instellingen!$B$6)*25),0),""))</f>
        <v/>
      </c>
      <c r="Q63" s="23" t="str">
        <f>IF($P63="","",IF($P63&gt;=Instellingen!$B$7,"Sterke niche",IF($P63&gt;=Instellingen!$B$8,"Belofte - opvolgen",IF($P63&gt;=Instellingen!$B$9,"Zwak - twijfel","Vermijden"))))</f>
        <v/>
      </c>
      <c r="R63" s="15"/>
    </row>
    <row r="64" spans="1:18" x14ac:dyDescent="0.3">
      <c r="A64" s="4"/>
      <c r="B64" s="5"/>
      <c r="C64" s="5"/>
      <c r="D64" s="5"/>
      <c r="E64" s="6"/>
      <c r="F64" s="7"/>
      <c r="G64" s="8"/>
      <c r="H64" s="7"/>
      <c r="I64" s="7"/>
      <c r="J64" s="6"/>
      <c r="K64" s="9" t="str">
        <f t="shared" si="4"/>
        <v/>
      </c>
      <c r="L64" s="9" t="str">
        <f t="shared" si="5"/>
        <v/>
      </c>
      <c r="M64" s="10" t="str">
        <f t="shared" si="6"/>
        <v/>
      </c>
      <c r="N64" s="8"/>
      <c r="O64" s="11" t="str">
        <f t="shared" si="7"/>
        <v/>
      </c>
      <c r="P64" s="12" t="str">
        <f>IF($C64="","",IFERROR(ROUND(MIN(25,($N64/Instellingen!$B$3)*25)+MIN(25,($I64/Instellingen!$B$4)*25)+MIN(25,($J64/Instellingen!$B$5)*25)+MIN(25,(IF($M64="",0,$M64)/Instellingen!$B$6)*25),0),""))</f>
        <v/>
      </c>
      <c r="Q64" s="13" t="str">
        <f>IF($P64="","",IF($P64&gt;=Instellingen!$B$7,"Sterke niche",IF($P64&gt;=Instellingen!$B$8,"Belofte - opvolgen",IF($P64&gt;=Instellingen!$B$9,"Zwak - twijfel","Vermijden"))))</f>
        <v/>
      </c>
      <c r="R64" s="5"/>
    </row>
    <row r="65" spans="1:18" x14ac:dyDescent="0.3">
      <c r="A65" s="14"/>
      <c r="B65" s="15"/>
      <c r="C65" s="15"/>
      <c r="D65" s="15"/>
      <c r="E65" s="16"/>
      <c r="F65" s="17"/>
      <c r="G65" s="18"/>
      <c r="H65" s="17"/>
      <c r="I65" s="17"/>
      <c r="J65" s="16"/>
      <c r="K65" s="19" t="str">
        <f t="shared" si="4"/>
        <v/>
      </c>
      <c r="L65" s="19" t="str">
        <f t="shared" si="5"/>
        <v/>
      </c>
      <c r="M65" s="20" t="str">
        <f t="shared" si="6"/>
        <v/>
      </c>
      <c r="N65" s="18"/>
      <c r="O65" s="21" t="str">
        <f t="shared" si="7"/>
        <v/>
      </c>
      <c r="P65" s="22" t="str">
        <f>IF($C65="","",IFERROR(ROUND(MIN(25,($N65/Instellingen!$B$3)*25)+MIN(25,($I65/Instellingen!$B$4)*25)+MIN(25,($J65/Instellingen!$B$5)*25)+MIN(25,(IF($M65="",0,$M65)/Instellingen!$B$6)*25),0),""))</f>
        <v/>
      </c>
      <c r="Q65" s="23" t="str">
        <f>IF($P65="","",IF($P65&gt;=Instellingen!$B$7,"Sterke niche",IF($P65&gt;=Instellingen!$B$8,"Belofte - opvolgen",IF($P65&gt;=Instellingen!$B$9,"Zwak - twijfel","Vermijden"))))</f>
        <v/>
      </c>
      <c r="R65" s="15"/>
    </row>
    <row r="66" spans="1:18" x14ac:dyDescent="0.3">
      <c r="A66" s="4"/>
      <c r="B66" s="5"/>
      <c r="C66" s="5"/>
      <c r="D66" s="5"/>
      <c r="E66" s="6"/>
      <c r="F66" s="7"/>
      <c r="G66" s="8"/>
      <c r="H66" s="7"/>
      <c r="I66" s="7"/>
      <c r="J66" s="6"/>
      <c r="K66" s="9" t="str">
        <f t="shared" ref="K66:K80" si="8">IF(OR($J66="",$J66=0),"",$I66/$J66)</f>
        <v/>
      </c>
      <c r="L66" s="9" t="str">
        <f t="shared" ref="L66:L80" si="9">IF(OR($E66="",$E66=0),"",$H66/$E66)</f>
        <v/>
      </c>
      <c r="M66" s="10" t="str">
        <f t="shared" ref="M66:M80" si="10">IF(OR($L66="",$L66=0),"",($I66/30)/$L66)</f>
        <v/>
      </c>
      <c r="N66" s="8"/>
      <c r="O66" s="11" t="str">
        <f t="shared" ref="O66:O80" si="11">IF(OR($I66="",$N66=""),"",($I66/1000)*$N66)</f>
        <v/>
      </c>
      <c r="P66" s="12" t="str">
        <f>IF($C66="","",IFERROR(ROUND(MIN(25,($N66/Instellingen!$B$3)*25)+MIN(25,($I66/Instellingen!$B$4)*25)+MIN(25,($J66/Instellingen!$B$5)*25)+MIN(25,(IF($M66="",0,$M66)/Instellingen!$B$6)*25),0),""))</f>
        <v/>
      </c>
      <c r="Q66" s="13" t="str">
        <f>IF($P66="","",IF($P66&gt;=Instellingen!$B$7,"Sterke niche",IF($P66&gt;=Instellingen!$B$8,"Belofte - opvolgen",IF($P66&gt;=Instellingen!$B$9,"Zwak - twijfel","Vermijden"))))</f>
        <v/>
      </c>
      <c r="R66" s="5"/>
    </row>
    <row r="67" spans="1:18" x14ac:dyDescent="0.3">
      <c r="A67" s="14"/>
      <c r="B67" s="15"/>
      <c r="C67" s="15"/>
      <c r="D67" s="15"/>
      <c r="E67" s="16"/>
      <c r="F67" s="17"/>
      <c r="G67" s="18"/>
      <c r="H67" s="17"/>
      <c r="I67" s="17"/>
      <c r="J67" s="16"/>
      <c r="K67" s="19" t="str">
        <f t="shared" si="8"/>
        <v/>
      </c>
      <c r="L67" s="19" t="str">
        <f t="shared" si="9"/>
        <v/>
      </c>
      <c r="M67" s="20" t="str">
        <f t="shared" si="10"/>
        <v/>
      </c>
      <c r="N67" s="18"/>
      <c r="O67" s="21" t="str">
        <f t="shared" si="11"/>
        <v/>
      </c>
      <c r="P67" s="22" t="str">
        <f>IF($C67="","",IFERROR(ROUND(MIN(25,($N67/Instellingen!$B$3)*25)+MIN(25,($I67/Instellingen!$B$4)*25)+MIN(25,($J67/Instellingen!$B$5)*25)+MIN(25,(IF($M67="",0,$M67)/Instellingen!$B$6)*25),0),""))</f>
        <v/>
      </c>
      <c r="Q67" s="23" t="str">
        <f>IF($P67="","",IF($P67&gt;=Instellingen!$B$7,"Sterke niche",IF($P67&gt;=Instellingen!$B$8,"Belofte - opvolgen",IF($P67&gt;=Instellingen!$B$9,"Zwak - twijfel","Vermijden"))))</f>
        <v/>
      </c>
      <c r="R67" s="15"/>
    </row>
    <row r="68" spans="1:18" x14ac:dyDescent="0.3">
      <c r="A68" s="4"/>
      <c r="B68" s="5"/>
      <c r="C68" s="5"/>
      <c r="D68" s="5"/>
      <c r="E68" s="6"/>
      <c r="F68" s="7"/>
      <c r="G68" s="8"/>
      <c r="H68" s="7"/>
      <c r="I68" s="7"/>
      <c r="J68" s="6"/>
      <c r="K68" s="9" t="str">
        <f t="shared" si="8"/>
        <v/>
      </c>
      <c r="L68" s="9" t="str">
        <f t="shared" si="9"/>
        <v/>
      </c>
      <c r="M68" s="10" t="str">
        <f t="shared" si="10"/>
        <v/>
      </c>
      <c r="N68" s="8"/>
      <c r="O68" s="11" t="str">
        <f t="shared" si="11"/>
        <v/>
      </c>
      <c r="P68" s="12" t="str">
        <f>IF($C68="","",IFERROR(ROUND(MIN(25,($N68/Instellingen!$B$3)*25)+MIN(25,($I68/Instellingen!$B$4)*25)+MIN(25,($J68/Instellingen!$B$5)*25)+MIN(25,(IF($M68="",0,$M68)/Instellingen!$B$6)*25),0),""))</f>
        <v/>
      </c>
      <c r="Q68" s="13" t="str">
        <f>IF($P68="","",IF($P68&gt;=Instellingen!$B$7,"Sterke niche",IF($P68&gt;=Instellingen!$B$8,"Belofte - opvolgen",IF($P68&gt;=Instellingen!$B$9,"Zwak - twijfel","Vermijden"))))</f>
        <v/>
      </c>
      <c r="R68" s="5"/>
    </row>
    <row r="69" spans="1:18" x14ac:dyDescent="0.3">
      <c r="A69" s="14"/>
      <c r="B69" s="15"/>
      <c r="C69" s="15"/>
      <c r="D69" s="15"/>
      <c r="E69" s="16"/>
      <c r="F69" s="17"/>
      <c r="G69" s="18"/>
      <c r="H69" s="17"/>
      <c r="I69" s="17"/>
      <c r="J69" s="16"/>
      <c r="K69" s="19" t="str">
        <f t="shared" si="8"/>
        <v/>
      </c>
      <c r="L69" s="19" t="str">
        <f t="shared" si="9"/>
        <v/>
      </c>
      <c r="M69" s="20" t="str">
        <f t="shared" si="10"/>
        <v/>
      </c>
      <c r="N69" s="18"/>
      <c r="O69" s="21" t="str">
        <f t="shared" si="11"/>
        <v/>
      </c>
      <c r="P69" s="22" t="str">
        <f>IF($C69="","",IFERROR(ROUND(MIN(25,($N69/Instellingen!$B$3)*25)+MIN(25,($I69/Instellingen!$B$4)*25)+MIN(25,($J69/Instellingen!$B$5)*25)+MIN(25,(IF($M69="",0,$M69)/Instellingen!$B$6)*25),0),""))</f>
        <v/>
      </c>
      <c r="Q69" s="23" t="str">
        <f>IF($P69="","",IF($P69&gt;=Instellingen!$B$7,"Sterke niche",IF($P69&gt;=Instellingen!$B$8,"Belofte - opvolgen",IF($P69&gt;=Instellingen!$B$9,"Zwak - twijfel","Vermijden"))))</f>
        <v/>
      </c>
      <c r="R69" s="15"/>
    </row>
    <row r="70" spans="1:18" x14ac:dyDescent="0.3">
      <c r="A70" s="4"/>
      <c r="B70" s="5"/>
      <c r="C70" s="5"/>
      <c r="D70" s="5"/>
      <c r="E70" s="6"/>
      <c r="F70" s="7"/>
      <c r="G70" s="8"/>
      <c r="H70" s="7"/>
      <c r="I70" s="7"/>
      <c r="J70" s="6"/>
      <c r="K70" s="9" t="str">
        <f t="shared" si="8"/>
        <v/>
      </c>
      <c r="L70" s="9" t="str">
        <f t="shared" si="9"/>
        <v/>
      </c>
      <c r="M70" s="10" t="str">
        <f t="shared" si="10"/>
        <v/>
      </c>
      <c r="N70" s="8"/>
      <c r="O70" s="11" t="str">
        <f t="shared" si="11"/>
        <v/>
      </c>
      <c r="P70" s="12" t="str">
        <f>IF($C70="","",IFERROR(ROUND(MIN(25,($N70/Instellingen!$B$3)*25)+MIN(25,($I70/Instellingen!$B$4)*25)+MIN(25,($J70/Instellingen!$B$5)*25)+MIN(25,(IF($M70="",0,$M70)/Instellingen!$B$6)*25),0),""))</f>
        <v/>
      </c>
      <c r="Q70" s="13" t="str">
        <f>IF($P70="","",IF($P70&gt;=Instellingen!$B$7,"Sterke niche",IF($P70&gt;=Instellingen!$B$8,"Belofte - opvolgen",IF($P70&gt;=Instellingen!$B$9,"Zwak - twijfel","Vermijden"))))</f>
        <v/>
      </c>
      <c r="R70" s="5"/>
    </row>
    <row r="71" spans="1:18" x14ac:dyDescent="0.3">
      <c r="A71" s="14"/>
      <c r="B71" s="15"/>
      <c r="C71" s="15"/>
      <c r="D71" s="15"/>
      <c r="E71" s="16"/>
      <c r="F71" s="17"/>
      <c r="G71" s="18"/>
      <c r="H71" s="17"/>
      <c r="I71" s="17"/>
      <c r="J71" s="16"/>
      <c r="K71" s="19" t="str">
        <f t="shared" si="8"/>
        <v/>
      </c>
      <c r="L71" s="19" t="str">
        <f t="shared" si="9"/>
        <v/>
      </c>
      <c r="M71" s="20" t="str">
        <f t="shared" si="10"/>
        <v/>
      </c>
      <c r="N71" s="18"/>
      <c r="O71" s="21" t="str">
        <f t="shared" si="11"/>
        <v/>
      </c>
      <c r="P71" s="22" t="str">
        <f>IF($C71="","",IFERROR(ROUND(MIN(25,($N71/Instellingen!$B$3)*25)+MIN(25,($I71/Instellingen!$B$4)*25)+MIN(25,($J71/Instellingen!$B$5)*25)+MIN(25,(IF($M71="",0,$M71)/Instellingen!$B$6)*25),0),""))</f>
        <v/>
      </c>
      <c r="Q71" s="23" t="str">
        <f>IF($P71="","",IF($P71&gt;=Instellingen!$B$7,"Sterke niche",IF($P71&gt;=Instellingen!$B$8,"Belofte - opvolgen",IF($P71&gt;=Instellingen!$B$9,"Zwak - twijfel","Vermijden"))))</f>
        <v/>
      </c>
      <c r="R71" s="15"/>
    </row>
    <row r="72" spans="1:18" x14ac:dyDescent="0.3">
      <c r="A72" s="4"/>
      <c r="B72" s="5"/>
      <c r="C72" s="5"/>
      <c r="D72" s="5"/>
      <c r="E72" s="6"/>
      <c r="F72" s="7"/>
      <c r="G72" s="8"/>
      <c r="H72" s="7"/>
      <c r="I72" s="7"/>
      <c r="J72" s="6"/>
      <c r="K72" s="9" t="str">
        <f t="shared" si="8"/>
        <v/>
      </c>
      <c r="L72" s="9" t="str">
        <f t="shared" si="9"/>
        <v/>
      </c>
      <c r="M72" s="10" t="str">
        <f t="shared" si="10"/>
        <v/>
      </c>
      <c r="N72" s="8"/>
      <c r="O72" s="11" t="str">
        <f t="shared" si="11"/>
        <v/>
      </c>
      <c r="P72" s="12" t="str">
        <f>IF($C72="","",IFERROR(ROUND(MIN(25,($N72/Instellingen!$B$3)*25)+MIN(25,($I72/Instellingen!$B$4)*25)+MIN(25,($J72/Instellingen!$B$5)*25)+MIN(25,(IF($M72="",0,$M72)/Instellingen!$B$6)*25),0),""))</f>
        <v/>
      </c>
      <c r="Q72" s="13" t="str">
        <f>IF($P72="","",IF($P72&gt;=Instellingen!$B$7,"Sterke niche",IF($P72&gt;=Instellingen!$B$8,"Belofte - opvolgen",IF($P72&gt;=Instellingen!$B$9,"Zwak - twijfel","Vermijden"))))</f>
        <v/>
      </c>
      <c r="R72" s="5"/>
    </row>
    <row r="73" spans="1:18" x14ac:dyDescent="0.3">
      <c r="A73" s="14"/>
      <c r="B73" s="15"/>
      <c r="C73" s="15"/>
      <c r="D73" s="15"/>
      <c r="E73" s="16"/>
      <c r="F73" s="17"/>
      <c r="G73" s="18"/>
      <c r="H73" s="17"/>
      <c r="I73" s="17"/>
      <c r="J73" s="16"/>
      <c r="K73" s="19" t="str">
        <f t="shared" si="8"/>
        <v/>
      </c>
      <c r="L73" s="19" t="str">
        <f t="shared" si="9"/>
        <v/>
      </c>
      <c r="M73" s="20" t="str">
        <f t="shared" si="10"/>
        <v/>
      </c>
      <c r="N73" s="18"/>
      <c r="O73" s="21" t="str">
        <f t="shared" si="11"/>
        <v/>
      </c>
      <c r="P73" s="22" t="str">
        <f>IF($C73="","",IFERROR(ROUND(MIN(25,($N73/Instellingen!$B$3)*25)+MIN(25,($I73/Instellingen!$B$4)*25)+MIN(25,($J73/Instellingen!$B$5)*25)+MIN(25,(IF($M73="",0,$M73)/Instellingen!$B$6)*25),0),""))</f>
        <v/>
      </c>
      <c r="Q73" s="23" t="str">
        <f>IF($P73="","",IF($P73&gt;=Instellingen!$B$7,"Sterke niche",IF($P73&gt;=Instellingen!$B$8,"Belofte - opvolgen",IF($P73&gt;=Instellingen!$B$9,"Zwak - twijfel","Vermijden"))))</f>
        <v/>
      </c>
      <c r="R73" s="15"/>
    </row>
    <row r="74" spans="1:18" x14ac:dyDescent="0.3">
      <c r="A74" s="4"/>
      <c r="B74" s="5"/>
      <c r="C74" s="5"/>
      <c r="D74" s="5"/>
      <c r="E74" s="6"/>
      <c r="F74" s="7"/>
      <c r="G74" s="8"/>
      <c r="H74" s="7"/>
      <c r="I74" s="7"/>
      <c r="J74" s="6"/>
      <c r="K74" s="9" t="str">
        <f t="shared" si="8"/>
        <v/>
      </c>
      <c r="L74" s="9" t="str">
        <f t="shared" si="9"/>
        <v/>
      </c>
      <c r="M74" s="10" t="str">
        <f t="shared" si="10"/>
        <v/>
      </c>
      <c r="N74" s="8"/>
      <c r="O74" s="11" t="str">
        <f t="shared" si="11"/>
        <v/>
      </c>
      <c r="P74" s="12" t="str">
        <f>IF($C74="","",IFERROR(ROUND(MIN(25,($N74/Instellingen!$B$3)*25)+MIN(25,($I74/Instellingen!$B$4)*25)+MIN(25,($J74/Instellingen!$B$5)*25)+MIN(25,(IF($M74="",0,$M74)/Instellingen!$B$6)*25),0),""))</f>
        <v/>
      </c>
      <c r="Q74" s="13" t="str">
        <f>IF($P74="","",IF($P74&gt;=Instellingen!$B$7,"Sterke niche",IF($P74&gt;=Instellingen!$B$8,"Belofte - opvolgen",IF($P74&gt;=Instellingen!$B$9,"Zwak - twijfel","Vermijden"))))</f>
        <v/>
      </c>
      <c r="R74" s="5"/>
    </row>
    <row r="75" spans="1:18" x14ac:dyDescent="0.3">
      <c r="A75" s="14"/>
      <c r="B75" s="15"/>
      <c r="C75" s="15"/>
      <c r="D75" s="15"/>
      <c r="E75" s="16"/>
      <c r="F75" s="17"/>
      <c r="G75" s="18"/>
      <c r="H75" s="17"/>
      <c r="I75" s="17"/>
      <c r="J75" s="16"/>
      <c r="K75" s="19" t="str">
        <f t="shared" si="8"/>
        <v/>
      </c>
      <c r="L75" s="19" t="str">
        <f t="shared" si="9"/>
        <v/>
      </c>
      <c r="M75" s="20" t="str">
        <f t="shared" si="10"/>
        <v/>
      </c>
      <c r="N75" s="18"/>
      <c r="O75" s="21" t="str">
        <f t="shared" si="11"/>
        <v/>
      </c>
      <c r="P75" s="22" t="str">
        <f>IF($C75="","",IFERROR(ROUND(MIN(25,($N75/Instellingen!$B$3)*25)+MIN(25,($I75/Instellingen!$B$4)*25)+MIN(25,($J75/Instellingen!$B$5)*25)+MIN(25,(IF($M75="",0,$M75)/Instellingen!$B$6)*25),0),""))</f>
        <v/>
      </c>
      <c r="Q75" s="23" t="str">
        <f>IF($P75="","",IF($P75&gt;=Instellingen!$B$7,"Sterke niche",IF($P75&gt;=Instellingen!$B$8,"Belofte - opvolgen",IF($P75&gt;=Instellingen!$B$9,"Zwak - twijfel","Vermijden"))))</f>
        <v/>
      </c>
      <c r="R75" s="15"/>
    </row>
    <row r="76" spans="1:18" x14ac:dyDescent="0.3">
      <c r="A76" s="4"/>
      <c r="B76" s="5"/>
      <c r="C76" s="5"/>
      <c r="D76" s="5"/>
      <c r="E76" s="6"/>
      <c r="F76" s="7"/>
      <c r="G76" s="8"/>
      <c r="H76" s="7"/>
      <c r="I76" s="7"/>
      <c r="J76" s="6"/>
      <c r="K76" s="9" t="str">
        <f t="shared" si="8"/>
        <v/>
      </c>
      <c r="L76" s="9" t="str">
        <f t="shared" si="9"/>
        <v/>
      </c>
      <c r="M76" s="10" t="str">
        <f t="shared" si="10"/>
        <v/>
      </c>
      <c r="N76" s="8"/>
      <c r="O76" s="11" t="str">
        <f t="shared" si="11"/>
        <v/>
      </c>
      <c r="P76" s="12" t="str">
        <f>IF($C76="","",IFERROR(ROUND(MIN(25,($N76/Instellingen!$B$3)*25)+MIN(25,($I76/Instellingen!$B$4)*25)+MIN(25,($J76/Instellingen!$B$5)*25)+MIN(25,(IF($M76="",0,$M76)/Instellingen!$B$6)*25),0),""))</f>
        <v/>
      </c>
      <c r="Q76" s="13" t="str">
        <f>IF($P76="","",IF($P76&gt;=Instellingen!$B$7,"Sterke niche",IF($P76&gt;=Instellingen!$B$8,"Belofte - opvolgen",IF($P76&gt;=Instellingen!$B$9,"Zwak - twijfel","Vermijden"))))</f>
        <v/>
      </c>
      <c r="R76" s="5"/>
    </row>
    <row r="77" spans="1:18" x14ac:dyDescent="0.3">
      <c r="A77" s="14"/>
      <c r="B77" s="15"/>
      <c r="C77" s="15"/>
      <c r="D77" s="15"/>
      <c r="E77" s="16"/>
      <c r="F77" s="17"/>
      <c r="G77" s="18"/>
      <c r="H77" s="17"/>
      <c r="I77" s="17"/>
      <c r="J77" s="16"/>
      <c r="K77" s="19" t="str">
        <f t="shared" si="8"/>
        <v/>
      </c>
      <c r="L77" s="19" t="str">
        <f t="shared" si="9"/>
        <v/>
      </c>
      <c r="M77" s="20" t="str">
        <f t="shared" si="10"/>
        <v/>
      </c>
      <c r="N77" s="18"/>
      <c r="O77" s="21" t="str">
        <f t="shared" si="11"/>
        <v/>
      </c>
      <c r="P77" s="22" t="str">
        <f>IF($C77="","",IFERROR(ROUND(MIN(25,($N77/Instellingen!$B$3)*25)+MIN(25,($I77/Instellingen!$B$4)*25)+MIN(25,($J77/Instellingen!$B$5)*25)+MIN(25,(IF($M77="",0,$M77)/Instellingen!$B$6)*25),0),""))</f>
        <v/>
      </c>
      <c r="Q77" s="23" t="str">
        <f>IF($P77="","",IF($P77&gt;=Instellingen!$B$7,"Sterke niche",IF($P77&gt;=Instellingen!$B$8,"Belofte - opvolgen",IF($P77&gt;=Instellingen!$B$9,"Zwak - twijfel","Vermijden"))))</f>
        <v/>
      </c>
      <c r="R77" s="15"/>
    </row>
    <row r="78" spans="1:18" x14ac:dyDescent="0.3">
      <c r="A78" s="4"/>
      <c r="B78" s="5"/>
      <c r="C78" s="5"/>
      <c r="D78" s="5"/>
      <c r="E78" s="6"/>
      <c r="F78" s="7"/>
      <c r="G78" s="8"/>
      <c r="H78" s="7"/>
      <c r="I78" s="7"/>
      <c r="J78" s="6"/>
      <c r="K78" s="9" t="str">
        <f t="shared" si="8"/>
        <v/>
      </c>
      <c r="L78" s="9" t="str">
        <f t="shared" si="9"/>
        <v/>
      </c>
      <c r="M78" s="10" t="str">
        <f t="shared" si="10"/>
        <v/>
      </c>
      <c r="N78" s="8"/>
      <c r="O78" s="11" t="str">
        <f t="shared" si="11"/>
        <v/>
      </c>
      <c r="P78" s="12" t="str">
        <f>IF($C78="","",IFERROR(ROUND(MIN(25,($N78/Instellingen!$B$3)*25)+MIN(25,($I78/Instellingen!$B$4)*25)+MIN(25,($J78/Instellingen!$B$5)*25)+MIN(25,(IF($M78="",0,$M78)/Instellingen!$B$6)*25),0),""))</f>
        <v/>
      </c>
      <c r="Q78" s="13" t="str">
        <f>IF($P78="","",IF($P78&gt;=Instellingen!$B$7,"Sterke niche",IF($P78&gt;=Instellingen!$B$8,"Belofte - opvolgen",IF($P78&gt;=Instellingen!$B$9,"Zwak - twijfel","Vermijden"))))</f>
        <v/>
      </c>
      <c r="R78" s="5"/>
    </row>
    <row r="79" spans="1:18" x14ac:dyDescent="0.3">
      <c r="A79" s="14"/>
      <c r="B79" s="15"/>
      <c r="C79" s="15"/>
      <c r="D79" s="15"/>
      <c r="E79" s="16"/>
      <c r="F79" s="17"/>
      <c r="G79" s="18"/>
      <c r="H79" s="17"/>
      <c r="I79" s="17"/>
      <c r="J79" s="16"/>
      <c r="K79" s="19" t="str">
        <f t="shared" si="8"/>
        <v/>
      </c>
      <c r="L79" s="19" t="str">
        <f t="shared" si="9"/>
        <v/>
      </c>
      <c r="M79" s="20" t="str">
        <f t="shared" si="10"/>
        <v/>
      </c>
      <c r="N79" s="18"/>
      <c r="O79" s="21" t="str">
        <f t="shared" si="11"/>
        <v/>
      </c>
      <c r="P79" s="22" t="str">
        <f>IF($C79="","",IFERROR(ROUND(MIN(25,($N79/Instellingen!$B$3)*25)+MIN(25,($I79/Instellingen!$B$4)*25)+MIN(25,($J79/Instellingen!$B$5)*25)+MIN(25,(IF($M79="",0,$M79)/Instellingen!$B$6)*25),0),""))</f>
        <v/>
      </c>
      <c r="Q79" s="23" t="str">
        <f>IF($P79="","",IF($P79&gt;=Instellingen!$B$7,"Sterke niche",IF($P79&gt;=Instellingen!$B$8,"Belofte - opvolgen",IF($P79&gt;=Instellingen!$B$9,"Zwak - twijfel","Vermijden"))))</f>
        <v/>
      </c>
      <c r="R79" s="15"/>
    </row>
    <row r="80" spans="1:18" x14ac:dyDescent="0.3">
      <c r="A80" s="4"/>
      <c r="B80" s="5"/>
      <c r="C80" s="5"/>
      <c r="D80" s="5"/>
      <c r="E80" s="6"/>
      <c r="F80" s="7"/>
      <c r="G80" s="8"/>
      <c r="H80" s="7"/>
      <c r="I80" s="7"/>
      <c r="J80" s="6"/>
      <c r="K80" s="9" t="str">
        <f t="shared" si="8"/>
        <v/>
      </c>
      <c r="L80" s="9" t="str">
        <f t="shared" si="9"/>
        <v/>
      </c>
      <c r="M80" s="10" t="str">
        <f t="shared" si="10"/>
        <v/>
      </c>
      <c r="N80" s="8"/>
      <c r="O80" s="11" t="str">
        <f t="shared" si="11"/>
        <v/>
      </c>
      <c r="P80" s="12" t="str">
        <f>IF($C80="","",IFERROR(ROUND(MIN(25,($N80/Instellingen!$B$3)*25)+MIN(25,($I80/Instellingen!$B$4)*25)+MIN(25,($J80/Instellingen!$B$5)*25)+MIN(25,(IF($M80="",0,$M80)/Instellingen!$B$6)*25),0),""))</f>
        <v/>
      </c>
      <c r="Q80" s="13" t="str">
        <f>IF($P80="","",IF($P80&gt;=Instellingen!$B$7,"Sterke niche",IF($P80&gt;=Instellingen!$B$8,"Belofte - opvolgen",IF($P80&gt;=Instellingen!$B$9,"Zwak - twijfel","Vermijden"))))</f>
        <v/>
      </c>
      <c r="R80" s="5"/>
    </row>
  </sheetData>
  <autoFilter ref="A1:R80" xr:uid="{00000000-0009-0000-0000-000000000000}"/>
  <conditionalFormatting sqref="N2:N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0">
    <cfRule type="iconSet" priority="4">
      <iconSet>
        <cfvo type="percent" val="0"/>
        <cfvo type="percent" val="33"/>
        <cfvo type="percent" val="67"/>
      </iconSet>
    </cfRule>
  </conditionalFormatting>
  <conditionalFormatting sqref="Q2:Q80">
    <cfRule type="expression" dxfId="2" priority="5">
      <formula>$Q2="Sterke niche"</formula>
    </cfRule>
    <cfRule type="expression" dxfId="1" priority="6">
      <formula>$Q2="Vermijden"</formula>
    </cfRule>
    <cfRule type="expression" dxfId="0" priority="7">
      <formula>$Q2="Belofte - opvolgen"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4"/>
  <sheetViews>
    <sheetView zoomScaleNormal="100" workbookViewId="0">
      <pane ySplit="1" topLeftCell="A2" activePane="bottomLeft" state="frozen"/>
      <selection pane="bottomLeft" activeCell="B5" sqref="B5"/>
    </sheetView>
  </sheetViews>
  <sheetFormatPr defaultColWidth="8.6640625" defaultRowHeight="14.4" x14ac:dyDescent="0.3"/>
  <cols>
    <col min="1" max="1" width="20" customWidth="1"/>
    <col min="2" max="2" width="15" customWidth="1"/>
    <col min="3" max="3" width="16" customWidth="1"/>
    <col min="4" max="4" width="10" customWidth="1"/>
    <col min="5" max="5" width="22" customWidth="1"/>
    <col min="6" max="6" width="15" customWidth="1"/>
    <col min="7" max="7" width="16" customWidth="1"/>
    <col min="8" max="8" width="20" customWidth="1"/>
    <col min="9" max="9" width="16" customWidth="1"/>
  </cols>
  <sheetData>
    <row r="1" spans="1:9" ht="39.75" customHeight="1" x14ac:dyDescent="0.3">
      <c r="A1" s="3" t="s">
        <v>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x14ac:dyDescent="0.3">
      <c r="A2" s="5"/>
      <c r="B2" s="13" t="str">
        <f>IF($A2="","",COUNTIF('Niche Research'!$B$2:$B$80,$A2))</f>
        <v/>
      </c>
      <c r="C2" s="9" t="str">
        <f>IF($A2="","",SUMIF('Niche Research'!$B$2:$B$80,$A2,'Niche Research'!$I$2:$I$80))</f>
        <v/>
      </c>
      <c r="D2" s="10" t="str">
        <f>IF($A2="","",IFERROR(AVERAGEIF('Niche Research'!$B$2:$B$80,$A2,'Niche Research'!$N$2:$N$80),""))</f>
        <v/>
      </c>
      <c r="E2" s="11" t="str">
        <f>IF($A2="","",SUMIF('Niche Research'!$B$2:$B$80,$A2,'Niche Research'!$O$2:$O$80))</f>
        <v/>
      </c>
      <c r="F2" s="12" t="str">
        <f>IF($A2="","",IFERROR(AVERAGEIF('Niche Research'!$B$2:$B$80,$A2,'Niche Research'!$E$2:$E$80),""))</f>
        <v/>
      </c>
      <c r="G2" s="24" t="str">
        <f>IF($A2="","",IFERROR(AVERAGEIF('Niche Research'!$B$2:$B$80,$A2,'Niche Research'!$P$2:$P$80),""))</f>
        <v/>
      </c>
      <c r="H2" s="13" t="str">
        <f>IF($A2="","",COUNTIFS('Niche Research'!$B$2:$B$80,$A2,'Niche Research'!$Q$2:$Q$80,"Sterke niche"))</f>
        <v/>
      </c>
      <c r="I2" s="13" t="str">
        <f t="shared" ref="I2:I21" si="0">IF(OR($A2="",$G2=""),"",RANK($G2,$G$2:$G$21,0))</f>
        <v/>
      </c>
    </row>
    <row r="3" spans="1:9" x14ac:dyDescent="0.3">
      <c r="A3" s="15"/>
      <c r="B3" s="23" t="str">
        <f>IF($A3="","",COUNTIF('Niche Research'!$B$2:$B$80,$A3))</f>
        <v/>
      </c>
      <c r="C3" s="19" t="str">
        <f>IF($A3="","",SUMIF('Niche Research'!$B$2:$B$80,$A3,'Niche Research'!$I$2:$I$80))</f>
        <v/>
      </c>
      <c r="D3" s="20" t="str">
        <f>IF($A3="","",IFERROR(AVERAGEIF('Niche Research'!$B$2:$B$80,$A3,'Niche Research'!$N$2:$N$80),""))</f>
        <v/>
      </c>
      <c r="E3" s="21" t="str">
        <f>IF($A3="","",SUMIF('Niche Research'!$B$2:$B$80,$A3,'Niche Research'!$O$2:$O$80))</f>
        <v/>
      </c>
      <c r="F3" s="22" t="str">
        <f>IF($A3="","",IFERROR(AVERAGEIF('Niche Research'!$B$2:$B$80,$A3,'Niche Research'!$E$2:$E$80),""))</f>
        <v/>
      </c>
      <c r="G3" s="25" t="str">
        <f>IF($A3="","",IFERROR(AVERAGEIF('Niche Research'!$B$2:$B$80,$A3,'Niche Research'!$P$2:$P$80),""))</f>
        <v/>
      </c>
      <c r="H3" s="23" t="str">
        <f>IF($A3="","",COUNTIFS('Niche Research'!$B$2:$B$80,$A3,'Niche Research'!$Q$2:$Q$80,"Sterke niche"))</f>
        <v/>
      </c>
      <c r="I3" s="23" t="str">
        <f t="shared" si="0"/>
        <v/>
      </c>
    </row>
    <row r="4" spans="1:9" x14ac:dyDescent="0.3">
      <c r="A4" s="5"/>
      <c r="B4" s="13" t="str">
        <f>IF($A4="","",COUNTIF('Niche Research'!$B$2:$B$80,$A4))</f>
        <v/>
      </c>
      <c r="C4" s="9" t="str">
        <f>IF($A4="","",SUMIF('Niche Research'!$B$2:$B$80,$A4,'Niche Research'!$I$2:$I$80))</f>
        <v/>
      </c>
      <c r="D4" s="10" t="str">
        <f>IF($A4="","",IFERROR(AVERAGEIF('Niche Research'!$B$2:$B$80,$A4,'Niche Research'!$N$2:$N$80),""))</f>
        <v/>
      </c>
      <c r="E4" s="11" t="str">
        <f>IF($A4="","",SUMIF('Niche Research'!$B$2:$B$80,$A4,'Niche Research'!$O$2:$O$80))</f>
        <v/>
      </c>
      <c r="F4" s="12" t="str">
        <f>IF($A4="","",IFERROR(AVERAGEIF('Niche Research'!$B$2:$B$80,$A4,'Niche Research'!$E$2:$E$80),""))</f>
        <v/>
      </c>
      <c r="G4" s="24" t="str">
        <f>IF($A4="","",IFERROR(AVERAGEIF('Niche Research'!$B$2:$B$80,$A4,'Niche Research'!$P$2:$P$80),""))</f>
        <v/>
      </c>
      <c r="H4" s="13" t="str">
        <f>IF($A4="","",COUNTIFS('Niche Research'!$B$2:$B$80,$A4,'Niche Research'!$Q$2:$Q$80,"Sterke niche"))</f>
        <v/>
      </c>
      <c r="I4" s="13" t="str">
        <f t="shared" si="0"/>
        <v/>
      </c>
    </row>
    <row r="5" spans="1:9" x14ac:dyDescent="0.3">
      <c r="A5" s="15"/>
      <c r="B5" s="23" t="str">
        <f>IF($A5="","",COUNTIF('Niche Research'!$B$2:$B$80,$A5))</f>
        <v/>
      </c>
      <c r="C5" s="19" t="str">
        <f>IF($A5="","",SUMIF('Niche Research'!$B$2:$B$80,$A5,'Niche Research'!$I$2:$I$80))</f>
        <v/>
      </c>
      <c r="D5" s="20" t="str">
        <f>IF($A5="","",IFERROR(AVERAGEIF('Niche Research'!$B$2:$B$80,$A5,'Niche Research'!$N$2:$N$80),""))</f>
        <v/>
      </c>
      <c r="E5" s="21" t="str">
        <f>IF($A5="","",SUMIF('Niche Research'!$B$2:$B$80,$A5,'Niche Research'!$O$2:$O$80))</f>
        <v/>
      </c>
      <c r="F5" s="22" t="str">
        <f>IF($A5="","",IFERROR(AVERAGEIF('Niche Research'!$B$2:$B$80,$A5,'Niche Research'!$E$2:$E$80),""))</f>
        <v/>
      </c>
      <c r="G5" s="25" t="str">
        <f>IF($A5="","",IFERROR(AVERAGEIF('Niche Research'!$B$2:$B$80,$A5,'Niche Research'!$P$2:$P$80),""))</f>
        <v/>
      </c>
      <c r="H5" s="23" t="str">
        <f>IF($A5="","",COUNTIFS('Niche Research'!$B$2:$B$80,$A5,'Niche Research'!$Q$2:$Q$80,"Sterke niche"))</f>
        <v/>
      </c>
      <c r="I5" s="23" t="str">
        <f t="shared" si="0"/>
        <v/>
      </c>
    </row>
    <row r="6" spans="1:9" x14ac:dyDescent="0.3">
      <c r="A6" s="5"/>
      <c r="B6" s="13" t="str">
        <f>IF($A6="","",COUNTIF('Niche Research'!$B$2:$B$80,$A6))</f>
        <v/>
      </c>
      <c r="C6" s="9" t="str">
        <f>IF($A6="","",SUMIF('Niche Research'!$B$2:$B$80,$A6,'Niche Research'!$I$2:$I$80))</f>
        <v/>
      </c>
      <c r="D6" s="10" t="str">
        <f>IF($A6="","",IFERROR(AVERAGEIF('Niche Research'!$B$2:$B$80,$A6,'Niche Research'!$N$2:$N$80),""))</f>
        <v/>
      </c>
      <c r="E6" s="11" t="str">
        <f>IF($A6="","",SUMIF('Niche Research'!$B$2:$B$80,$A6,'Niche Research'!$O$2:$O$80))</f>
        <v/>
      </c>
      <c r="F6" s="12" t="str">
        <f>IF($A6="","",IFERROR(AVERAGEIF('Niche Research'!$B$2:$B$80,$A6,'Niche Research'!$E$2:$E$80),""))</f>
        <v/>
      </c>
      <c r="G6" s="24" t="str">
        <f>IF($A6="","",IFERROR(AVERAGEIF('Niche Research'!$B$2:$B$80,$A6,'Niche Research'!$P$2:$P$80),""))</f>
        <v/>
      </c>
      <c r="H6" s="13" t="str">
        <f>IF($A6="","",COUNTIFS('Niche Research'!$B$2:$B$80,$A6,'Niche Research'!$Q$2:$Q$80,"Sterke niche"))</f>
        <v/>
      </c>
      <c r="I6" s="13" t="str">
        <f t="shared" si="0"/>
        <v/>
      </c>
    </row>
    <row r="7" spans="1:9" x14ac:dyDescent="0.3">
      <c r="A7" s="15"/>
      <c r="B7" s="23" t="str">
        <f>IF($A7="","",COUNTIF('Niche Research'!$B$2:$B$80,$A7))</f>
        <v/>
      </c>
      <c r="C7" s="19" t="str">
        <f>IF($A7="","",SUMIF('Niche Research'!$B$2:$B$80,$A7,'Niche Research'!$I$2:$I$80))</f>
        <v/>
      </c>
      <c r="D7" s="20" t="str">
        <f>IF($A7="","",IFERROR(AVERAGEIF('Niche Research'!$B$2:$B$80,$A7,'Niche Research'!$N$2:$N$80),""))</f>
        <v/>
      </c>
      <c r="E7" s="21" t="str">
        <f>IF($A7="","",SUMIF('Niche Research'!$B$2:$B$80,$A7,'Niche Research'!$O$2:$O$80))</f>
        <v/>
      </c>
      <c r="F7" s="22" t="str">
        <f>IF($A7="","",IFERROR(AVERAGEIF('Niche Research'!$B$2:$B$80,$A7,'Niche Research'!$E$2:$E$80),""))</f>
        <v/>
      </c>
      <c r="G7" s="25" t="str">
        <f>IF($A7="","",IFERROR(AVERAGEIF('Niche Research'!$B$2:$B$80,$A7,'Niche Research'!$P$2:$P$80),""))</f>
        <v/>
      </c>
      <c r="H7" s="23" t="str">
        <f>IF($A7="","",COUNTIFS('Niche Research'!$B$2:$B$80,$A7,'Niche Research'!$Q$2:$Q$80,"Sterke niche"))</f>
        <v/>
      </c>
      <c r="I7" s="23" t="str">
        <f t="shared" si="0"/>
        <v/>
      </c>
    </row>
    <row r="8" spans="1:9" x14ac:dyDescent="0.3">
      <c r="A8" s="5"/>
      <c r="B8" s="13" t="str">
        <f>IF($A8="","",COUNTIF('Niche Research'!$B$2:$B$80,$A8))</f>
        <v/>
      </c>
      <c r="C8" s="9" t="str">
        <f>IF($A8="","",SUMIF('Niche Research'!$B$2:$B$80,$A8,'Niche Research'!$I$2:$I$80))</f>
        <v/>
      </c>
      <c r="D8" s="10" t="str">
        <f>IF($A8="","",IFERROR(AVERAGEIF('Niche Research'!$B$2:$B$80,$A8,'Niche Research'!$N$2:$N$80),""))</f>
        <v/>
      </c>
      <c r="E8" s="11" t="str">
        <f>IF($A8="","",SUMIF('Niche Research'!$B$2:$B$80,$A8,'Niche Research'!$O$2:$O$80))</f>
        <v/>
      </c>
      <c r="F8" s="12" t="str">
        <f>IF($A8="","",IFERROR(AVERAGEIF('Niche Research'!$B$2:$B$80,$A8,'Niche Research'!$E$2:$E$80),""))</f>
        <v/>
      </c>
      <c r="G8" s="24" t="str">
        <f>IF($A8="","",IFERROR(AVERAGEIF('Niche Research'!$B$2:$B$80,$A8,'Niche Research'!$P$2:$P$80),""))</f>
        <v/>
      </c>
      <c r="H8" s="13" t="str">
        <f>IF($A8="","",COUNTIFS('Niche Research'!$B$2:$B$80,$A8,'Niche Research'!$Q$2:$Q$80,"Sterke niche"))</f>
        <v/>
      </c>
      <c r="I8" s="13" t="str">
        <f t="shared" si="0"/>
        <v/>
      </c>
    </row>
    <row r="9" spans="1:9" x14ac:dyDescent="0.3">
      <c r="A9" s="15"/>
      <c r="B9" s="23" t="str">
        <f>IF($A9="","",COUNTIF('Niche Research'!$B$2:$B$80,$A9))</f>
        <v/>
      </c>
      <c r="C9" s="19" t="str">
        <f>IF($A9="","",SUMIF('Niche Research'!$B$2:$B$80,$A9,'Niche Research'!$I$2:$I$80))</f>
        <v/>
      </c>
      <c r="D9" s="20" t="str">
        <f>IF($A9="","",IFERROR(AVERAGEIF('Niche Research'!$B$2:$B$80,$A9,'Niche Research'!$N$2:$N$80),""))</f>
        <v/>
      </c>
      <c r="E9" s="21" t="str">
        <f>IF($A9="","",SUMIF('Niche Research'!$B$2:$B$80,$A9,'Niche Research'!$O$2:$O$80))</f>
        <v/>
      </c>
      <c r="F9" s="22" t="str">
        <f>IF($A9="","",IFERROR(AVERAGEIF('Niche Research'!$B$2:$B$80,$A9,'Niche Research'!$E$2:$E$80),""))</f>
        <v/>
      </c>
      <c r="G9" s="25" t="str">
        <f>IF($A9="","",IFERROR(AVERAGEIF('Niche Research'!$B$2:$B$80,$A9,'Niche Research'!$P$2:$P$80),""))</f>
        <v/>
      </c>
      <c r="H9" s="23" t="str">
        <f>IF($A9="","",COUNTIFS('Niche Research'!$B$2:$B$80,$A9,'Niche Research'!$Q$2:$Q$80,"Sterke niche"))</f>
        <v/>
      </c>
      <c r="I9" s="23" t="str">
        <f t="shared" si="0"/>
        <v/>
      </c>
    </row>
    <row r="10" spans="1:9" x14ac:dyDescent="0.3">
      <c r="A10" s="5"/>
      <c r="B10" s="13" t="str">
        <f>IF($A10="","",COUNTIF('Niche Research'!$B$2:$B$80,$A10))</f>
        <v/>
      </c>
      <c r="C10" s="9" t="str">
        <f>IF($A10="","",SUMIF('Niche Research'!$B$2:$B$80,$A10,'Niche Research'!$I$2:$I$80))</f>
        <v/>
      </c>
      <c r="D10" s="10" t="str">
        <f>IF($A10="","",IFERROR(AVERAGEIF('Niche Research'!$B$2:$B$80,$A10,'Niche Research'!$N$2:$N$80),""))</f>
        <v/>
      </c>
      <c r="E10" s="11" t="str">
        <f>IF($A10="","",SUMIF('Niche Research'!$B$2:$B$80,$A10,'Niche Research'!$O$2:$O$80))</f>
        <v/>
      </c>
      <c r="F10" s="12" t="str">
        <f>IF($A10="","",IFERROR(AVERAGEIF('Niche Research'!$B$2:$B$80,$A10,'Niche Research'!$E$2:$E$80),""))</f>
        <v/>
      </c>
      <c r="G10" s="24" t="str">
        <f>IF($A10="","",IFERROR(AVERAGEIF('Niche Research'!$B$2:$B$80,$A10,'Niche Research'!$P$2:$P$80),""))</f>
        <v/>
      </c>
      <c r="H10" s="13" t="str">
        <f>IF($A10="","",COUNTIFS('Niche Research'!$B$2:$B$80,$A10,'Niche Research'!$Q$2:$Q$80,"Sterke niche"))</f>
        <v/>
      </c>
      <c r="I10" s="13" t="str">
        <f t="shared" si="0"/>
        <v/>
      </c>
    </row>
    <row r="11" spans="1:9" x14ac:dyDescent="0.3">
      <c r="A11" s="15"/>
      <c r="B11" s="23" t="str">
        <f>IF($A11="","",COUNTIF('Niche Research'!$B$2:$B$80,$A11))</f>
        <v/>
      </c>
      <c r="C11" s="19" t="str">
        <f>IF($A11="","",SUMIF('Niche Research'!$B$2:$B$80,$A11,'Niche Research'!$I$2:$I$80))</f>
        <v/>
      </c>
      <c r="D11" s="20" t="str">
        <f>IF($A11="","",IFERROR(AVERAGEIF('Niche Research'!$B$2:$B$80,$A11,'Niche Research'!$N$2:$N$80),""))</f>
        <v/>
      </c>
      <c r="E11" s="21" t="str">
        <f>IF($A11="","",SUMIF('Niche Research'!$B$2:$B$80,$A11,'Niche Research'!$O$2:$O$80))</f>
        <v/>
      </c>
      <c r="F11" s="22" t="str">
        <f>IF($A11="","",IFERROR(AVERAGEIF('Niche Research'!$B$2:$B$80,$A11,'Niche Research'!$E$2:$E$80),""))</f>
        <v/>
      </c>
      <c r="G11" s="25" t="str">
        <f>IF($A11="","",IFERROR(AVERAGEIF('Niche Research'!$B$2:$B$80,$A11,'Niche Research'!$P$2:$P$80),""))</f>
        <v/>
      </c>
      <c r="H11" s="23" t="str">
        <f>IF($A11="","",COUNTIFS('Niche Research'!$B$2:$B$80,$A11,'Niche Research'!$Q$2:$Q$80,"Sterke niche"))</f>
        <v/>
      </c>
      <c r="I11" s="23" t="str">
        <f t="shared" si="0"/>
        <v/>
      </c>
    </row>
    <row r="12" spans="1:9" x14ac:dyDescent="0.3">
      <c r="A12" s="5"/>
      <c r="B12" s="13" t="str">
        <f>IF($A12="","",COUNTIF('Niche Research'!$B$2:$B$80,$A12))</f>
        <v/>
      </c>
      <c r="C12" s="9" t="str">
        <f>IF($A12="","",SUMIF('Niche Research'!$B$2:$B$80,$A12,'Niche Research'!$I$2:$I$80))</f>
        <v/>
      </c>
      <c r="D12" s="10" t="str">
        <f>IF($A12="","",IFERROR(AVERAGEIF('Niche Research'!$B$2:$B$80,$A12,'Niche Research'!$N$2:$N$80),""))</f>
        <v/>
      </c>
      <c r="E12" s="11" t="str">
        <f>IF($A12="","",SUMIF('Niche Research'!$B$2:$B$80,$A12,'Niche Research'!$O$2:$O$80))</f>
        <v/>
      </c>
      <c r="F12" s="12" t="str">
        <f>IF($A12="","",IFERROR(AVERAGEIF('Niche Research'!$B$2:$B$80,$A12,'Niche Research'!$E$2:$E$80),""))</f>
        <v/>
      </c>
      <c r="G12" s="24" t="str">
        <f>IF($A12="","",IFERROR(AVERAGEIF('Niche Research'!$B$2:$B$80,$A12,'Niche Research'!$P$2:$P$80),""))</f>
        <v/>
      </c>
      <c r="H12" s="13" t="str">
        <f>IF($A12="","",COUNTIFS('Niche Research'!$B$2:$B$80,$A12,'Niche Research'!$Q$2:$Q$80,"Sterke niche"))</f>
        <v/>
      </c>
      <c r="I12" s="13" t="str">
        <f t="shared" si="0"/>
        <v/>
      </c>
    </row>
    <row r="13" spans="1:9" x14ac:dyDescent="0.3">
      <c r="A13" s="15"/>
      <c r="B13" s="23" t="str">
        <f>IF($A13="","",COUNTIF('Niche Research'!$B$2:$B$80,$A13))</f>
        <v/>
      </c>
      <c r="C13" s="19" t="str">
        <f>IF($A13="","",SUMIF('Niche Research'!$B$2:$B$80,$A13,'Niche Research'!$I$2:$I$80))</f>
        <v/>
      </c>
      <c r="D13" s="20" t="str">
        <f>IF($A13="","",IFERROR(AVERAGEIF('Niche Research'!$B$2:$B$80,$A13,'Niche Research'!$N$2:$N$80),""))</f>
        <v/>
      </c>
      <c r="E13" s="21" t="str">
        <f>IF($A13="","",SUMIF('Niche Research'!$B$2:$B$80,$A13,'Niche Research'!$O$2:$O$80))</f>
        <v/>
      </c>
      <c r="F13" s="22" t="str">
        <f>IF($A13="","",IFERROR(AVERAGEIF('Niche Research'!$B$2:$B$80,$A13,'Niche Research'!$E$2:$E$80),""))</f>
        <v/>
      </c>
      <c r="G13" s="25" t="str">
        <f>IF($A13="","",IFERROR(AVERAGEIF('Niche Research'!$B$2:$B$80,$A13,'Niche Research'!$P$2:$P$80),""))</f>
        <v/>
      </c>
      <c r="H13" s="23" t="str">
        <f>IF($A13="","",COUNTIFS('Niche Research'!$B$2:$B$80,$A13,'Niche Research'!$Q$2:$Q$80,"Sterke niche"))</f>
        <v/>
      </c>
      <c r="I13" s="23" t="str">
        <f t="shared" si="0"/>
        <v/>
      </c>
    </row>
    <row r="14" spans="1:9" x14ac:dyDescent="0.3">
      <c r="A14" s="5"/>
      <c r="B14" s="13" t="str">
        <f>IF($A14="","",COUNTIF('Niche Research'!$B$2:$B$80,$A14))</f>
        <v/>
      </c>
      <c r="C14" s="9" t="str">
        <f>IF($A14="","",SUMIF('Niche Research'!$B$2:$B$80,$A14,'Niche Research'!$I$2:$I$80))</f>
        <v/>
      </c>
      <c r="D14" s="10" t="str">
        <f>IF($A14="","",IFERROR(AVERAGEIF('Niche Research'!$B$2:$B$80,$A14,'Niche Research'!$N$2:$N$80),""))</f>
        <v/>
      </c>
      <c r="E14" s="11" t="str">
        <f>IF($A14="","",SUMIF('Niche Research'!$B$2:$B$80,$A14,'Niche Research'!$O$2:$O$80))</f>
        <v/>
      </c>
      <c r="F14" s="12" t="str">
        <f>IF($A14="","",IFERROR(AVERAGEIF('Niche Research'!$B$2:$B$80,$A14,'Niche Research'!$E$2:$E$80),""))</f>
        <v/>
      </c>
      <c r="G14" s="24" t="str">
        <f>IF($A14="","",IFERROR(AVERAGEIF('Niche Research'!$B$2:$B$80,$A14,'Niche Research'!$P$2:$P$80),""))</f>
        <v/>
      </c>
      <c r="H14" s="13" t="str">
        <f>IF($A14="","",COUNTIFS('Niche Research'!$B$2:$B$80,$A14,'Niche Research'!$Q$2:$Q$80,"Sterke niche"))</f>
        <v/>
      </c>
      <c r="I14" s="13" t="str">
        <f t="shared" si="0"/>
        <v/>
      </c>
    </row>
    <row r="15" spans="1:9" x14ac:dyDescent="0.3">
      <c r="A15" s="15"/>
      <c r="B15" s="23" t="str">
        <f>IF($A15="","",COUNTIF('Niche Research'!$B$2:$B$80,$A15))</f>
        <v/>
      </c>
      <c r="C15" s="19" t="str">
        <f>IF($A15="","",SUMIF('Niche Research'!$B$2:$B$80,$A15,'Niche Research'!$I$2:$I$80))</f>
        <v/>
      </c>
      <c r="D15" s="20" t="str">
        <f>IF($A15="","",IFERROR(AVERAGEIF('Niche Research'!$B$2:$B$80,$A15,'Niche Research'!$N$2:$N$80),""))</f>
        <v/>
      </c>
      <c r="E15" s="21" t="str">
        <f>IF($A15="","",SUMIF('Niche Research'!$B$2:$B$80,$A15,'Niche Research'!$O$2:$O$80))</f>
        <v/>
      </c>
      <c r="F15" s="22" t="str">
        <f>IF($A15="","",IFERROR(AVERAGEIF('Niche Research'!$B$2:$B$80,$A15,'Niche Research'!$E$2:$E$80),""))</f>
        <v/>
      </c>
      <c r="G15" s="25" t="str">
        <f>IF($A15="","",IFERROR(AVERAGEIF('Niche Research'!$B$2:$B$80,$A15,'Niche Research'!$P$2:$P$80),""))</f>
        <v/>
      </c>
      <c r="H15" s="23" t="str">
        <f>IF($A15="","",COUNTIFS('Niche Research'!$B$2:$B$80,$A15,'Niche Research'!$Q$2:$Q$80,"Sterke niche"))</f>
        <v/>
      </c>
      <c r="I15" s="23" t="str">
        <f t="shared" si="0"/>
        <v/>
      </c>
    </row>
    <row r="16" spans="1:9" x14ac:dyDescent="0.3">
      <c r="A16" s="5"/>
      <c r="B16" s="13" t="str">
        <f>IF($A16="","",COUNTIF('Niche Research'!$B$2:$B$80,$A16))</f>
        <v/>
      </c>
      <c r="C16" s="9" t="str">
        <f>IF($A16="","",SUMIF('Niche Research'!$B$2:$B$80,$A16,'Niche Research'!$I$2:$I$80))</f>
        <v/>
      </c>
      <c r="D16" s="10" t="str">
        <f>IF($A16="","",IFERROR(AVERAGEIF('Niche Research'!$B$2:$B$80,$A16,'Niche Research'!$N$2:$N$80),""))</f>
        <v/>
      </c>
      <c r="E16" s="11" t="str">
        <f>IF($A16="","",SUMIF('Niche Research'!$B$2:$B$80,$A16,'Niche Research'!$O$2:$O$80))</f>
        <v/>
      </c>
      <c r="F16" s="12" t="str">
        <f>IF($A16="","",IFERROR(AVERAGEIF('Niche Research'!$B$2:$B$80,$A16,'Niche Research'!$E$2:$E$80),""))</f>
        <v/>
      </c>
      <c r="G16" s="24" t="str">
        <f>IF($A16="","",IFERROR(AVERAGEIF('Niche Research'!$B$2:$B$80,$A16,'Niche Research'!$P$2:$P$80),""))</f>
        <v/>
      </c>
      <c r="H16" s="13" t="str">
        <f>IF($A16="","",COUNTIFS('Niche Research'!$B$2:$B$80,$A16,'Niche Research'!$Q$2:$Q$80,"Sterke niche"))</f>
        <v/>
      </c>
      <c r="I16" s="13" t="str">
        <f t="shared" si="0"/>
        <v/>
      </c>
    </row>
    <row r="17" spans="1:9" x14ac:dyDescent="0.3">
      <c r="A17" s="15"/>
      <c r="B17" s="23" t="str">
        <f>IF($A17="","",COUNTIF('Niche Research'!$B$2:$B$80,$A17))</f>
        <v/>
      </c>
      <c r="C17" s="19" t="str">
        <f>IF($A17="","",SUMIF('Niche Research'!$B$2:$B$80,$A17,'Niche Research'!$I$2:$I$80))</f>
        <v/>
      </c>
      <c r="D17" s="20" t="str">
        <f>IF($A17="","",IFERROR(AVERAGEIF('Niche Research'!$B$2:$B$80,$A17,'Niche Research'!$N$2:$N$80),""))</f>
        <v/>
      </c>
      <c r="E17" s="21" t="str">
        <f>IF($A17="","",SUMIF('Niche Research'!$B$2:$B$80,$A17,'Niche Research'!$O$2:$O$80))</f>
        <v/>
      </c>
      <c r="F17" s="22" t="str">
        <f>IF($A17="","",IFERROR(AVERAGEIF('Niche Research'!$B$2:$B$80,$A17,'Niche Research'!$E$2:$E$80),""))</f>
        <v/>
      </c>
      <c r="G17" s="25" t="str">
        <f>IF($A17="","",IFERROR(AVERAGEIF('Niche Research'!$B$2:$B$80,$A17,'Niche Research'!$P$2:$P$80),""))</f>
        <v/>
      </c>
      <c r="H17" s="23" t="str">
        <f>IF($A17="","",COUNTIFS('Niche Research'!$B$2:$B$80,$A17,'Niche Research'!$Q$2:$Q$80,"Sterke niche"))</f>
        <v/>
      </c>
      <c r="I17" s="23" t="str">
        <f t="shared" si="0"/>
        <v/>
      </c>
    </row>
    <row r="18" spans="1:9" x14ac:dyDescent="0.3">
      <c r="A18" s="5"/>
      <c r="B18" s="13" t="str">
        <f>IF($A18="","",COUNTIF('Niche Research'!$B$2:$B$80,$A18))</f>
        <v/>
      </c>
      <c r="C18" s="9" t="str">
        <f>IF($A18="","",SUMIF('Niche Research'!$B$2:$B$80,$A18,'Niche Research'!$I$2:$I$80))</f>
        <v/>
      </c>
      <c r="D18" s="10" t="str">
        <f>IF($A18="","",IFERROR(AVERAGEIF('Niche Research'!$B$2:$B$80,$A18,'Niche Research'!$N$2:$N$80),""))</f>
        <v/>
      </c>
      <c r="E18" s="11" t="str">
        <f>IF($A18="","",SUMIF('Niche Research'!$B$2:$B$80,$A18,'Niche Research'!$O$2:$O$80))</f>
        <v/>
      </c>
      <c r="F18" s="12" t="str">
        <f>IF($A18="","",IFERROR(AVERAGEIF('Niche Research'!$B$2:$B$80,$A18,'Niche Research'!$E$2:$E$80),""))</f>
        <v/>
      </c>
      <c r="G18" s="24" t="str">
        <f>IF($A18="","",IFERROR(AVERAGEIF('Niche Research'!$B$2:$B$80,$A18,'Niche Research'!$P$2:$P$80),""))</f>
        <v/>
      </c>
      <c r="H18" s="13" t="str">
        <f>IF($A18="","",COUNTIFS('Niche Research'!$B$2:$B$80,$A18,'Niche Research'!$Q$2:$Q$80,"Sterke niche"))</f>
        <v/>
      </c>
      <c r="I18" s="13" t="str">
        <f t="shared" si="0"/>
        <v/>
      </c>
    </row>
    <row r="19" spans="1:9" x14ac:dyDescent="0.3">
      <c r="A19" s="15"/>
      <c r="B19" s="23" t="str">
        <f>IF($A19="","",COUNTIF('Niche Research'!$B$2:$B$80,$A19))</f>
        <v/>
      </c>
      <c r="C19" s="19" t="str">
        <f>IF($A19="","",SUMIF('Niche Research'!$B$2:$B$80,$A19,'Niche Research'!$I$2:$I$80))</f>
        <v/>
      </c>
      <c r="D19" s="20" t="str">
        <f>IF($A19="","",IFERROR(AVERAGEIF('Niche Research'!$B$2:$B$80,$A19,'Niche Research'!$N$2:$N$80),""))</f>
        <v/>
      </c>
      <c r="E19" s="21" t="str">
        <f>IF($A19="","",SUMIF('Niche Research'!$B$2:$B$80,$A19,'Niche Research'!$O$2:$O$80))</f>
        <v/>
      </c>
      <c r="F19" s="22" t="str">
        <f>IF($A19="","",IFERROR(AVERAGEIF('Niche Research'!$B$2:$B$80,$A19,'Niche Research'!$E$2:$E$80),""))</f>
        <v/>
      </c>
      <c r="G19" s="25" t="str">
        <f>IF($A19="","",IFERROR(AVERAGEIF('Niche Research'!$B$2:$B$80,$A19,'Niche Research'!$P$2:$P$80),""))</f>
        <v/>
      </c>
      <c r="H19" s="23" t="str">
        <f>IF($A19="","",COUNTIFS('Niche Research'!$B$2:$B$80,$A19,'Niche Research'!$Q$2:$Q$80,"Sterke niche"))</f>
        <v/>
      </c>
      <c r="I19" s="23" t="str">
        <f t="shared" si="0"/>
        <v/>
      </c>
    </row>
    <row r="20" spans="1:9" x14ac:dyDescent="0.3">
      <c r="A20" s="5"/>
      <c r="B20" s="13" t="str">
        <f>IF($A20="","",COUNTIF('Niche Research'!$B$2:$B$80,$A20))</f>
        <v/>
      </c>
      <c r="C20" s="9" t="str">
        <f>IF($A20="","",SUMIF('Niche Research'!$B$2:$B$80,$A20,'Niche Research'!$I$2:$I$80))</f>
        <v/>
      </c>
      <c r="D20" s="10" t="str">
        <f>IF($A20="","",IFERROR(AVERAGEIF('Niche Research'!$B$2:$B$80,$A20,'Niche Research'!$N$2:$N$80),""))</f>
        <v/>
      </c>
      <c r="E20" s="11" t="str">
        <f>IF($A20="","",SUMIF('Niche Research'!$B$2:$B$80,$A20,'Niche Research'!$O$2:$O$80))</f>
        <v/>
      </c>
      <c r="F20" s="12" t="str">
        <f>IF($A20="","",IFERROR(AVERAGEIF('Niche Research'!$B$2:$B$80,$A20,'Niche Research'!$E$2:$E$80),""))</f>
        <v/>
      </c>
      <c r="G20" s="24" t="str">
        <f>IF($A20="","",IFERROR(AVERAGEIF('Niche Research'!$B$2:$B$80,$A20,'Niche Research'!$P$2:$P$80),""))</f>
        <v/>
      </c>
      <c r="H20" s="13" t="str">
        <f>IF($A20="","",COUNTIFS('Niche Research'!$B$2:$B$80,$A20,'Niche Research'!$Q$2:$Q$80,"Sterke niche"))</f>
        <v/>
      </c>
      <c r="I20" s="13" t="str">
        <f t="shared" si="0"/>
        <v/>
      </c>
    </row>
    <row r="21" spans="1:9" x14ac:dyDescent="0.3">
      <c r="A21" s="15"/>
      <c r="B21" s="23" t="str">
        <f>IF($A21="","",COUNTIF('Niche Research'!$B$2:$B$80,$A21))</f>
        <v/>
      </c>
      <c r="C21" s="19" t="str">
        <f>IF($A21="","",SUMIF('Niche Research'!$B$2:$B$80,$A21,'Niche Research'!$I$2:$I$80))</f>
        <v/>
      </c>
      <c r="D21" s="20" t="str">
        <f>IF($A21="","",IFERROR(AVERAGEIF('Niche Research'!$B$2:$B$80,$A21,'Niche Research'!$N$2:$N$80),""))</f>
        <v/>
      </c>
      <c r="E21" s="21" t="str">
        <f>IF($A21="","",SUMIF('Niche Research'!$B$2:$B$80,$A21,'Niche Research'!$O$2:$O$80))</f>
        <v/>
      </c>
      <c r="F21" s="22" t="str">
        <f>IF($A21="","",IFERROR(AVERAGEIF('Niche Research'!$B$2:$B$80,$A21,'Niche Research'!$E$2:$E$80),""))</f>
        <v/>
      </c>
      <c r="G21" s="25" t="str">
        <f>IF($A21="","",IFERROR(AVERAGEIF('Niche Research'!$B$2:$B$80,$A21,'Niche Research'!$P$2:$P$80),""))</f>
        <v/>
      </c>
      <c r="H21" s="23" t="str">
        <f>IF($A21="","",COUNTIFS('Niche Research'!$B$2:$B$80,$A21,'Niche Research'!$Q$2:$Q$80,"Sterke niche"))</f>
        <v/>
      </c>
      <c r="I21" s="23" t="str">
        <f t="shared" si="0"/>
        <v/>
      </c>
    </row>
    <row r="24" spans="1:9" x14ac:dyDescent="0.3">
      <c r="A24" s="2" t="s">
        <v>30</v>
      </c>
      <c r="B24" s="2"/>
      <c r="C24" s="2"/>
      <c r="D24" s="2"/>
      <c r="E24" s="2"/>
      <c r="F24" s="2"/>
      <c r="G24" s="2"/>
      <c r="H24" s="2"/>
      <c r="I24" s="2"/>
    </row>
  </sheetData>
  <autoFilter ref="A1:I21" xr:uid="{00000000-0009-0000-0000-000001000000}"/>
  <mergeCells count="1">
    <mergeCell ref="A24:I24"/>
  </mergeCells>
  <conditionalFormatting sqref="G2:G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zoomScaleNormal="100" workbookViewId="0">
      <selection activeCell="C14" sqref="C14"/>
    </sheetView>
  </sheetViews>
  <sheetFormatPr defaultColWidth="8.6640625" defaultRowHeight="14.4" x14ac:dyDescent="0.3"/>
  <cols>
    <col min="1" max="1" width="34" customWidth="1"/>
    <col min="2" max="2" width="14" customWidth="1"/>
    <col min="3" max="3" width="55" customWidth="1"/>
  </cols>
  <sheetData>
    <row r="1" spans="1:3" ht="17.399999999999999" x14ac:dyDescent="0.3">
      <c r="A1" s="1" t="s">
        <v>31</v>
      </c>
      <c r="B1" s="1"/>
      <c r="C1" s="1"/>
    </row>
    <row r="2" spans="1:3" x14ac:dyDescent="0.3">
      <c r="A2" s="2" t="s">
        <v>32</v>
      </c>
      <c r="B2" s="2"/>
      <c r="C2" s="2"/>
    </row>
    <row r="3" spans="1:3" ht="22.8" x14ac:dyDescent="0.3">
      <c r="A3" s="26" t="s">
        <v>33</v>
      </c>
      <c r="B3" s="27">
        <v>6</v>
      </c>
      <c r="C3" s="28" t="s">
        <v>34</v>
      </c>
    </row>
    <row r="4" spans="1:3" ht="22.8" x14ac:dyDescent="0.3">
      <c r="A4" s="26" t="s">
        <v>35</v>
      </c>
      <c r="B4" s="27">
        <v>1000000</v>
      </c>
      <c r="C4" s="28" t="s">
        <v>36</v>
      </c>
    </row>
    <row r="5" spans="1:3" ht="22.8" x14ac:dyDescent="0.3">
      <c r="A5" s="26" t="s">
        <v>37</v>
      </c>
      <c r="B5" s="27">
        <v>8</v>
      </c>
      <c r="C5" s="28" t="s">
        <v>38</v>
      </c>
    </row>
    <row r="6" spans="1:3" ht="22.8" x14ac:dyDescent="0.3">
      <c r="A6" s="26" t="s">
        <v>39</v>
      </c>
      <c r="B6" s="27">
        <v>1.5</v>
      </c>
      <c r="C6" s="28" t="s">
        <v>40</v>
      </c>
    </row>
    <row r="7" spans="1:3" x14ac:dyDescent="0.3">
      <c r="A7" s="26" t="s">
        <v>41</v>
      </c>
      <c r="B7" s="27">
        <v>75</v>
      </c>
      <c r="C7" s="28" t="s">
        <v>42</v>
      </c>
    </row>
    <row r="8" spans="1:3" x14ac:dyDescent="0.3">
      <c r="A8" s="26" t="s">
        <v>43</v>
      </c>
      <c r="B8" s="27">
        <v>50</v>
      </c>
      <c r="C8" s="28" t="s">
        <v>44</v>
      </c>
    </row>
    <row r="9" spans="1:3" x14ac:dyDescent="0.3">
      <c r="A9" s="26" t="s">
        <v>45</v>
      </c>
      <c r="B9" s="27">
        <v>30</v>
      </c>
      <c r="C9" s="28" t="s">
        <v>46</v>
      </c>
    </row>
    <row r="11" spans="1:3" x14ac:dyDescent="0.3">
      <c r="A11" s="2" t="s">
        <v>47</v>
      </c>
      <c r="B11" s="2"/>
      <c r="C11" s="2"/>
    </row>
  </sheetData>
  <mergeCells count="3">
    <mergeCell ref="A1:C1"/>
    <mergeCell ref="A2:C2"/>
    <mergeCell ref="A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6"/>
  <sheetViews>
    <sheetView topLeftCell="A9" zoomScaleNormal="100" workbookViewId="0">
      <selection sqref="A1:B1"/>
    </sheetView>
  </sheetViews>
  <sheetFormatPr defaultColWidth="8.6640625" defaultRowHeight="14.4" x14ac:dyDescent="0.3"/>
  <cols>
    <col min="1" max="1" width="26" customWidth="1"/>
    <col min="2" max="2" width="85" customWidth="1"/>
  </cols>
  <sheetData>
    <row r="1" spans="1:2" ht="17.399999999999999" x14ac:dyDescent="0.3">
      <c r="A1" s="1" t="s">
        <v>48</v>
      </c>
      <c r="B1" s="1"/>
    </row>
    <row r="3" spans="1:2" x14ac:dyDescent="0.3">
      <c r="A3" s="29" t="s">
        <v>49</v>
      </c>
    </row>
    <row r="4" spans="1:2" x14ac:dyDescent="0.3">
      <c r="A4" s="26" t="s">
        <v>50</v>
      </c>
      <c r="B4" s="30" t="s">
        <v>51</v>
      </c>
    </row>
    <row r="5" spans="1:2" x14ac:dyDescent="0.3">
      <c r="A5" s="26" t="s">
        <v>52</v>
      </c>
      <c r="B5" s="30" t="s">
        <v>53</v>
      </c>
    </row>
    <row r="6" spans="1:2" x14ac:dyDescent="0.3">
      <c r="A6" s="26" t="s">
        <v>54</v>
      </c>
      <c r="B6" s="30" t="s">
        <v>55</v>
      </c>
    </row>
    <row r="7" spans="1:2" x14ac:dyDescent="0.3">
      <c r="A7" s="26" t="s">
        <v>56</v>
      </c>
      <c r="B7" s="30" t="s">
        <v>57</v>
      </c>
    </row>
    <row r="8" spans="1:2" x14ac:dyDescent="0.3">
      <c r="A8" s="26"/>
      <c r="B8" s="30"/>
    </row>
    <row r="9" spans="1:2" x14ac:dyDescent="0.3">
      <c r="A9" s="29" t="s">
        <v>58</v>
      </c>
    </row>
    <row r="10" spans="1:2" x14ac:dyDescent="0.3">
      <c r="A10" s="26" t="s">
        <v>0</v>
      </c>
      <c r="B10" s="30" t="s">
        <v>59</v>
      </c>
    </row>
    <row r="11" spans="1:2" x14ac:dyDescent="0.3">
      <c r="A11" s="26" t="s">
        <v>1</v>
      </c>
      <c r="B11" s="30" t="s">
        <v>60</v>
      </c>
    </row>
    <row r="12" spans="1:2" x14ac:dyDescent="0.3">
      <c r="A12" s="26" t="s">
        <v>61</v>
      </c>
      <c r="B12" s="30" t="s">
        <v>62</v>
      </c>
    </row>
    <row r="13" spans="1:2" x14ac:dyDescent="0.3">
      <c r="A13" s="26" t="s">
        <v>4</v>
      </c>
      <c r="B13" s="30" t="s">
        <v>63</v>
      </c>
    </row>
    <row r="14" spans="1:2" x14ac:dyDescent="0.3">
      <c r="A14" s="26" t="s">
        <v>64</v>
      </c>
      <c r="B14" s="30" t="s">
        <v>65</v>
      </c>
    </row>
    <row r="15" spans="1:2" x14ac:dyDescent="0.3">
      <c r="A15" s="26" t="s">
        <v>10</v>
      </c>
      <c r="B15" s="30" t="s">
        <v>66</v>
      </c>
    </row>
    <row r="16" spans="1:2" x14ac:dyDescent="0.3">
      <c r="A16" s="26" t="s">
        <v>11</v>
      </c>
      <c r="B16" s="30" t="s">
        <v>67</v>
      </c>
    </row>
    <row r="17" spans="1:2" ht="26.4" x14ac:dyDescent="0.3">
      <c r="A17" s="26" t="s">
        <v>12</v>
      </c>
      <c r="B17" s="30" t="s">
        <v>68</v>
      </c>
    </row>
    <row r="18" spans="1:2" x14ac:dyDescent="0.3">
      <c r="A18" s="26" t="s">
        <v>13</v>
      </c>
      <c r="B18" s="30" t="s">
        <v>69</v>
      </c>
    </row>
    <row r="19" spans="1:2" x14ac:dyDescent="0.3">
      <c r="A19" s="26" t="s">
        <v>14</v>
      </c>
      <c r="B19" s="30" t="s">
        <v>70</v>
      </c>
    </row>
    <row r="20" spans="1:2" ht="26.4" x14ac:dyDescent="0.3">
      <c r="A20" s="26" t="s">
        <v>15</v>
      </c>
      <c r="B20" s="30" t="s">
        <v>71</v>
      </c>
    </row>
    <row r="21" spans="1:2" ht="26.4" x14ac:dyDescent="0.3">
      <c r="A21" s="26" t="s">
        <v>16</v>
      </c>
      <c r="B21" s="30" t="s">
        <v>72</v>
      </c>
    </row>
    <row r="22" spans="1:2" x14ac:dyDescent="0.3">
      <c r="A22" s="26"/>
      <c r="B22" s="30"/>
    </row>
    <row r="23" spans="1:2" ht="26.4" x14ac:dyDescent="0.3">
      <c r="A23" s="26" t="s">
        <v>73</v>
      </c>
      <c r="B23" s="30" t="s">
        <v>74</v>
      </c>
    </row>
    <row r="24" spans="1:2" ht="26.4" x14ac:dyDescent="0.3">
      <c r="A24" s="26" t="s">
        <v>75</v>
      </c>
      <c r="B24" s="30" t="s">
        <v>76</v>
      </c>
    </row>
    <row r="25" spans="1:2" x14ac:dyDescent="0.3">
      <c r="A25" s="26"/>
      <c r="B25" s="30"/>
    </row>
    <row r="26" spans="1:2" ht="39.6" x14ac:dyDescent="0.3">
      <c r="A26" s="26" t="s">
        <v>77</v>
      </c>
      <c r="B26" s="30" t="s">
        <v>78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Niche Research</vt:lpstr>
      <vt:lpstr>Niche Samenvatting</vt:lpstr>
      <vt:lpstr>Instellingen</vt:lpstr>
      <vt:lpstr>Legenda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Bas Ter Horst</cp:lastModifiedBy>
  <cp:revision>0</cp:revision>
  <dcterms:created xsi:type="dcterms:W3CDTF">2026-09-02T17:33:26Z</dcterms:created>
  <dcterms:modified xsi:type="dcterms:W3CDTF">2026-09-02T19:31:17Z</dcterms:modified>
  <dc:language>en-US</dc:language>
</cp:coreProperties>
</file>